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_ortholite_vn/Documents/PROJECT LÂM/REPORT DAILY/"/>
    </mc:Choice>
  </mc:AlternateContent>
  <xr:revisionPtr revIDLastSave="3" documentId="8_{A149D761-8790-4D47-98A6-604AB952E756}" xr6:coauthVersionLast="47" xr6:coauthVersionMax="47" xr10:uidLastSave="{884F6448-1AA4-4393-BC2E-74C3775704B6}"/>
  <bookViews>
    <workbookView xWindow="-108" yWindow="-108" windowWidth="23256" windowHeight="13896" xr2:uid="{D08BE797-70AD-4C93-AC43-8C2806FA200D}"/>
  </bookViews>
  <sheets>
    <sheet name="W16-2026" sheetId="1" r:id="rId1"/>
  </sheets>
  <externalReferences>
    <externalReference r:id="rId2"/>
    <externalReference r:id="rId3"/>
  </externalReferences>
  <definedNames>
    <definedName name="_xlnm._FilterDatabase" localSheetId="0" hidden="1">'W16-2026'!$A$1:$AF$223</definedName>
    <definedName name="_xlnm.Print_Titles" localSheetId="0">'W16-2026'!$4:$33</definedName>
    <definedName name="ReportMetadata.AboutThisReportText" comment="Use this function to get the About This Report Text from the ReportMetadataValues table in the Aggregated Metadata worksheet">_xlfn.XLOOKUP("About This Report Text",[1]!ReportMetadataValues[[#All],[Report Property]],[1]!ReportMetadataValues[[#All],[Report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Title",[1]!ReportMetadataValues[[#All],[Report Property]],[1]!ReportMetadataValues[[#All],[Report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ID",[1]!ReportMetadataValues[[#All],[Report Property]],[1]!ReportMetadataValues[[#All],[Report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Name",[1]!ReportMetadataValues[[#All],[Report Property]],[1]!ReportMetadataValues[[#All],[Report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Publisher",[1]!ReportMetadataValues[[#All],[Report Property]],[1]!ReportMetadataValues[[#All],[Report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Version",[1]!ReportMetadataValues[[#All],[Report Property]],[1]!ReportMetadataValues[[#All],[Report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Caption",[1]!ReportMetadataValues[[#All],[Report Property]],[1]!ReportMetadataValues[[#All],[Report Property Value]],"none",)</definedName>
    <definedName name="ReportMetadata.ObjectID" comment="Use this function to get the Object ID from the ReportMetadataValues table in the Aggregated Metadata worksheet">_xlfn.XLOOKUP("Object ID",[1]!ReportMetadataValues[[#All],[Report Property]],[1]!ReportMetadataValues[[#All],[Report Property Value]],"none",)</definedName>
    <definedName name="ReportMetadata.ObjectName" comment="Use this function to get the Object Name from the ReportMetadataValues table in the Aggregated Metadata worksheet">_xlfn.XLOOKUP("Object Name",[1]!ReportMetadataValues[[#All],[Report Property]],[1]!ReportMetadataValues[[#All],[Report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link",[1]!ReportMetadataValues[[#All],[Report Property]],[1]!ReportMetadataValues[[#All],[Report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name",[1]!ReportRequestValues[[#All],[Request Property]],[1]!ReportRequestValues[[#All],[Request Property Value]],"none",)</definedName>
    <definedName name="ReportRequest.CompanyId" comment="Use this function to get the Company Id from the ReportRequestValues table in the Aggregated Metadata worksheet">_xlfn.XLOOKUP("Company Id",[1]!ReportRequestValues[[#All],[Request Property]],[1]!ReportRequestValues[[#All],[Request Property Value]],"none",)</definedName>
    <definedName name="ReportRequest.CompanyName" comment="Use this function to get the Company name from the ReportRequestValues table in the Aggregated Metadata worksheet">_xlfn.XLOOKUP("Company name",[1]!ReportRequestValues[[#All],[Request Property]],[1]!ReportRequestValues[[#All],[Request Property Value]],"none",)</definedName>
    <definedName name="ReportRequest.Date" comment="Use this function to get the Date from the ReportRequestValues table in the Aggregated Metadata worksheet">_xlfn.XLOOKUP("Date",[1]!ReportRequestValues[[#All],[Request Property]],[1]!ReportRequestValues[[#All],[Request Property Value]],"none",)</definedName>
    <definedName name="ReportRequest.DateLocal" comment="Use this function to get the Date (Local) from the ReportRequestValues table in the Aggregated Metadata worksheet">_xlfn.XLOOKUP("Date (Local)",[1]!ReportRequestValues[[#All],[Request Property]],[1]!ReportRequestValues[[#All],[Request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name",[1]!ReportRequestValues[[#All],[Request Property]],[1]!ReportRequestValues[[#All],[Request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type",[1]!ReportRequestValues[[#All],[Request Property]],[1]!ReportRequestValues[[#All],[Request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Region",[1]!ReportRequestValues[[#All],[Request Property]],[1]!ReportRequestValues[[#All],[Request Property Value]],"none",)</definedName>
    <definedName name="ReportRequest.Language" comment="Use this function to get the Language from the ReportRequestValues table in the Aggregated Metadata worksheet">_xlfn.XLOOKUP("Language",[1]!ReportRequestValues[[#All],[Request Property]],[1]!ReportRequestValues[[#All],[Request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caption",[1]!ReportRequestValues[[#All],[Request Property]],[1]!ReportRequestValues[[#All],[Request Property Value]],"none",)</definedName>
    <definedName name="ReportRequest.LayoutId" comment="Use this function to get the Layout id from the ReportRequestValues table in the Aggregated Metadata worksheet">_xlfn.XLOOKUP("Layout id",[1]!ReportRequestValues[[#All],[Request Property]],[1]!ReportRequestValues[[#All],[Request Property Value]],"none",)</definedName>
    <definedName name="ReportRequest.LayoutName" comment="Use this function to get the Layout name from the ReportRequestValues table in the Aggregated Metadata worksheet">_xlfn.XLOOKUP("Layout name",[1]!ReportRequestValues[[#All],[Request Property]],[1]!ReportRequestValues[[#All],[Request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Id",[1]!ReportRequestValues[[#All],[Request Property]],[1]!ReportRequestValues[[#All],[Request Property Value]],"none",)</definedName>
    <definedName name="ReportRequest.TenantId" comment="Use this function to get the Tenant Id from the ReportRequestValues table in the Aggregated Metadata worksheet">_xlfn.XLOOKUP("Tenant Id",[1]!ReportRequestValues[[#All],[Request Property]],[1]!ReportRequestValues[[#All],[Request Property Value]],"none",)</definedName>
    <definedName name="ReportRequest.UserName" comment="Use this function to get the User name from the ReportRequestValues table in the Aggregated Metadata worksheet">_xlfn.XLOOKUP("User name",[1]!ReportRequestValues[[#All],[Request Property]],[1]!ReportRequestValues[[#All],[Request Property Value]],"none",)</definedName>
    <definedName name="ReportRequest.UTCOffset" comment="Use this function to get the UTC Offset from the ReportRequestValues table in the Aggregated Metadata worksheet">_xlfn.XLOOKUP("UTC Offset",[1]!ReportRequestValues[[#All],[Request Property]],[1]!ReportRequestValues[[#All],[Request Property Value]],"none",)</definedName>
    <definedName name="Z_1811EAD5_BD80_4EFF_9596_8EF0EFF4AD2A_.wvu.FilterData" localSheetId="0" hidden="1">'W16-2026'!$A$10:$W$10</definedName>
    <definedName name="Z_1811EAD5_BD80_4EFF_9596_8EF0EFF4AD2A_.wvu.PrintTitles" localSheetId="0" hidden="1">'W16-2026'!$4:$10</definedName>
    <definedName name="Z_18A7E0A3_1642_489C_8130_3CC9FF80B04E_.wvu.FilterData" localSheetId="0" hidden="1">'W16-2026'!$C$10:$O$10</definedName>
    <definedName name="Z_2653C0F9_59B0_4DB3_BD8D_CACC833527F0_.wvu.FilterData" localSheetId="0" hidden="1">'W16-2026'!$A$10:$W$10</definedName>
    <definedName name="Z_289C1146_6484_4C42_9E78_5D7EBC42FBCC_.wvu.FilterData" localSheetId="0" hidden="1">'W16-2026'!$A$10:$W$10</definedName>
    <definedName name="Z_289C1146_6484_4C42_9E78_5D7EBC42FBCC_.wvu.PrintTitles" localSheetId="0" hidden="1">'W16-2026'!$4:$10</definedName>
    <definedName name="Z_289C1146_6484_4C42_9E78_5D7EBC42FBCC_.wvu.Rows" localSheetId="0" hidden="1">'W16-2026'!#REF!</definedName>
    <definedName name="Z_314949E3_0D3B_4560_AE70_4D3C4970782A_.wvu.FilterData" localSheetId="0" hidden="1">'W16-2026'!$C$10:$O$10</definedName>
    <definedName name="Z_318C8B1E_0627_4DC9_8089_60901FDA475B_.wvu.FilterData" localSheetId="0" hidden="1">'W16-2026'!$C$10:$V$10</definedName>
    <definedName name="Z_318C8B1E_0627_4DC9_8089_60901FDA475B_.wvu.PrintTitles" localSheetId="0" hidden="1">'W16-2026'!$4:$10</definedName>
    <definedName name="Z_323B6797_06D8_47A1_B001_797373BE57F2_.wvu.FilterData" localSheetId="0" hidden="1">'W16-2026'!$C$10:$O$10</definedName>
    <definedName name="Z_6A9DC2EA_1959_4EB9_A839_907E58591C36_.wvu.FilterData" localSheetId="0" hidden="1">'W16-2026'!$C$10:$O$10</definedName>
    <definedName name="Z_866BE165_7CE2_41D4_AD4C_D79698D432B1_.wvu.FilterData" localSheetId="0" hidden="1">'W16-2026'!$C$10:$O$10</definedName>
    <definedName name="Z_866CB300_9BE2_4E49_BCB4_72634A7939D7_.wvu.FilterData" localSheetId="0" hidden="1">'W16-2026'!$C$10:$V$10</definedName>
    <definedName name="Z_8CF255E0_B8BB_4016_A366_4FCF106965CF_.wvu.FilterData" localSheetId="0" hidden="1">'W16-2026'!$A$10:$W$10</definedName>
    <definedName name="Z_A4A1FC39_A54C_43AC_9912_8824EB6833F5_.wvu.FilterData" localSheetId="0" hidden="1">'W16-2026'!$A$10:$W$10</definedName>
    <definedName name="Z_AF6B2EAC_2950_4809_A605_2107D254FC8D_.wvu.FilterData" localSheetId="0" hidden="1">'W16-2026'!$C$10:$V$10</definedName>
    <definedName name="Z_AF6B2EAC_2950_4809_A605_2107D254FC8D_.wvu.PrintTitles" localSheetId="0" hidden="1">'W16-2026'!$4:$10</definedName>
    <definedName name="Z_CA92E8A2_92C9_4575_A139_6FE5DA69269F_.wvu.FilterData" localSheetId="0" hidden="1">'W16-2026'!$C$10:$O$10</definedName>
    <definedName name="Z_DF644A2B_B913_48D6_B430_E57F3B482B79_.wvu.FilterData" localSheetId="0" hidden="1">'W16-2026'!$A$10:$W$10</definedName>
    <definedName name="Z_DF644A2B_B913_48D6_B430_E57F3B482B79_.wvu.PrintTitles" localSheetId="0" hidden="1">'W16-2026'!$4:$10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3" i="1" l="1"/>
  <c r="I223" i="1"/>
  <c r="H223" i="1"/>
  <c r="V222" i="1"/>
  <c r="AE221" i="1"/>
  <c r="U221" i="1"/>
  <c r="V221" i="1" s="1"/>
  <c r="R221" i="1"/>
  <c r="V220" i="1"/>
  <c r="AE219" i="1"/>
  <c r="V219" i="1"/>
  <c r="R219" i="1"/>
  <c r="V218" i="1"/>
  <c r="AE217" i="1"/>
  <c r="U217" i="1"/>
  <c r="V217" i="1" s="1"/>
  <c r="R217" i="1"/>
  <c r="V216" i="1"/>
  <c r="AE215" i="1"/>
  <c r="U215" i="1"/>
  <c r="V215" i="1" s="1"/>
  <c r="R215" i="1"/>
  <c r="V214" i="1"/>
  <c r="AE213" i="1"/>
  <c r="V213" i="1"/>
  <c r="R213" i="1"/>
  <c r="V212" i="1"/>
  <c r="AE211" i="1"/>
  <c r="V211" i="1"/>
  <c r="R211" i="1"/>
  <c r="V210" i="1"/>
  <c r="AE209" i="1"/>
  <c r="V209" i="1"/>
  <c r="R209" i="1"/>
  <c r="V208" i="1"/>
  <c r="AE207" i="1"/>
  <c r="U207" i="1"/>
  <c r="V207" i="1" s="1"/>
  <c r="R207" i="1"/>
  <c r="V206" i="1"/>
  <c r="AE205" i="1"/>
  <c r="V205" i="1"/>
  <c r="R205" i="1"/>
  <c r="V204" i="1"/>
  <c r="AE203" i="1"/>
  <c r="V203" i="1"/>
  <c r="R203" i="1"/>
  <c r="V202" i="1"/>
  <c r="AE201" i="1"/>
  <c r="V201" i="1"/>
  <c r="R201" i="1"/>
  <c r="V200" i="1"/>
  <c r="AE199" i="1"/>
  <c r="V199" i="1"/>
  <c r="R199" i="1"/>
  <c r="AE198" i="1"/>
  <c r="V198" i="1"/>
  <c r="R198" i="1"/>
  <c r="AE197" i="1"/>
  <c r="V197" i="1"/>
  <c r="R197" i="1"/>
  <c r="V196" i="1"/>
  <c r="AE195" i="1"/>
  <c r="U195" i="1"/>
  <c r="V195" i="1" s="1"/>
  <c r="R195" i="1"/>
  <c r="V194" i="1"/>
  <c r="AE193" i="1"/>
  <c r="V193" i="1"/>
  <c r="R193" i="1"/>
  <c r="V192" i="1"/>
  <c r="AE191" i="1"/>
  <c r="V191" i="1"/>
  <c r="R191" i="1"/>
  <c r="V190" i="1"/>
  <c r="AE189" i="1"/>
  <c r="V189" i="1"/>
  <c r="R189" i="1"/>
  <c r="AE188" i="1"/>
  <c r="R188" i="1"/>
  <c r="AE187" i="1"/>
  <c r="U187" i="1"/>
  <c r="V187" i="1" s="1"/>
  <c r="R187" i="1"/>
  <c r="N187" i="1"/>
  <c r="V186" i="1"/>
  <c r="AE185" i="1"/>
  <c r="V185" i="1"/>
  <c r="R185" i="1"/>
  <c r="V184" i="1"/>
  <c r="AE183" i="1"/>
  <c r="R183" i="1"/>
  <c r="AE182" i="1"/>
  <c r="U182" i="1"/>
  <c r="V182" i="1" s="1"/>
  <c r="R182" i="1"/>
  <c r="N182" i="1"/>
  <c r="N223" i="1" s="1"/>
  <c r="V181" i="1"/>
  <c r="AE180" i="1"/>
  <c r="U180" i="1"/>
  <c r="V180" i="1" s="1"/>
  <c r="R180" i="1"/>
  <c r="V179" i="1"/>
  <c r="AE178" i="1"/>
  <c r="V178" i="1"/>
  <c r="R178" i="1"/>
  <c r="V177" i="1"/>
  <c r="AE176" i="1"/>
  <c r="U176" i="1"/>
  <c r="V176" i="1" s="1"/>
  <c r="R176" i="1"/>
  <c r="V175" i="1"/>
  <c r="AE174" i="1"/>
  <c r="V174" i="1"/>
  <c r="R174" i="1"/>
  <c r="AE173" i="1"/>
  <c r="V173" i="1"/>
  <c r="R173" i="1"/>
  <c r="V172" i="1"/>
  <c r="AE171" i="1"/>
  <c r="U171" i="1"/>
  <c r="V171" i="1" s="1"/>
  <c r="R171" i="1"/>
  <c r="V170" i="1"/>
  <c r="AE169" i="1"/>
  <c r="V169" i="1"/>
  <c r="R169" i="1"/>
  <c r="V168" i="1"/>
  <c r="AE167" i="1"/>
  <c r="V167" i="1"/>
  <c r="R167" i="1"/>
  <c r="AE166" i="1"/>
  <c r="V166" i="1"/>
  <c r="R166" i="1"/>
  <c r="AE165" i="1"/>
  <c r="U165" i="1"/>
  <c r="V165" i="1" s="1"/>
  <c r="R165" i="1"/>
  <c r="V164" i="1"/>
  <c r="AE163" i="1"/>
  <c r="V163" i="1"/>
  <c r="R163" i="1"/>
  <c r="AE162" i="1"/>
  <c r="V162" i="1"/>
  <c r="R162" i="1"/>
  <c r="V161" i="1"/>
  <c r="AE160" i="1"/>
  <c r="V160" i="1"/>
  <c r="R160" i="1"/>
  <c r="N159" i="1"/>
  <c r="V159" i="1" s="1"/>
  <c r="J159" i="1"/>
  <c r="I159" i="1"/>
  <c r="H159" i="1"/>
  <c r="V158" i="1"/>
  <c r="AE157" i="1"/>
  <c r="V157" i="1"/>
  <c r="R157" i="1"/>
  <c r="V156" i="1"/>
  <c r="AE155" i="1"/>
  <c r="V155" i="1"/>
  <c r="R155" i="1"/>
  <c r="V154" i="1"/>
  <c r="AE153" i="1"/>
  <c r="V153" i="1"/>
  <c r="R153" i="1"/>
  <c r="AE152" i="1"/>
  <c r="V152" i="1"/>
  <c r="R152" i="1"/>
  <c r="AE151" i="1"/>
  <c r="U151" i="1"/>
  <c r="V151" i="1" s="1"/>
  <c r="R151" i="1"/>
  <c r="V150" i="1"/>
  <c r="AE149" i="1"/>
  <c r="V149" i="1"/>
  <c r="R149" i="1"/>
  <c r="V148" i="1"/>
  <c r="AE147" i="1"/>
  <c r="U147" i="1"/>
  <c r="V147" i="1" s="1"/>
  <c r="R147" i="1"/>
  <c r="V146" i="1"/>
  <c r="AE145" i="1"/>
  <c r="U145" i="1"/>
  <c r="V145" i="1" s="1"/>
  <c r="R145" i="1"/>
  <c r="V144" i="1"/>
  <c r="AE143" i="1"/>
  <c r="V143" i="1"/>
  <c r="R143" i="1"/>
  <c r="V142" i="1"/>
  <c r="AE141" i="1"/>
  <c r="V141" i="1"/>
  <c r="R141" i="1"/>
  <c r="AE140" i="1"/>
  <c r="V140" i="1"/>
  <c r="R140" i="1"/>
  <c r="AE139" i="1"/>
  <c r="V139" i="1"/>
  <c r="U139" i="1"/>
  <c r="R139" i="1"/>
  <c r="V138" i="1"/>
  <c r="AE137" i="1"/>
  <c r="V137" i="1"/>
  <c r="R137" i="1"/>
  <c r="V136" i="1"/>
  <c r="AE135" i="1"/>
  <c r="V135" i="1"/>
  <c r="R135" i="1"/>
  <c r="AE134" i="1"/>
  <c r="V134" i="1"/>
  <c r="R134" i="1"/>
  <c r="AE133" i="1"/>
  <c r="V133" i="1"/>
  <c r="R133" i="1"/>
  <c r="AE132" i="1"/>
  <c r="V132" i="1"/>
  <c r="R132" i="1"/>
  <c r="AE131" i="1"/>
  <c r="V131" i="1"/>
  <c r="R131" i="1"/>
  <c r="AE130" i="1"/>
  <c r="V130" i="1"/>
  <c r="R130" i="1"/>
  <c r="AE129" i="1"/>
  <c r="U129" i="1"/>
  <c r="V129" i="1" s="1"/>
  <c r="R129" i="1"/>
  <c r="V128" i="1"/>
  <c r="AE127" i="1"/>
  <c r="V127" i="1"/>
  <c r="R127" i="1"/>
  <c r="V126" i="1"/>
  <c r="AE125" i="1"/>
  <c r="V125" i="1"/>
  <c r="R125" i="1"/>
  <c r="AE124" i="1"/>
  <c r="U124" i="1"/>
  <c r="V124" i="1" s="1"/>
  <c r="R124" i="1"/>
  <c r="V123" i="1"/>
  <c r="AE122" i="1"/>
  <c r="V122" i="1"/>
  <c r="R122" i="1"/>
  <c r="AE121" i="1"/>
  <c r="U121" i="1"/>
  <c r="V121" i="1" s="1"/>
  <c r="R121" i="1"/>
  <c r="V120" i="1"/>
  <c r="AE119" i="1"/>
  <c r="U119" i="1"/>
  <c r="V119" i="1" s="1"/>
  <c r="R119" i="1"/>
  <c r="N119" i="1"/>
  <c r="V118" i="1"/>
  <c r="AE117" i="1"/>
  <c r="V117" i="1"/>
  <c r="R117" i="1"/>
  <c r="AE116" i="1"/>
  <c r="V116" i="1"/>
  <c r="R116" i="1"/>
  <c r="AE115" i="1"/>
  <c r="V115" i="1"/>
  <c r="R115" i="1"/>
  <c r="AE114" i="1"/>
  <c r="V114" i="1"/>
  <c r="R114" i="1"/>
  <c r="AE113" i="1"/>
  <c r="V113" i="1"/>
  <c r="R113" i="1"/>
  <c r="V112" i="1"/>
  <c r="AE111" i="1"/>
  <c r="V111" i="1"/>
  <c r="R111" i="1"/>
  <c r="V110" i="1"/>
  <c r="AE109" i="1"/>
  <c r="U109" i="1"/>
  <c r="V109" i="1" s="1"/>
  <c r="R109" i="1"/>
  <c r="N108" i="1"/>
  <c r="V108" i="1" s="1"/>
  <c r="J108" i="1"/>
  <c r="I108" i="1"/>
  <c r="H108" i="1"/>
  <c r="V107" i="1"/>
  <c r="AE106" i="1"/>
  <c r="U106" i="1"/>
  <c r="V106" i="1" s="1"/>
  <c r="R106" i="1"/>
  <c r="V105" i="1"/>
  <c r="AE104" i="1"/>
  <c r="U104" i="1"/>
  <c r="V104" i="1" s="1"/>
  <c r="R104" i="1"/>
  <c r="V103" i="1"/>
  <c r="AE102" i="1"/>
  <c r="V102" i="1"/>
  <c r="R102" i="1"/>
  <c r="AE101" i="1"/>
  <c r="V101" i="1"/>
  <c r="R101" i="1"/>
  <c r="AE100" i="1"/>
  <c r="U100" i="1"/>
  <c r="V100" i="1" s="1"/>
  <c r="R100" i="1"/>
  <c r="V99" i="1"/>
  <c r="AE98" i="1"/>
  <c r="V98" i="1"/>
  <c r="R98" i="1"/>
  <c r="V97" i="1"/>
  <c r="AE96" i="1"/>
  <c r="V96" i="1"/>
  <c r="R96" i="1"/>
  <c r="V95" i="1"/>
  <c r="AE94" i="1"/>
  <c r="V94" i="1"/>
  <c r="R94" i="1"/>
  <c r="V93" i="1"/>
  <c r="AE92" i="1"/>
  <c r="V92" i="1"/>
  <c r="R92" i="1"/>
  <c r="V91" i="1"/>
  <c r="AE90" i="1"/>
  <c r="V90" i="1"/>
  <c r="R90" i="1"/>
  <c r="V89" i="1"/>
  <c r="AE88" i="1"/>
  <c r="V88" i="1"/>
  <c r="R88" i="1"/>
  <c r="V87" i="1"/>
  <c r="AE86" i="1"/>
  <c r="U86" i="1"/>
  <c r="V86" i="1" s="1"/>
  <c r="R86" i="1"/>
  <c r="V85" i="1"/>
  <c r="AE84" i="1"/>
  <c r="V84" i="1"/>
  <c r="R84" i="1"/>
  <c r="V83" i="1"/>
  <c r="AE82" i="1"/>
  <c r="V82" i="1"/>
  <c r="R82" i="1"/>
  <c r="AE81" i="1"/>
  <c r="U81" i="1"/>
  <c r="V81" i="1" s="1"/>
  <c r="R81" i="1"/>
  <c r="V80" i="1"/>
  <c r="AE79" i="1"/>
  <c r="V79" i="1"/>
  <c r="R79" i="1"/>
  <c r="V78" i="1"/>
  <c r="AE77" i="1"/>
  <c r="V77" i="1"/>
  <c r="R77" i="1"/>
  <c r="V76" i="1"/>
  <c r="AE75" i="1"/>
  <c r="V75" i="1"/>
  <c r="R75" i="1"/>
  <c r="V74" i="1"/>
  <c r="AE73" i="1"/>
  <c r="R73" i="1"/>
  <c r="N73" i="1"/>
  <c r="V73" i="1" s="1"/>
  <c r="V72" i="1"/>
  <c r="AE71" i="1"/>
  <c r="V71" i="1"/>
  <c r="R71" i="1"/>
  <c r="V70" i="1"/>
  <c r="AE69" i="1"/>
  <c r="U69" i="1"/>
  <c r="V69" i="1" s="1"/>
  <c r="R69" i="1"/>
  <c r="V68" i="1"/>
  <c r="AE67" i="1"/>
  <c r="U67" i="1"/>
  <c r="V67" i="1" s="1"/>
  <c r="R67" i="1"/>
  <c r="V66" i="1"/>
  <c r="AE65" i="1"/>
  <c r="V65" i="1"/>
  <c r="R65" i="1"/>
  <c r="V64" i="1"/>
  <c r="AE63" i="1"/>
  <c r="U63" i="1"/>
  <c r="V63" i="1" s="1"/>
  <c r="R63" i="1"/>
  <c r="V62" i="1"/>
  <c r="AE61" i="1"/>
  <c r="V61" i="1"/>
  <c r="V60" i="1"/>
  <c r="AE59" i="1"/>
  <c r="V59" i="1"/>
  <c r="R59" i="1"/>
  <c r="V58" i="1"/>
  <c r="AE57" i="1"/>
  <c r="V57" i="1"/>
  <c r="R57" i="1"/>
  <c r="V56" i="1"/>
  <c r="AE55" i="1"/>
  <c r="V55" i="1"/>
  <c r="R55" i="1"/>
  <c r="V54" i="1"/>
  <c r="AE53" i="1"/>
  <c r="V53" i="1"/>
  <c r="R53" i="1"/>
  <c r="V52" i="1"/>
  <c r="AE51" i="1"/>
  <c r="V51" i="1"/>
  <c r="R51" i="1"/>
  <c r="V50" i="1"/>
  <c r="AE49" i="1"/>
  <c r="V49" i="1"/>
  <c r="R49" i="1"/>
  <c r="AE48" i="1"/>
  <c r="V48" i="1"/>
  <c r="R48" i="1"/>
  <c r="V47" i="1"/>
  <c r="AE46" i="1"/>
  <c r="V46" i="1"/>
  <c r="R46" i="1"/>
  <c r="AE45" i="1"/>
  <c r="V45" i="1"/>
  <c r="R45" i="1"/>
  <c r="AE44" i="1"/>
  <c r="U44" i="1"/>
  <c r="V44" i="1" s="1"/>
  <c r="R44" i="1"/>
  <c r="V43" i="1"/>
  <c r="AE42" i="1"/>
  <c r="V42" i="1"/>
  <c r="R42" i="1"/>
  <c r="AE41" i="1"/>
  <c r="U41" i="1"/>
  <c r="V41" i="1" s="1"/>
  <c r="R41" i="1"/>
  <c r="V40" i="1"/>
  <c r="AE39" i="1"/>
  <c r="V39" i="1"/>
  <c r="U39" i="1"/>
  <c r="R39" i="1"/>
  <c r="N39" i="1"/>
  <c r="V38" i="1"/>
  <c r="AE37" i="1"/>
  <c r="V37" i="1"/>
  <c r="R37" i="1"/>
  <c r="V36" i="1"/>
  <c r="AE35" i="1"/>
  <c r="U35" i="1"/>
  <c r="V35" i="1" s="1"/>
  <c r="R35" i="1"/>
  <c r="V34" i="1"/>
  <c r="AE33" i="1"/>
  <c r="U33" i="1"/>
  <c r="V33" i="1" s="1"/>
  <c r="R33" i="1"/>
  <c r="V32" i="1"/>
  <c r="AE31" i="1"/>
  <c r="V31" i="1"/>
  <c r="R31" i="1"/>
  <c r="V30" i="1"/>
  <c r="AE29" i="1"/>
  <c r="V29" i="1"/>
  <c r="U29" i="1"/>
  <c r="R29" i="1"/>
  <c r="V28" i="1"/>
  <c r="AE27" i="1"/>
  <c r="U27" i="1"/>
  <c r="V27" i="1" s="1"/>
  <c r="R27" i="1"/>
  <c r="V26" i="1"/>
  <c r="AE25" i="1"/>
  <c r="U25" i="1"/>
  <c r="V25" i="1" s="1"/>
  <c r="R25" i="1"/>
  <c r="V24" i="1"/>
  <c r="AE23" i="1"/>
  <c r="V23" i="1"/>
  <c r="R23" i="1"/>
  <c r="AE22" i="1"/>
  <c r="U22" i="1"/>
  <c r="V22" i="1" s="1"/>
  <c r="R22" i="1"/>
  <c r="V21" i="1"/>
  <c r="AE20" i="1"/>
  <c r="V20" i="1"/>
  <c r="R20" i="1"/>
  <c r="V19" i="1"/>
  <c r="AE18" i="1"/>
  <c r="U18" i="1"/>
  <c r="V18" i="1" s="1"/>
  <c r="R18" i="1"/>
  <c r="V17" i="1"/>
  <c r="AE16" i="1"/>
  <c r="V16" i="1"/>
  <c r="R16" i="1"/>
  <c r="V15" i="1"/>
  <c r="AE14" i="1"/>
  <c r="V14" i="1"/>
  <c r="R14" i="1"/>
  <c r="V13" i="1"/>
  <c r="AE12" i="1"/>
  <c r="V12" i="1"/>
  <c r="R12" i="1"/>
  <c r="Z11" i="1"/>
  <c r="K9" i="1"/>
  <c r="J9" i="1"/>
  <c r="M9" i="1" s="1"/>
  <c r="I9" i="1"/>
  <c r="E9" i="1" s="1"/>
  <c r="H9" i="1"/>
  <c r="A9" i="1"/>
  <c r="R7" i="1"/>
  <c r="T7" i="1" s="1"/>
  <c r="L7" i="1"/>
  <c r="J7" i="1"/>
  <c r="F7" i="1"/>
  <c r="D7" i="1"/>
  <c r="T6" i="1"/>
  <c r="R6" i="1"/>
  <c r="P6" i="1"/>
  <c r="L6" i="1"/>
  <c r="J6" i="1"/>
  <c r="F6" i="1"/>
  <c r="D6" i="1"/>
  <c r="Z5" i="1"/>
  <c r="AA5" i="1" s="1"/>
  <c r="R5" i="1"/>
  <c r="P5" i="1"/>
  <c r="L5" i="1"/>
  <c r="J5" i="1"/>
  <c r="F5" i="1"/>
  <c r="T5" i="1" s="1"/>
  <c r="D5" i="1"/>
  <c r="Z4" i="1"/>
  <c r="R4" i="1"/>
  <c r="T4" i="1" s="1"/>
  <c r="P4" i="1"/>
  <c r="L4" i="1"/>
  <c r="J4" i="1"/>
  <c r="F4" i="1"/>
  <c r="D4" i="1"/>
  <c r="Z3" i="1"/>
  <c r="X3" i="1"/>
  <c r="X4" i="1" s="1"/>
  <c r="X5" i="1" s="1"/>
  <c r="X6" i="1" s="1"/>
  <c r="X7" i="1" s="1"/>
  <c r="X8" i="1" s="1"/>
  <c r="T3" i="1"/>
  <c r="R3" i="1"/>
  <c r="P3" i="1"/>
  <c r="L3" i="1"/>
  <c r="J3" i="1"/>
  <c r="K3" i="1" s="1"/>
  <c r="F3" i="1"/>
  <c r="G3" i="1" s="1"/>
  <c r="G4" i="1" s="1"/>
  <c r="D3" i="1"/>
  <c r="E3" i="1" s="1"/>
  <c r="E4" i="1" s="1"/>
  <c r="E5" i="1" s="1"/>
  <c r="E6" i="1" s="1"/>
  <c r="E7" i="1" s="1"/>
  <c r="W2" i="1"/>
  <c r="R2" i="1"/>
  <c r="S3" i="1" s="1"/>
  <c r="S4" i="1" s="1"/>
  <c r="S5" i="1" s="1"/>
  <c r="S6" i="1" s="1"/>
  <c r="S7" i="1" s="1"/>
  <c r="P2" i="1"/>
  <c r="Q3" i="1" s="1"/>
  <c r="L2" i="1"/>
  <c r="M3" i="1" s="1"/>
  <c r="M4" i="1" s="1"/>
  <c r="M5" i="1" s="1"/>
  <c r="M6" i="1" s="1"/>
  <c r="M7" i="1" s="1"/>
  <c r="M8" i="1" s="1"/>
  <c r="J2" i="1"/>
  <c r="F2" i="1"/>
  <c r="T2" i="1" s="1"/>
  <c r="U3" i="1" s="1"/>
  <c r="U4" i="1" s="1"/>
  <c r="U5" i="1" s="1"/>
  <c r="U6" i="1" s="1"/>
  <c r="U7" i="1" s="1"/>
  <c r="U8" i="1" s="1"/>
  <c r="D2" i="1"/>
  <c r="C1" i="1"/>
  <c r="A1" i="1"/>
  <c r="D1" i="1" l="1"/>
  <c r="E1" i="1" s="1"/>
  <c r="C9" i="1"/>
  <c r="AA3" i="1"/>
  <c r="F9" i="1"/>
  <c r="V223" i="1"/>
  <c r="O223" i="1"/>
  <c r="G5" i="1"/>
  <c r="G6" i="1" s="1"/>
  <c r="G7" i="1" s="1"/>
  <c r="G8" i="1" s="1"/>
  <c r="AA4" i="1" s="1"/>
  <c r="O108" i="1"/>
  <c r="O159" i="1"/>
  <c r="F1" i="1" l="1"/>
  <c r="AA6" i="1"/>
  <c r="AC3" i="1" l="1"/>
  <c r="AC6" i="1" s="1"/>
  <c r="AC5" i="1"/>
  <c r="AC4" i="1"/>
</calcChain>
</file>

<file path=xl/sharedStrings.xml><?xml version="1.0" encoding="utf-8"?>
<sst xmlns="http://schemas.openxmlformats.org/spreadsheetml/2006/main" count="1700" uniqueCount="623">
  <si>
    <t>13/4-18/4</t>
  </si>
  <si>
    <t>OK</t>
  </si>
  <si>
    <t>done</t>
  </si>
  <si>
    <t>thu 2</t>
  </si>
  <si>
    <t>BUN</t>
  </si>
  <si>
    <t>RỚT</t>
  </si>
  <si>
    <t>thu 3</t>
  </si>
  <si>
    <t>máy 1</t>
  </si>
  <si>
    <t>thu 4</t>
  </si>
  <si>
    <t>máy 2</t>
  </si>
  <si>
    <t>thu 5</t>
  </si>
  <si>
    <t>máy 3</t>
  </si>
  <si>
    <t>thu 6</t>
  </si>
  <si>
    <t>thu 7</t>
  </si>
  <si>
    <t>CN</t>
  </si>
  <si>
    <r>
      <t xml:space="preserve">Kế Hoạch Sản Xuất 
</t>
    </r>
    <r>
      <rPr>
        <b/>
        <i/>
        <sz val="35"/>
        <color theme="1"/>
        <rFont val="Times New Roman"/>
        <family val="1"/>
      </rPr>
      <t>Production Planning</t>
    </r>
    <r>
      <rPr>
        <b/>
        <sz val="35"/>
        <color theme="1"/>
        <rFont val="Times New Roman"/>
        <family val="1"/>
      </rPr>
      <t xml:space="preserve">
</t>
    </r>
    <r>
      <rPr>
        <b/>
        <sz val="35"/>
        <color rgb="FF0000FF"/>
        <rFont val="Times New Roman"/>
        <family val="1"/>
      </rPr>
      <t>HANG ASSIC TACH 6MM, LAY 144MM</t>
    </r>
  </si>
  <si>
    <t>ppc/pur imp-chưa nhắc sx</t>
  </si>
  <si>
    <t>NO.ORDER</t>
  </si>
  <si>
    <t>Firm plan</t>
  </si>
  <si>
    <r>
      <t xml:space="preserve">NGÀY SX
</t>
    </r>
    <r>
      <rPr>
        <b/>
        <i/>
        <sz val="25"/>
        <color theme="1"/>
        <rFont val="Times New Roman"/>
        <family val="1"/>
      </rPr>
      <t>Date of Producing</t>
    </r>
  </si>
  <si>
    <t>PUR.NO</t>
  </si>
  <si>
    <t>Bun Code</t>
  </si>
  <si>
    <t>PU code</t>
  </si>
  <si>
    <r>
      <t xml:space="preserve">SL 
</t>
    </r>
    <r>
      <rPr>
        <b/>
        <i/>
        <sz val="25"/>
        <color theme="1"/>
        <rFont val="Times New Roman"/>
        <family val="1"/>
      </rPr>
      <t>Sheet</t>
    </r>
  </si>
  <si>
    <t>SL bun cần Tách</t>
  </si>
  <si>
    <t>Sl bun cần Đổ</t>
  </si>
  <si>
    <t>Brand</t>
  </si>
  <si>
    <t>POV</t>
  </si>
  <si>
    <t>TYPE</t>
  </si>
  <si>
    <r>
      <t xml:space="preserve">SL cần đổ
</t>
    </r>
    <r>
      <rPr>
        <b/>
        <i/>
        <sz val="25"/>
        <rFont val="Times New Roman"/>
        <family val="1"/>
      </rPr>
      <t>Qty need to pour
(bun)</t>
    </r>
  </si>
  <si>
    <r>
      <t xml:space="preserve">Ghi chú
</t>
    </r>
    <r>
      <rPr>
        <b/>
        <i/>
        <sz val="25"/>
        <color theme="1"/>
        <rFont val="Times New Roman"/>
        <family val="1"/>
      </rPr>
      <t>Note</t>
    </r>
  </si>
  <si>
    <t>Status</t>
  </si>
  <si>
    <t>Ngày Sản xuất hoàn thành</t>
  </si>
  <si>
    <t>Ngày giao hàng
ETD</t>
  </si>
  <si>
    <t>ETD hệ thống</t>
  </si>
  <si>
    <t xml:space="preserve">LOAD </t>
  </si>
  <si>
    <t>Out put
Thực Đổ</t>
  </si>
  <si>
    <t>Còn lại</t>
  </si>
  <si>
    <t>Sl QC check</t>
  </si>
  <si>
    <t>Sl đã giao</t>
  </si>
  <si>
    <t>Sl chưa giao</t>
  </si>
  <si>
    <t>g</t>
  </si>
  <si>
    <t>note 1</t>
  </si>
  <si>
    <t>note 2</t>
  </si>
  <si>
    <t>note 3</t>
  </si>
  <si>
    <t>note 4</t>
  </si>
  <si>
    <t>note 5</t>
  </si>
  <si>
    <t>F-2026-04-52</t>
  </si>
  <si>
    <t>RPRO-260403-0440</t>
  </si>
  <si>
    <t>13/4</t>
  </si>
  <si>
    <t>Pro.sche.report 02.04</t>
  </si>
  <si>
    <t>BDB-000076</t>
  </si>
  <si>
    <t>PVN-004119</t>
  </si>
  <si>
    <t>OrthoLite X-25 BILLIARD/16-5427TPX Flat Sheet 0.12D 20+/-4 Asker C 1.1M 2M 6.5mm</t>
  </si>
  <si>
    <t>ONE8</t>
  </si>
  <si>
    <t>Pr.Sch.R</t>
  </si>
  <si>
    <t>MOLDED</t>
  </si>
  <si>
    <t>Đơn cũ w15</t>
  </si>
  <si>
    <t>ok</t>
  </si>
  <si>
    <t>l1</t>
  </si>
  <si>
    <t>m1</t>
  </si>
  <si>
    <t>F-2026-04-74</t>
  </si>
  <si>
    <t>RPRO-260406-1112</t>
  </si>
  <si>
    <t>Pro.sche.report 3.4+4.4</t>
  </si>
  <si>
    <t>BDB-000313</t>
  </si>
  <si>
    <t>PVN-004061</t>
  </si>
  <si>
    <t>OrthoLite X-55 RED/19-1764TPX Flat Sheet 0.16D 25+/-4 Asker C 1.1M 1.47M 18mm</t>
  </si>
  <si>
    <t>WILSON</t>
  </si>
  <si>
    <t>l2</t>
  </si>
  <si>
    <t>F-2026-03-390</t>
  </si>
  <si>
    <t>FPRO-260318-0034</t>
  </si>
  <si>
    <t>Firm plan 18.3</t>
  </si>
  <si>
    <t>BDB-000052</t>
  </si>
  <si>
    <t>PVN-003603</t>
  </si>
  <si>
    <t>OrthoLite X-40 TRUE BLUE/19-4057TPX Flat Sheet 0.16D 25+/-4 Asker C 1.1M 1.47M 12mm</t>
  </si>
  <si>
    <t>ASICS</t>
  </si>
  <si>
    <t>Forecast</t>
  </si>
  <si>
    <t>F-2026-03-597</t>
  </si>
  <si>
    <t>FPRO-260330-0019</t>
  </si>
  <si>
    <t>Firm plan 30.3</t>
  </si>
  <si>
    <t>BDB-000273</t>
  </si>
  <si>
    <t>PVN-004138</t>
  </si>
  <si>
    <t>OrthoLite X-40-Hybrid SEEDPEARL/12-0703TPX Hybrid Flat Sheet 0.16D 25+/-4 Asker C 1.1M 2M 5.5mm</t>
  </si>
  <si>
    <t>ON RUNNING</t>
  </si>
  <si>
    <t>F-2026-04-68</t>
  </si>
  <si>
    <t>RPRO-260406-1106</t>
  </si>
  <si>
    <t>BDB-000077</t>
  </si>
  <si>
    <t>PVN-004147</t>
  </si>
  <si>
    <t>OrthoLite X-25 SEEDPEARL/12-0703TPX Flat Sheet 0.12D 20+/-4 Asker C 1.1M 2M 5.5mm</t>
  </si>
  <si>
    <t>F-2026-03-366</t>
  </si>
  <si>
    <t>FPRO-260318-0010</t>
  </si>
  <si>
    <t>BDB-000113</t>
  </si>
  <si>
    <t>PVN-002465</t>
  </si>
  <si>
    <t>OrthoLite Regular-Hybrid SEEDPEARL/12-0703TPX Hybrid Flat Sheet 0.11D 25+/-4 Asker C 1.1M 2M 5mm</t>
  </si>
  <si>
    <t>DIE CUT</t>
  </si>
  <si>
    <t>F-2026-03-377</t>
  </si>
  <si>
    <t>FPRO-260318-0021</t>
  </si>
  <si>
    <t>13/4-'14/4</t>
  </si>
  <si>
    <t>PVN-003414</t>
  </si>
  <si>
    <t>OrthoLite Regular-Hybrid SEEDPEARL/12-0703TPX Hybrid Flat Sheet 0.11D 25+/-4 Asker C 1.1M 2M 12mm</t>
  </si>
  <si>
    <t>F-2026-04-142</t>
  </si>
  <si>
    <t>FPRO-260410-0002</t>
  </si>
  <si>
    <t>14/4</t>
  </si>
  <si>
    <t>Firm plan 10.4</t>
  </si>
  <si>
    <t>BDB-000386</t>
  </si>
  <si>
    <t>PVN-004384</t>
  </si>
  <si>
    <t>OrthoLite Impressions TAWNY PORT/19-1725TPX 0.15D 70-80 Asker F 1.1M 1.7M 3mm</t>
  </si>
  <si>
    <t>FOOTJOY</t>
  </si>
  <si>
    <t>c Nha</t>
  </si>
  <si>
    <t>list 1_add 2</t>
  </si>
  <si>
    <t>F-2026-03-599</t>
  </si>
  <si>
    <t>FPRO-260330-0021</t>
  </si>
  <si>
    <t>Gấp-uu tiên 1</t>
  </si>
  <si>
    <t>F-2026-04-76</t>
  </si>
  <si>
    <t>RPRO-260406-1114</t>
  </si>
  <si>
    <t>BDB-000324</t>
  </si>
  <si>
    <t>PVN-004129</t>
  </si>
  <si>
    <t>OrthoLite X-40 TRUE BLUE/19-4057TPX Flat Sheet 0.16D 25+/-4 Asker C 1.1M 2M 5.5mm</t>
  </si>
  <si>
    <t>F-2026-04-106</t>
  </si>
  <si>
    <t>RPRO-260409-0292</t>
  </si>
  <si>
    <t>Pro.sche.report 07.4+08.4</t>
  </si>
  <si>
    <t>BDB-000325</t>
  </si>
  <si>
    <t>PVN-004115</t>
  </si>
  <si>
    <t>OrthoLite X-40 TRUE BLUE/19-4057TPX Flat Sheet 0.16D 35+/-4 Asker C 1.1M 2M 4mm</t>
  </si>
  <si>
    <t>F-2026-03-372</t>
  </si>
  <si>
    <t>FPRO-260318-0016</t>
  </si>
  <si>
    <t>BDB-000051</t>
  </si>
  <si>
    <t>PVN-003319</t>
  </si>
  <si>
    <t>OrthoLite X-40 TRUE BLUE/19-4057TPX Flat Sheet 0.16D 25+/-4 Asker C 1.1M 1.7M 12mm</t>
  </si>
  <si>
    <t>F-2026-04-103</t>
  </si>
  <si>
    <t>RPRO-260409-0289</t>
  </si>
  <si>
    <t>F-2026-03-497</t>
  </si>
  <si>
    <t>FPRO-260324-0069</t>
  </si>
  <si>
    <t>Firm plan 24.3</t>
  </si>
  <si>
    <t>BDB-000157</t>
  </si>
  <si>
    <t>PVN-003573</t>
  </si>
  <si>
    <t>OrthoLite X-35-Hybrid-Nike SEEDPEARL/12-0703TPX Hybrid 0.145D 25+/-4 Asker C 1.1M 2M 4.2mm</t>
  </si>
  <si>
    <t>NIKE</t>
  </si>
  <si>
    <t>F-2026-02-253</t>
  </si>
  <si>
    <t>FPRO-260211-0073</t>
  </si>
  <si>
    <t>Firm plan 11.2</t>
  </si>
  <si>
    <t>BDB-000348</t>
  </si>
  <si>
    <t>PVN-004195</t>
  </si>
  <si>
    <t>OrthoLite IMPERIAL SEEDPEARL/12-0703TPX Flat Sheet 0.22D 25+/-4 Asker C 1.1M 1.47M 4mm</t>
  </si>
  <si>
    <t>ADIDAS</t>
  </si>
  <si>
    <t>SPLITTING</t>
  </si>
  <si>
    <t xml:space="preserve">W15 đổ dư 30 bun </t>
  </si>
  <si>
    <t>F-2026-03-383</t>
  </si>
  <si>
    <t>FPRO-260318-0027</t>
  </si>
  <si>
    <t>14/4-15/4</t>
  </si>
  <si>
    <t>BDB-000235</t>
  </si>
  <si>
    <t>PVN-003576</t>
  </si>
  <si>
    <t>OrthoLite X-55-Hybrid FOSSIL/17-0909TPX Hybrid Flat Sheet 0.16D 25+/-4 Asker C 1.1M 1.7M 12mm</t>
  </si>
  <si>
    <t>F-2026-04-102</t>
  </si>
  <si>
    <t>RPRO-260409-0288</t>
  </si>
  <si>
    <t>15/4</t>
  </si>
  <si>
    <t>F-2026-03-392</t>
  </si>
  <si>
    <t>FPRO-260319-0002</t>
  </si>
  <si>
    <t>Firm plan 19.3</t>
  </si>
  <si>
    <t>F-2026-01-505</t>
  </si>
  <si>
    <t>FPRO-260130-0028</t>
  </si>
  <si>
    <t>15/4-16/4</t>
  </si>
  <si>
    <t>Firm plan 30.01</t>
  </si>
  <si>
    <t>PVN-002501</t>
  </si>
  <si>
    <t>OrthoLite Regular-Hybrid SEEDPEARL/12-0703TPX Hybrid Flat Sheet 0.11D 25+/-4 Asker C 1.1M 2M 2mm</t>
  </si>
  <si>
    <t>F-2026-03-367</t>
  </si>
  <si>
    <t>FPRO-260318-0011</t>
  </si>
  <si>
    <t>16/4</t>
  </si>
  <si>
    <t>F-2026-04-108</t>
  </si>
  <si>
    <t>RPRO-260409-0294</t>
  </si>
  <si>
    <t>PVN-003494</t>
  </si>
  <si>
    <t>OrthoLite X-25 BILLIARD/16-5427TPX Flat Sheet 0.12D 20+/-4 Asker C 1.1M 2M 5.5mm</t>
  </si>
  <si>
    <t>LOTTO</t>
  </si>
  <si>
    <t>F-2026-04-122</t>
  </si>
  <si>
    <t>RPRO-260410-0205</t>
  </si>
  <si>
    <t>Pro.sche.report 09.4</t>
  </si>
  <si>
    <t>ppc/pur imp-đã nhắc sx</t>
  </si>
  <si>
    <t>F-2026-04-85</t>
  </si>
  <si>
    <t>RPRO-260407-0078</t>
  </si>
  <si>
    <t>Pro.sche.report 06.04</t>
  </si>
  <si>
    <t>BDB-000309</t>
  </si>
  <si>
    <t>PVN-004033</t>
  </si>
  <si>
    <t>OrthoLite X-40-Hybrid NEUTRAL GRAY/17-4402TPX Hybrid Flat Sheet 0.16D 35+/-4 Asker C 1.1M 2M 2mm</t>
  </si>
  <si>
    <t>REDWING</t>
  </si>
  <si>
    <t>F-2026-04-89</t>
  </si>
  <si>
    <t>RPRO-260407-0082</t>
  </si>
  <si>
    <t>BDB-000373</t>
  </si>
  <si>
    <t>PVN-004315</t>
  </si>
  <si>
    <t>OrthoLite X-25-Nike BILLIARD/16-5427TPX Flat Sheet 0.12D 20+/-4 Asker C 1.1M 2M 5mm</t>
  </si>
  <si>
    <t>F-2026-04-141</t>
  </si>
  <si>
    <t>FPRO-260410-0001</t>
  </si>
  <si>
    <t>BDB-000385</t>
  </si>
  <si>
    <t>PVN-004381</t>
  </si>
  <si>
    <t>OrthoLite Impressions-Nike TAWNY PORT/19-1725TPX 0.15D 70-80 Asker F 1.1M 1.7M 3mm</t>
  </si>
  <si>
    <t>F-2026-04-118</t>
  </si>
  <si>
    <t>RPRO-260410-0201</t>
  </si>
  <si>
    <t>BDB-000319</t>
  </si>
  <si>
    <t>PVN-004247</t>
  </si>
  <si>
    <t>OrthoLite X-40-Hybrid-Nike SEEDPEARL/12-0703TPX Hybrid Flat Sheet 0.16D 25+/-4 Asker C 1.1M 2M 4.2mm</t>
  </si>
  <si>
    <t>F-2026-03-457-1</t>
  </si>
  <si>
    <t>FPRO-260330-0004</t>
  </si>
  <si>
    <t>BDB-000156</t>
  </si>
  <si>
    <t>PVN-003243</t>
  </si>
  <si>
    <t>OrthoLite X-35-Hybrid-Nike AMAZON/18-6024TPX Hybrid 0.145D 25+/-4 Asker C 1.1M 2M 5.2mm</t>
  </si>
  <si>
    <t>F-2026-03-463-1</t>
  </si>
  <si>
    <t>FPRO-260324-0035</t>
  </si>
  <si>
    <t>BDB-000259</t>
  </si>
  <si>
    <t>PVN-003684</t>
  </si>
  <si>
    <t>OrthoLite Nike PP002 GLACIER GRAY/14-4102TPX Flat Sheet 0.145D 25+/-4 asker C 1.1M 2M 4.2mm</t>
  </si>
  <si>
    <t>F-2026-03-493</t>
  </si>
  <si>
    <t>FPRO-260324-0065</t>
  </si>
  <si>
    <t>list 1_add</t>
  </si>
  <si>
    <t>keep ETD</t>
  </si>
  <si>
    <t>F-2026-04-84</t>
  </si>
  <si>
    <t>RPRO-260407-0077</t>
  </si>
  <si>
    <t>BDB-000248</t>
  </si>
  <si>
    <t>PVN-003931</t>
  </si>
  <si>
    <t>OrthoLite X-40-Hybrid RED/19-1764TPX Hybrid Flat Sheet 0.16D 25+/-4 Asker C 1.1M 1.7M 6.5mm</t>
  </si>
  <si>
    <t>F-2026-04-62</t>
  </si>
  <si>
    <t>RPRO-260406-1100</t>
  </si>
  <si>
    <t>BDB-000346</t>
  </si>
  <si>
    <t>PVN-004188</t>
  </si>
  <si>
    <t>OrthoLite Float NEUTRAL GRAY/17-4402TPX Flat Sheet 0.12D 21+/-4 Asker C 1.1M 1.47M 5.5mm</t>
  </si>
  <si>
    <t>PUMA</t>
  </si>
  <si>
    <t>F-2026-04-69</t>
  </si>
  <si>
    <t>RPRO-260406-1107</t>
  </si>
  <si>
    <t>BDB-000339</t>
  </si>
  <si>
    <t>PVN-004178</t>
  </si>
  <si>
    <t>OrthoLite Float NEUTRAL GRAY/17-4402TPX Flat Sheet 0.12D 21+/-4 Asker C 1.1M 2M 5.5mm</t>
  </si>
  <si>
    <t>F-2026-04-67</t>
  </si>
  <si>
    <t>RPRO-260406-1105</t>
  </si>
  <si>
    <t>BDB-000332</t>
  </si>
  <si>
    <t>PVN-004146</t>
  </si>
  <si>
    <t>OrthoLite X-25 CASTLEROCK/18-0201TPX Flat Sheet 0.12D 20+/-4 Asker C 1.1M 2M 5.5mm</t>
  </si>
  <si>
    <t>F-2026-04-107</t>
  </si>
  <si>
    <t>RPRO-260409-0293</t>
  </si>
  <si>
    <t>BDB-000334</t>
  </si>
  <si>
    <t>PVN-004327</t>
  </si>
  <si>
    <t>OrthoLite X-55-Hybrid FOSSIL/17-0909TPX Hybrid Flat Sheet 0.16D 25+/-4 Asker C 1.1M 2M 6mm</t>
  </si>
  <si>
    <t xml:space="preserve">W15 đổ dư 8 bun </t>
  </si>
  <si>
    <t>F-2026-04-117</t>
  </si>
  <si>
    <t>RPRO-260410-0200</t>
  </si>
  <si>
    <t>BDB-000212</t>
  </si>
  <si>
    <t>PVN-003458</t>
  </si>
  <si>
    <t>OrthoLite X-25-Hybrid SEEDPEARL/12-0703TPX Hybrid Flat Sheet 0.12D 20+/-4 Asker C 1.1M 2M 4mm</t>
  </si>
  <si>
    <t>F-2026-04-123</t>
  </si>
  <si>
    <t>RPRO-260410-0206</t>
  </si>
  <si>
    <t>BDB-000213</t>
  </si>
  <si>
    <t>PVN-003752</t>
  </si>
  <si>
    <t>OrthoLite X-25-Hybrid SEEDPEARL/12-0703TPX Hybrid Flat Sheet 0.12D 20+/-4 Asker C 1.1M 1.47M 4.5mm</t>
  </si>
  <si>
    <t>F-2026-04-121</t>
  </si>
  <si>
    <t>RPRO-260410-0204</t>
  </si>
  <si>
    <t>BDB-000340</t>
  </si>
  <si>
    <t>PVN-004177</t>
  </si>
  <si>
    <t>OrthoLite Float SEEDPEARL/12-0703TPX Flat Sheet 0.12D 21+/-4 Asker C 1.1M 2M 5.5mm</t>
  </si>
  <si>
    <t>F-2026-04-124</t>
  </si>
  <si>
    <t>RPRO-260410-0207</t>
  </si>
  <si>
    <t>BDB-000321</t>
  </si>
  <si>
    <t>PVN-004104</t>
  </si>
  <si>
    <t>OrthoLite Float BLUE ATOLL/16-4535TPX Flat Sheet 0.12D 21+/-4 Asker C 1.1M 2M 5mm</t>
  </si>
  <si>
    <t>DESCENTE</t>
  </si>
  <si>
    <t>F-2026-04-125</t>
  </si>
  <si>
    <t>RPRO-260410-0208</t>
  </si>
  <si>
    <t>16/4-17/4</t>
  </si>
  <si>
    <t>PVN-004092</t>
  </si>
  <si>
    <t>OrthoLite Float BLUE ATOLL/16-4535TPX Flat Sheet 0.12D 21+/-4 Asker C 1.1M 2M 14.5mm</t>
  </si>
  <si>
    <t>LOWA</t>
  </si>
  <si>
    <t>RELEASE ĐỢT 1</t>
  </si>
  <si>
    <t>F-2026-04-171</t>
  </si>
  <si>
    <t>RPRO-260414-0218</t>
  </si>
  <si>
    <t>17/4</t>
  </si>
  <si>
    <t>Pro.sche.report 13.04</t>
  </si>
  <si>
    <t>BDB-000055</t>
  </si>
  <si>
    <t>PVN-003326</t>
  </si>
  <si>
    <t>OrthoLite X-40 TRUE BLUE/19-4057TPX Flat Sheet 0.16D 35+/-4 Asker C 1.1M 1.7M 14mm</t>
  </si>
  <si>
    <t>F-2026-04-157</t>
  </si>
  <si>
    <t>RPRO-260413-0275</t>
  </si>
  <si>
    <t>Pro.sche.report 10.4+11.04+12.04</t>
  </si>
  <si>
    <t>F-2026-04-165</t>
  </si>
  <si>
    <t>RPRO-260413-0283</t>
  </si>
  <si>
    <t>PVN-003478</t>
  </si>
  <si>
    <t>Ortholite X-25 SEEDPEARL/12-0703TPX Flat Sheet 0.12D 20+/-4 Asker C 1.1M 2M 4mm</t>
  </si>
  <si>
    <t>SOLEWORKS</t>
  </si>
  <si>
    <t>F-2026-04-152</t>
  </si>
  <si>
    <t>RPRO-260413-0270</t>
  </si>
  <si>
    <t>BDB-000117</t>
  </si>
  <si>
    <t>PVN-003234</t>
  </si>
  <si>
    <t>OrthoLite X-35-Hybrid SEEDPEARL/12-0703TPX Hybrid Flat Sheet 0.145D 25+/-4 Asker C 1.1M 2M 5.5mm</t>
  </si>
  <si>
    <t>F-2026-04-148</t>
  </si>
  <si>
    <t>RPRO-260413-0266</t>
  </si>
  <si>
    <t>MPS 10.4+11.04+12.04</t>
  </si>
  <si>
    <t>BDB-000056</t>
  </si>
  <si>
    <t>PVN-001983</t>
  </si>
  <si>
    <t>OrthoLite X-40 SEEDPEARL/12-0703TPX Flat Sheet 0.16D 25+/-4 Asker C 1.1M 1.7M 5mm</t>
  </si>
  <si>
    <t>MPS</t>
  </si>
  <si>
    <t>F-2026-04-161</t>
  </si>
  <si>
    <t>RPRO-260413-0279</t>
  </si>
  <si>
    <t>BDB-000154</t>
  </si>
  <si>
    <t>PVN-003347</t>
  </si>
  <si>
    <t>OrthoLite X-40-Nike TRUE BLUE/19-4057TPX Flat Sheet 0.16D 35+/-4 Asker C 1.1M 1.7M 4mm</t>
  </si>
  <si>
    <t>LAMINATING</t>
  </si>
  <si>
    <t>F-2026-02-254</t>
  </si>
  <si>
    <t>FPRO-260211-0074</t>
  </si>
  <si>
    <t>Don't keep -hết demand</t>
  </si>
  <si>
    <t>F-2026-03-384</t>
  </si>
  <si>
    <t>FPRO-260318-0028</t>
  </si>
  <si>
    <t>17/4-18/4</t>
  </si>
  <si>
    <t>Keep ETD</t>
  </si>
  <si>
    <t>F-2026-04-153</t>
  </si>
  <si>
    <t>RPRO-260413-0271</t>
  </si>
  <si>
    <t>18/4</t>
  </si>
  <si>
    <t>BDB-000123</t>
  </si>
  <si>
    <t>PVN-002884</t>
  </si>
  <si>
    <t>OrthoLite Ultra-Hybrid SEEDPEARL/12-0703TPX Hybrid Flat Sheet 0.085D 25+/-4 Asker C 1.1M 2M 10mm</t>
  </si>
  <si>
    <t>F-2026-02-233</t>
  </si>
  <si>
    <t>FPRO-260211-0053</t>
  </si>
  <si>
    <t>PVN-003299</t>
  </si>
  <si>
    <t>OrthoLite Ultra-Hybrid SEEDPEARL/12-0703TPX Hybrid 0.085D 25+/-4 Asker C 1.1M 2M 3mm</t>
  </si>
  <si>
    <t>Don't keep- DP đang chuẩn bị lượng dư nhiều rồi</t>
  </si>
  <si>
    <t>F-2026-02-217</t>
  </si>
  <si>
    <t>FPRO-260211-0037</t>
  </si>
  <si>
    <t>PVN-003298</t>
  </si>
  <si>
    <t>OrthoLite Ultra-Hybrid SEEDPEARL/12-0703TPX Hybrid 0.085D 25+/-4 Asker C 1.1M 2M 4mm</t>
  </si>
  <si>
    <t>F-2026-04-55</t>
  </si>
  <si>
    <t>FPRO-260401-0003</t>
  </si>
  <si>
    <t>Firm plan 01.04</t>
  </si>
  <si>
    <t>PVN-004091</t>
  </si>
  <si>
    <t>OrthoLite X-25 BILLIARD/16-5427TPX Flat Sheet 0.12D 20+/-4 Asker C 1.1M 2M 3.5mm</t>
  </si>
  <si>
    <t>BROOKS</t>
  </si>
  <si>
    <t>F-2026-03-458</t>
  </si>
  <si>
    <t>FPRO-260324-0030</t>
  </si>
  <si>
    <t>18/4-20/4</t>
  </si>
  <si>
    <t>RELEASE ĐỢT 2</t>
  </si>
  <si>
    <t>F-2026-03-601</t>
  </si>
  <si>
    <t>FPRO-260330-0023</t>
  </si>
  <si>
    <t>BDB-000355</t>
  </si>
  <si>
    <t>PVN-004231</t>
  </si>
  <si>
    <t>OrthoLite HybridPlus-Recycled CASTLEROCK/18-0201TPX Hybrid 0.12D 25+/-4 Asker C 1.1M 2M 4.5mm</t>
  </si>
  <si>
    <t>m2</t>
  </si>
  <si>
    <t>F-2026-04-78</t>
  </si>
  <si>
    <t>FPRO-260406-0009</t>
  </si>
  <si>
    <t>Firm plan 06.4</t>
  </si>
  <si>
    <t>BDB-000180</t>
  </si>
  <si>
    <t>PVN-003236</t>
  </si>
  <si>
    <t>OrthoLite Eco LT-Hybrid-Converse SEEDPEARL/12-0703TPX Hybrid 0.13D 25+/-4 Asker C 1.1M 2M 5mm</t>
  </si>
  <si>
    <t>CONVERSE</t>
  </si>
  <si>
    <t>F-2026-04-80-2</t>
  </si>
  <si>
    <t>FPRO-260409-0009</t>
  </si>
  <si>
    <t>BDB-000181</t>
  </si>
  <si>
    <t>PVN-003238</t>
  </si>
  <si>
    <t>OrthoLite Eco LT-Hybrid-Converse SEEDPEARL/12-0703TPX Hybrid 0.11D 25+/-4 Asker C 1.1M 2M 5mm</t>
  </si>
  <si>
    <t>F-2026-04-81-1</t>
  </si>
  <si>
    <t>FPRO-260406-0012</t>
  </si>
  <si>
    <t>F-2026-04-81-3</t>
  </si>
  <si>
    <t>FPRO-260408-0002</t>
  </si>
  <si>
    <t>F-2026-04-81-2</t>
  </si>
  <si>
    <t>FPRO-260408-0001</t>
  </si>
  <si>
    <t>F-2026-04-79</t>
  </si>
  <si>
    <t>FPRO-260406-0010</t>
  </si>
  <si>
    <t>F-2026-02-216-1</t>
  </si>
  <si>
    <t>FPRO-260211-0036</t>
  </si>
  <si>
    <t xml:space="preserve">W15 đổ dư 16 bun </t>
  </si>
  <si>
    <t>F-2026-02-111</t>
  </si>
  <si>
    <t>FPRO-260206-0008</t>
  </si>
  <si>
    <t>Firm plan 06.2</t>
  </si>
  <si>
    <t>BDB-000097</t>
  </si>
  <si>
    <t>PVN-002478</t>
  </si>
  <si>
    <t>OrthoLite Eco LT-Hybrid SEEDPEARL/12-0703TPX Hybrid 0.11D 25+/-4 Asker C 1.1M 2M 4mm</t>
  </si>
  <si>
    <t>NEW BALANCE</t>
  </si>
  <si>
    <t>F-2026-02-112</t>
  </si>
  <si>
    <t>FPRO-260206-0009</t>
  </si>
  <si>
    <t>13/4-14/4</t>
  </si>
  <si>
    <t>F-2026-03-486</t>
  </si>
  <si>
    <t>FPRO-260324-0058</t>
  </si>
  <si>
    <t>BDB-000175</t>
  </si>
  <si>
    <t>PVN-002875</t>
  </si>
  <si>
    <t>OrthoLite Ultra-Hybrid-Nike SEEDPEARL/12-0703TPX Hybrid 0.085D 25+/-4 Asker C 1.1M 2M 3mm</t>
  </si>
  <si>
    <t>F-2026-02-287</t>
  </si>
  <si>
    <t>FPRO-260212-0038</t>
  </si>
  <si>
    <t>Firm plan 12.02</t>
  </si>
  <si>
    <t>PVN-002966</t>
  </si>
  <si>
    <t>OrthoLite Ultra-Hybrid-Nike SEEDPEARL/12-0703TPX Hybrid 0.085D 25+/-4 Asker C 1.1M 2M 4mm</t>
  </si>
  <si>
    <t>F-2026-04-70</t>
  </si>
  <si>
    <t>RPRO-260406-1108</t>
  </si>
  <si>
    <t>BDB-000229</t>
  </si>
  <si>
    <t>PVN-003692</t>
  </si>
  <si>
    <t>OrthoLite Ultra-Hybrid SEEDPEARL/12-0703TPX Hybrid Flat Sheet 0.095D 33+/-4 Asker C 1.1M 2M 15.5mm</t>
  </si>
  <si>
    <t>GARMONT</t>
  </si>
  <si>
    <t>F-2026-02-216-2</t>
  </si>
  <si>
    <t>FPRO-260401-0011</t>
  </si>
  <si>
    <t>F-2026-04-99</t>
  </si>
  <si>
    <t>RPRO-260409-0285</t>
  </si>
  <si>
    <t>MPS 07.4+08.4</t>
  </si>
  <si>
    <t>PVN-003300</t>
  </si>
  <si>
    <t>OrthoLite Ultra-Hybrid SEEDPEARL/12-0703TPX Hybrid Flat Sheet 0.085D 25+/-4 Asker C 1.1M 2M 2mm</t>
  </si>
  <si>
    <t>F-2026-02-224</t>
  </si>
  <si>
    <t>FPRO-260211-0044</t>
  </si>
  <si>
    <t>F-2026-04-54</t>
  </si>
  <si>
    <t>FPRO-260401-0001</t>
  </si>
  <si>
    <t>PVN-002973</t>
  </si>
  <si>
    <t>OrthoLite Ultra-Hybrid SEEDPEARL/12-0703TPX Hybrid 0.085D 25+/-4 Asker C 1.1M 2M 4.5mm</t>
  </si>
  <si>
    <t>SALOMON</t>
  </si>
  <si>
    <t>F-2026-02-192</t>
  </si>
  <si>
    <t>FPRO-260211-0012</t>
  </si>
  <si>
    <t>F-2026-04-126</t>
  </si>
  <si>
    <t>RPRO-260410-0209</t>
  </si>
  <si>
    <t>PVN-003743</t>
  </si>
  <si>
    <t>OrthoLite Ultra-Hybrid SEEDPEARL/12-0703TPX Hybrid Flat Sheet 0.085D 25+/-4 Asker C 1.1M 2M 5.5mm</t>
  </si>
  <si>
    <t>F-2026-02-219</t>
  </si>
  <si>
    <t>FPRO-260211-0039</t>
  </si>
  <si>
    <t>F-2026-04-119</t>
  </si>
  <si>
    <t>RPRO-260410-0202</t>
  </si>
  <si>
    <t>BDB-000107</t>
  </si>
  <si>
    <t>PVN-003482</t>
  </si>
  <si>
    <t>OrthoLite Eco LT-Hybrid SEEDPEARL/12-0703TPX Hybrid Flat Sheet 0.11D 25+/-4 Asker C 1.1M 1.47M 4mm</t>
  </si>
  <si>
    <t xml:space="preserve">tồn bên tách </t>
  </si>
  <si>
    <t>F-2026-03-378</t>
  </si>
  <si>
    <t>FPRO-260318-0022</t>
  </si>
  <si>
    <t>F-2026-04-116</t>
  </si>
  <si>
    <t>RPRO-260410-0199</t>
  </si>
  <si>
    <t>PVN-003601</t>
  </si>
  <si>
    <t>OrthoLite Regular-Hybrid SEEDPEARL/12-0703TPX Hybrid Flat Sheet 0.11D 25+/-4 Asker C 1.1M 2M 20mm</t>
  </si>
  <si>
    <t>F-2026-03-395-2</t>
  </si>
  <si>
    <t>FPRO-260328-0001</t>
  </si>
  <si>
    <t>ppc/pur imp-keep etd</t>
  </si>
  <si>
    <t>Keep-Lô SLT do tồn SLT đang =0</t>
  </si>
  <si>
    <t>F-2026-04-155</t>
  </si>
  <si>
    <t>RPRO-260413-0273</t>
  </si>
  <si>
    <t>BDB-000149</t>
  </si>
  <si>
    <t>PVN-002827</t>
  </si>
  <si>
    <t>OrthoLite Regular-Hybrid-Nike SEEDPEARL/12-0703TPX Hybrid Flat Sheet 0.11D 25+/-4 Asker C 1.1M 2M 5mm</t>
  </si>
  <si>
    <t>F-2026-04-170</t>
  </si>
  <si>
    <t>RPRO-260414-0217</t>
  </si>
  <si>
    <t>F-2026-04-159</t>
  </si>
  <si>
    <t>RPRO-260413-0277</t>
  </si>
  <si>
    <t>F-2026-04-169</t>
  </si>
  <si>
    <t>RPRO-260414-0216</t>
  </si>
  <si>
    <t>F-2026-03-368</t>
  </si>
  <si>
    <t>FPRO-260318-0012</t>
  </si>
  <si>
    <t>Don't keep-DP đang chuẩn bị nhiều</t>
  </si>
  <si>
    <t>F-2026-03-293</t>
  </si>
  <si>
    <t>FPRO-260317-0001</t>
  </si>
  <si>
    <t>Firm plan 17.03</t>
  </si>
  <si>
    <t>F-2026-03-298</t>
  </si>
  <si>
    <t>FPRO-260317-0007</t>
  </si>
  <si>
    <t>F-2026-04-162</t>
  </si>
  <si>
    <t>RPRO-260413-0280</t>
  </si>
  <si>
    <t>PVN-003671</t>
  </si>
  <si>
    <t>OrthoLite Eco LT-Hybrid SEEDPEARL/12-0703TPX Hybrid Flat Sheet 0.11D 25+/-4 Asker C 1.1M 2M 13mm</t>
  </si>
  <si>
    <t>F-2026-04-166</t>
  </si>
  <si>
    <t>RPRO-260414-0213</t>
  </si>
  <si>
    <t>MPS 13.04</t>
  </si>
  <si>
    <t>F-2026-04-96</t>
  </si>
  <si>
    <t>RPRO-260409-0282</t>
  </si>
  <si>
    <t>BDB-000057</t>
  </si>
  <si>
    <t>PVN-000925</t>
  </si>
  <si>
    <t>OrthoLite Ultra YELLOW/13-0858TPX Flat Sheet 0.085D 25+/-4 Asker C 1.1M 2M 5mm</t>
  </si>
  <si>
    <t>m3</t>
  </si>
  <si>
    <t>F-2026-04-75</t>
  </si>
  <si>
    <t>RPRO-260406-1113</t>
  </si>
  <si>
    <t>BDB-000317</t>
  </si>
  <si>
    <t>PVN-004293</t>
  </si>
  <si>
    <t>OrthoLite Regular NEUTRAL GRAY/17-4402TPX Flat Sheet 0.13D 15+/-4 Asker C 1.1M 2M 22mm</t>
  </si>
  <si>
    <t>TRAVIS MATHEW</t>
  </si>
  <si>
    <t>F-2026-04-105</t>
  </si>
  <si>
    <t>RPRO-260409-0291</t>
  </si>
  <si>
    <t>PVN-004076</t>
  </si>
  <si>
    <t>OrthoLite Regular NEUTRAL GRAY/17-4402TPX Flat Sheet 0.13D 15+/-4 Asker C 1.1M 2M 24mm</t>
  </si>
  <si>
    <t>F-2026-03-313</t>
  </si>
  <si>
    <t>RPRO-260319-0545</t>
  </si>
  <si>
    <t>Pro.sche.report 17.3+18.3</t>
  </si>
  <si>
    <t>BDB-000162</t>
  </si>
  <si>
    <t>PVN-001566</t>
  </si>
  <si>
    <t>OrthoLite Ultra-Nike SEEDPEARL/12-0703TPX Flat Sheet 0.085D 25+/-4 Asker C 1.1M 2M 4mm</t>
  </si>
  <si>
    <t>F-2026-03-435</t>
  </si>
  <si>
    <t>FPRO-260324-0006</t>
  </si>
  <si>
    <t>OrthoLite Ultra-Nike SEEDPEARL/12-0703TPX 0.085D 25+/-4 Asker C 1.1M 2M 4mm</t>
  </si>
  <si>
    <t>F-2026-03-430</t>
  </si>
  <si>
    <t>FPRO-260324-0001</t>
  </si>
  <si>
    <t>SOIN-2026.04.13-01</t>
  </si>
  <si>
    <t>RPRO-260415-0095</t>
  </si>
  <si>
    <t>SOIN</t>
  </si>
  <si>
    <t>BDB-000300</t>
  </si>
  <si>
    <t>PVN-004267</t>
  </si>
  <si>
    <r>
      <t xml:space="preserve">[116-12954] Ultra </t>
    </r>
    <r>
      <rPr>
        <b/>
        <sz val="21"/>
        <color rgb="FFFF0000"/>
        <rFont val="Times New Roman"/>
        <family val="1"/>
      </rPr>
      <t xml:space="preserve">Nike </t>
    </r>
    <r>
      <rPr>
        <sz val="21"/>
        <color rgb="FF000000"/>
        <rFont val="Times New Roman"/>
        <family val="1"/>
      </rPr>
      <t xml:space="preserve">25+/-4 Asker C 0.085D Seedpearl 12-0703 Tpx 1.10M X </t>
    </r>
    <r>
      <rPr>
        <b/>
        <sz val="21"/>
        <color rgb="FFFF0000"/>
        <rFont val="Times New Roman"/>
        <family val="1"/>
      </rPr>
      <t>1.70M</t>
    </r>
    <r>
      <rPr>
        <sz val="21"/>
        <color rgb="FF000000"/>
        <rFont val="Times New Roman"/>
        <family val="1"/>
      </rPr>
      <t xml:space="preserve"> 47mm</t>
    </r>
  </si>
  <si>
    <t>PO-6686-SO-260225-0027_supplement</t>
  </si>
  <si>
    <t>FLAT SHEET</t>
  </si>
  <si>
    <t>HANG CONT</t>
  </si>
  <si>
    <t/>
  </si>
  <si>
    <t>F-2026-02-304</t>
  </si>
  <si>
    <t>FPRO-260212-0055</t>
  </si>
  <si>
    <t>BDB-000161</t>
  </si>
  <si>
    <t>PVN-001560</t>
  </si>
  <si>
    <t>OrthoLite Ultra-Nike FOSSIL/17-0909TPX 0.085D 25+/-4 Asker C 1.1M 2M 4mm</t>
  </si>
  <si>
    <t>F-2026-03-361-2</t>
  </si>
  <si>
    <t>FPRO-260330-0005</t>
  </si>
  <si>
    <t>BDB-000008</t>
  </si>
  <si>
    <t>PVN-000505</t>
  </si>
  <si>
    <t>OrthoLite Regular LIME GREEN/14-0452TPX Flat Sheet 0.11D 25+/-4 Asker C 1.1M 2M 12mm</t>
  </si>
  <si>
    <t>F-2026-04-101</t>
  </si>
  <si>
    <t>RPRO-260409-0287</t>
  </si>
  <si>
    <t>F-2026-01-490-1</t>
  </si>
  <si>
    <t>FPRO-260130-0013</t>
  </si>
  <si>
    <t>BDB-000011</t>
  </si>
  <si>
    <t>PVN-000258</t>
  </si>
  <si>
    <t>OrthoLite Regular AIR BLUE/16-4134TPX Flat Sheet 0.13D 35+/-4 Asker C 1.1M 2M 2.5mm</t>
  </si>
  <si>
    <t>F-2026-04-72</t>
  </si>
  <si>
    <t>RPRO-260406-1110</t>
  </si>
  <si>
    <t>BDB-000010</t>
  </si>
  <si>
    <t>PVN-003437</t>
  </si>
  <si>
    <t>OrthoLite Regular AIR BLUE/16-4134TPX Flat Sheet 0.11D 25+/-4 Asker C 1.1M 2M 10.5mm</t>
  </si>
  <si>
    <t>F-2026-03-467</t>
  </si>
  <si>
    <t>FPRO-260324-0039</t>
  </si>
  <si>
    <t>BDB-000129</t>
  </si>
  <si>
    <t>PVN-001550</t>
  </si>
  <si>
    <t>OrthoLite Regular-Nike AIR BLUE/16-4134TPX 0.11D 25+/-4 Asker C 1.1M 1.7M 2mm</t>
  </si>
  <si>
    <t>F-2026-03-445</t>
  </si>
  <si>
    <t>FPRO-260324-0017</t>
  </si>
  <si>
    <t>BDB-000125</t>
  </si>
  <si>
    <t>PVN-002413</t>
  </si>
  <si>
    <t>OrthoLite Regular-Nike AIR BLUE/16-4134TPX 0.11D 25+/-4 Asker C 1.1M 2M 4.2mm</t>
  </si>
  <si>
    <t xml:space="preserve">W15 đổ dư 6 bun </t>
  </si>
  <si>
    <t>F-2026-03-185-1</t>
  </si>
  <si>
    <t>FPRO-260309-0001</t>
  </si>
  <si>
    <t>Firm plan 09.3</t>
  </si>
  <si>
    <t>107-6</t>
  </si>
  <si>
    <t>Keep cho lô SLT này</t>
  </si>
  <si>
    <t>F-2026-02-294</t>
  </si>
  <si>
    <t>FPRO-260212-0045</t>
  </si>
  <si>
    <t>BDB-000164</t>
  </si>
  <si>
    <t>PVN-001618</t>
  </si>
  <si>
    <t>OrthoLite Ultra-Nike GREY/17-1501TPX 0.085D 25+/-4 Asker C 1.1M 2M 4mm</t>
  </si>
  <si>
    <t>F-2026-03-546</t>
  </si>
  <si>
    <t>FPRO-260326-0007</t>
  </si>
  <si>
    <t>Firm plan 26.3</t>
  </si>
  <si>
    <t>BDB-000209</t>
  </si>
  <si>
    <t>PVN-003537</t>
  </si>
  <si>
    <t>OrthoLite HybridPlus-Recycled MINT GREEN/11-4805TPX Hybrid 0.12D 25+/-4 Asker C 1.1M 2M 4.5mm</t>
  </si>
  <si>
    <t xml:space="preserve">W15 đổ dư 5 bun </t>
  </si>
  <si>
    <t>F-2026-03-540</t>
  </si>
  <si>
    <t>FPRO-260326-0001</t>
  </si>
  <si>
    <t>223-5</t>
  </si>
  <si>
    <t>F-2026-04-120</t>
  </si>
  <si>
    <t>RPRO-260410-0203</t>
  </si>
  <si>
    <t>PVN-003550</t>
  </si>
  <si>
    <t>OrthoLite HybridPlus-Recycled MINT GREEN/11-4805TPX Hybrid Flat Sheet 0.12D 25+/-4 Asker C 1.1M 2M 6mm</t>
  </si>
  <si>
    <t>F-2026-04-73</t>
  </si>
  <si>
    <t>RPRO-260406-1111</t>
  </si>
  <si>
    <t>BDB-000242</t>
  </si>
  <si>
    <t>PVN-003614</t>
  </si>
  <si>
    <t>OrthoLite Regular GREY/17-1501TPX Flat Sheet 0.11D 5-10 Asker C 1.1M 2M 3.5mm</t>
  </si>
  <si>
    <t>F-2026-04-88</t>
  </si>
  <si>
    <t>RPRO-260407-0081</t>
  </si>
  <si>
    <t>BDB-000067</t>
  </si>
  <si>
    <t>PVN-003691</t>
  </si>
  <si>
    <t>OrthoLite Ultra SEEDPEARL/12-0703TPX Flat Sheet 0.085D 25+/-4 Asker C 1.1M 2M 5.2mm</t>
  </si>
  <si>
    <t>F-2026-02-317</t>
  </si>
  <si>
    <t>FPRO-260212-0014</t>
  </si>
  <si>
    <t>BDB-000163</t>
  </si>
  <si>
    <t>PVN-001556</t>
  </si>
  <si>
    <t>OrthoLite Ultra-Nike YELLOW/13-0858TPX 0.085D 25+/-4 Asker C 1.1M 2M 4mm</t>
  </si>
  <si>
    <t>F-2026-04-83</t>
  </si>
  <si>
    <t>RPRO-260407-0076</t>
  </si>
  <si>
    <t>MPS 06.04</t>
  </si>
  <si>
    <t>BDB-000058</t>
  </si>
  <si>
    <t>PVN-001277</t>
  </si>
  <si>
    <t>OrthoLite Ultra GREEN/16-5932TPX Flat Sheet 0.085D 25+/-4 Asker C 1.1M 2M 4mm</t>
  </si>
  <si>
    <t>F-2026-04-98</t>
  </si>
  <si>
    <t>RPRO-260409-0284</t>
  </si>
  <si>
    <t>PVN-001319</t>
  </si>
  <si>
    <t>OrthoLite Ultra GREEN/16-5932TPX 0.085D 25+/-4 Asker C 1.1M 2M 5mm</t>
  </si>
  <si>
    <t>F-2026-04-97</t>
  </si>
  <si>
    <t>RPRO-260409-0283</t>
  </si>
  <si>
    <t>F-2026-04-143</t>
  </si>
  <si>
    <t>RPRO-260413-0261</t>
  </si>
  <si>
    <t>PVN-000101</t>
  </si>
  <si>
    <t>OrthoLite Regular AIR BLUE/16-4134TPX Flat Sheet 0.11D 25+/-4 Asker C 1.1M 2M 3mm</t>
  </si>
  <si>
    <t>F-2026-04-154</t>
  </si>
  <si>
    <t>RPRO-260413-0272</t>
  </si>
  <si>
    <t>PVN-000121</t>
  </si>
  <si>
    <t>OrthoLite Regular AIR BLUE/16-4134TPX Flat Sheet 0.13D 35+/-4 Asker C 1.1M 2M 12mm</t>
  </si>
  <si>
    <t>F-2026-04-144</t>
  </si>
  <si>
    <t>RPRO-260413-0262</t>
  </si>
  <si>
    <t>BDB-000083</t>
  </si>
  <si>
    <t>PVN-000930</t>
  </si>
  <si>
    <t>OrthoLite Eco LT 300C(ADIDAS BLUEBIRD) Flat Sheet 0.11D 25+/-4 Asker C 1.1M 2M 3mm</t>
  </si>
  <si>
    <t>F-2026-04-167</t>
  </si>
  <si>
    <t>RPRO-260414-0214</t>
  </si>
  <si>
    <t>BDB-000200</t>
  </si>
  <si>
    <t>PVN-003425</t>
  </si>
  <si>
    <t>OrthoLite Ultra SEEDPEARL/12-0703TPX Flat Sheet 0.085D 78-90 Asker F 1.1M 2M 4mm</t>
  </si>
  <si>
    <t>F-2026-04-173</t>
  </si>
  <si>
    <t>RPRO-260414-0220</t>
  </si>
  <si>
    <t>BDB-000004</t>
  </si>
  <si>
    <t>PVN-000445</t>
  </si>
  <si>
    <t>OrthoLite Regular GREY/17-1501TPX Flat Sheet 0.11D 25+/-4 Asker C 1.1M 2M 13mm</t>
  </si>
  <si>
    <t>DANNER</t>
  </si>
  <si>
    <t>F-2026-03-482</t>
  </si>
  <si>
    <t>FPRO-260324-0054</t>
  </si>
  <si>
    <t>BDB-000218</t>
  </si>
  <si>
    <t>PVN-003488</t>
  </si>
  <si>
    <t>OrthoLite Ultra-Nike SEEDPEARL/12-0703TPX 0.085D 5-10 Asker C 1.1M 2M 4mm</t>
  </si>
  <si>
    <t>F-2026-01-393-1</t>
  </si>
  <si>
    <t>FPRO-260127-0022</t>
  </si>
  <si>
    <t>Firm plan 28.01</t>
  </si>
  <si>
    <t>BDB-000160</t>
  </si>
  <si>
    <t>PVN-001562</t>
  </si>
  <si>
    <t>OrthoLite Ultra-Nike LIME GREEN/14-0452TPX 0.085D 25+/-4 Asker C 1.1M 2M 4mm</t>
  </si>
  <si>
    <t>F-2026-02-289</t>
  </si>
  <si>
    <t>FPRO-260212-0040</t>
  </si>
  <si>
    <t>F-2026-03-452</t>
  </si>
  <si>
    <t>FPRO-260324-0024</t>
  </si>
  <si>
    <t xml:space="preserve">Don't keep- đang hết demand cho lô này, lô này FC chuẩn bị sẵn cho demand lên tiếp </t>
  </si>
  <si>
    <t>F-2026-03-469</t>
  </si>
  <si>
    <t>FPRO-260324-0041</t>
  </si>
  <si>
    <t>OIN-2026.04.13-01</t>
  </si>
  <si>
    <t>RPRO-260416-0026</t>
  </si>
  <si>
    <t>OIN</t>
  </si>
  <si>
    <t>PVN-003780</t>
  </si>
  <si>
    <t>[116-361] Ultra 25+/-4 Asker C 0.085D Green 16-5932 Tpx 1.10M X 2.00M 47mm</t>
  </si>
  <si>
    <t>CLARKS</t>
  </si>
  <si>
    <t>PO-7092-SO-260413-0185</t>
  </si>
  <si>
    <r>
      <t xml:space="preserve">TÊN SẢN PHẨM </t>
    </r>
    <r>
      <rPr>
        <b/>
        <i/>
        <sz val="25"/>
        <color theme="1"/>
        <rFont val="Times New Roman"/>
        <family val="1"/>
      </rPr>
      <t xml:space="preserve">
</t>
    </r>
    <r>
      <rPr>
        <b/>
        <i/>
        <sz val="25"/>
        <color rgb="FFFF0000"/>
        <rFont val="Times New Roman"/>
        <family val="1"/>
      </rPr>
      <t xml:space="preserve">màu red của footjoy chạy </t>
    </r>
    <r>
      <rPr>
        <b/>
        <sz val="25"/>
        <color rgb="FFFF0000"/>
        <rFont val="Times New Roman"/>
        <family val="1"/>
      </rPr>
      <t xml:space="preserve"> (CHẠY 16D, 35C)-PVN-003797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</si>
</sst>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/mmm;@"/>
    <numFmt numFmtId="166" formatCode="#,##0.#####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5"/>
      <color rgb="FFFF0000"/>
      <name val="Times New Roman"/>
      <family val="1"/>
    </font>
    <font>
      <b/>
      <sz val="30"/>
      <color rgb="FF0000FF"/>
      <name val="Times New Roman"/>
      <family val="1"/>
    </font>
    <font>
      <sz val="30"/>
      <color rgb="FFFF00FF"/>
      <name val="Times New Roman"/>
      <family val="1"/>
    </font>
    <font>
      <sz val="30"/>
      <name val="Times New Roman"/>
      <family val="1"/>
    </font>
    <font>
      <b/>
      <sz val="48"/>
      <color theme="1"/>
      <name val="Times New Roman"/>
      <family val="1"/>
    </font>
    <font>
      <sz val="55"/>
      <color rgb="FF0000FF"/>
      <name val="Times New Roman"/>
      <family val="1"/>
    </font>
    <font>
      <b/>
      <sz val="55"/>
      <color rgb="FFFF00FF"/>
      <name val="Times New Roman"/>
      <family val="1"/>
    </font>
    <font>
      <b/>
      <sz val="16"/>
      <color rgb="FF0000FF"/>
      <name val="Times New Roman"/>
      <family val="1"/>
    </font>
    <font>
      <b/>
      <sz val="21"/>
      <color theme="1"/>
      <name val="Times New Roman"/>
      <family val="1"/>
    </font>
    <font>
      <sz val="16"/>
      <color theme="1"/>
      <name val="Times New Roman"/>
      <family val="1"/>
    </font>
    <font>
      <b/>
      <sz val="21"/>
      <name val="Times New Roman"/>
      <family val="1"/>
    </font>
    <font>
      <b/>
      <sz val="30"/>
      <color theme="1"/>
      <name val="Times New Roman"/>
      <family val="1"/>
    </font>
    <font>
      <b/>
      <sz val="30"/>
      <name val="Times New Roman"/>
      <family val="1"/>
    </font>
    <font>
      <b/>
      <sz val="30"/>
      <color rgb="FFC00000"/>
      <name val="Times New Roman"/>
      <family val="1"/>
    </font>
    <font>
      <b/>
      <sz val="30"/>
      <color rgb="FF00B050"/>
      <name val="Times New Roman"/>
      <family val="1"/>
    </font>
    <font>
      <b/>
      <sz val="35"/>
      <color rgb="FFC00000"/>
      <name val="Times New Roman"/>
      <family val="1"/>
    </font>
    <font>
      <b/>
      <sz val="35"/>
      <color rgb="FF00B050"/>
      <name val="Times New Roman"/>
      <family val="1"/>
    </font>
    <font>
      <b/>
      <sz val="35"/>
      <color theme="0"/>
      <name val="Times New Roman"/>
      <family val="1"/>
    </font>
    <font>
      <sz val="35"/>
      <color rgb="FFFF0000"/>
      <name val="Times New Roman"/>
      <family val="1"/>
    </font>
    <font>
      <sz val="35"/>
      <color rgb="FF0000FF"/>
      <name val="Calibri"/>
      <family val="2"/>
      <scheme val="minor"/>
    </font>
    <font>
      <b/>
      <sz val="30"/>
      <color rgb="FFFF0000"/>
      <name val="Times New Roman"/>
      <family val="1"/>
    </font>
    <font>
      <b/>
      <sz val="25"/>
      <color theme="1"/>
      <name val="Times New Roman"/>
      <family val="1"/>
    </font>
    <font>
      <sz val="35"/>
      <color rgb="FF0070C0"/>
      <name val="Calibri"/>
      <family val="2"/>
      <scheme val="minor"/>
    </font>
    <font>
      <sz val="35"/>
      <color rgb="FF00B050"/>
      <name val="Calibri"/>
      <family val="2"/>
      <scheme val="minor"/>
    </font>
    <font>
      <sz val="30"/>
      <color theme="1"/>
      <name val="Times New Roman"/>
      <family val="1"/>
    </font>
    <font>
      <sz val="30"/>
      <color rgb="FFC00000"/>
      <name val="Times New Roman"/>
      <family val="1"/>
    </font>
    <font>
      <sz val="30"/>
      <color rgb="FFFF0000"/>
      <name val="Times New Roman"/>
      <family val="1"/>
    </font>
    <font>
      <b/>
      <sz val="35"/>
      <color theme="1"/>
      <name val="Times New Roman"/>
      <family val="1"/>
    </font>
    <font>
      <b/>
      <i/>
      <sz val="35"/>
      <color theme="1"/>
      <name val="Times New Roman"/>
      <family val="1"/>
    </font>
    <font>
      <b/>
      <sz val="35"/>
      <color rgb="FF0000FF"/>
      <name val="Times New Roman"/>
      <family val="1"/>
    </font>
    <font>
      <sz val="35"/>
      <color rgb="FFC00000"/>
      <name val="Times New Roman"/>
      <family val="1"/>
    </font>
    <font>
      <sz val="30"/>
      <color rgb="FF0000FF"/>
      <name val="Times New Roman"/>
      <family val="1"/>
    </font>
    <font>
      <sz val="21"/>
      <color rgb="FFFF0000"/>
      <name val="Times New Roman"/>
      <family val="1"/>
    </font>
    <font>
      <b/>
      <sz val="25"/>
      <name val="Times New Roman"/>
      <family val="1"/>
    </font>
    <font>
      <b/>
      <i/>
      <sz val="25"/>
      <color theme="1"/>
      <name val="Times New Roman"/>
      <family val="1"/>
    </font>
    <font>
      <b/>
      <i/>
      <sz val="25"/>
      <color rgb="FFFF0000"/>
      <name val="Times New Roman"/>
      <family val="1"/>
    </font>
    <font>
      <b/>
      <sz val="25"/>
      <color rgb="FFFF0000"/>
      <name val="Times New Roman"/>
      <family val="1"/>
    </font>
    <font>
      <b/>
      <i/>
      <sz val="25"/>
      <name val="Times New Roman"/>
      <family val="1"/>
    </font>
    <font>
      <b/>
      <sz val="25"/>
      <color rgb="FF0070C0"/>
      <name val="Times New Roman"/>
      <family val="1"/>
    </font>
    <font>
      <b/>
      <sz val="25"/>
      <color rgb="FF0000FF"/>
      <name val="Times New Roman"/>
      <family val="1"/>
    </font>
    <font>
      <sz val="16"/>
      <name val="Times New Roman"/>
      <family val="1"/>
    </font>
    <font>
      <b/>
      <sz val="16"/>
      <color theme="1"/>
      <name val="Times New Roman"/>
      <family val="1"/>
    </font>
    <font>
      <b/>
      <sz val="21"/>
      <color rgb="FFFF6600"/>
      <name val="Times New Roman"/>
      <family val="1"/>
    </font>
    <font>
      <b/>
      <sz val="21"/>
      <color rgb="FF0070C0"/>
      <name val="Times New Roman"/>
      <family val="1"/>
    </font>
    <font>
      <b/>
      <sz val="16"/>
      <color theme="8" tint="-0.249977111117893"/>
      <name val="Times New Roman"/>
      <family val="1"/>
    </font>
    <font>
      <b/>
      <sz val="16"/>
      <color rgb="FFFF0000"/>
      <name val="Times New Roman"/>
      <family val="1"/>
    </font>
    <font>
      <sz val="21"/>
      <color theme="1"/>
      <name val="Times New Roman"/>
      <family val="1"/>
    </font>
    <font>
      <sz val="21"/>
      <name val="Times New Roman"/>
      <family val="1"/>
    </font>
    <font>
      <sz val="21"/>
      <color rgb="FF0000FF"/>
      <name val="Times New Roman"/>
      <family val="1"/>
    </font>
    <font>
      <sz val="22"/>
      <color theme="1"/>
      <name val="Times New Roman"/>
      <family val="1"/>
    </font>
    <font>
      <b/>
      <sz val="21"/>
      <color rgb="FF0000FF"/>
      <name val="Times New Roman"/>
      <family val="1"/>
    </font>
    <font>
      <b/>
      <sz val="21"/>
      <color rgb="FFFF0000"/>
      <name val="Times New Roman"/>
      <family val="1"/>
    </font>
    <font>
      <b/>
      <sz val="21"/>
      <color rgb="FFFF0066"/>
      <name val="Times New Roman"/>
      <family val="1"/>
    </font>
    <font>
      <b/>
      <sz val="48"/>
      <name val="Times New Roman"/>
      <family val="1"/>
    </font>
    <font>
      <sz val="21"/>
      <color rgb="FF000000"/>
      <name val="Times New Roman"/>
      <family val="1"/>
    </font>
    <font>
      <b/>
      <sz val="21"/>
      <color rgb="FF00B050"/>
      <name val="Times New Roman"/>
      <family val="1"/>
    </font>
    <font>
      <b/>
      <sz val="48"/>
      <color rgb="FF7030A0"/>
      <name val="Times New Roman"/>
      <family val="1"/>
    </font>
    <font>
      <sz val="25"/>
      <color theme="1"/>
      <name val="Times New Roman"/>
      <family val="1"/>
    </font>
    <font>
      <sz val="30"/>
      <color rgb="FF00B050"/>
      <name val="Times New Roman"/>
      <family val="1"/>
    </font>
    <font>
      <sz val="35"/>
      <color rgb="FF00B050"/>
      <name val="Times New Roman"/>
      <family val="1"/>
    </font>
    <font>
      <b/>
      <sz val="36"/>
      <name val="Times New Roman"/>
      <family val="1"/>
    </font>
    <font>
      <sz val="48"/>
      <color theme="1"/>
      <name val="Times New Roman"/>
      <family val="1"/>
    </font>
    <font>
      <b/>
      <sz val="16"/>
      <color rgb="FFFF6600"/>
      <name val="Times New Roman"/>
      <family val="1"/>
    </font>
    <font>
      <sz val="21"/>
      <color rgb="FF0070C0"/>
      <name val="Times New Roman"/>
      <family val="1"/>
    </font>
    <font>
      <b/>
      <sz val="1"/>
      <color theme="1"/>
      <name val="Times New Roman"/>
      <family val="1"/>
    </font>
    <font>
      <sz val="1"/>
      <color theme="1"/>
      <name val="Times New Roman"/>
      <family val="1"/>
    </font>
    <font>
      <b/>
      <sz val="1"/>
      <color rgb="FFFF6600"/>
      <name val="Times New Roman"/>
      <family val="1"/>
    </font>
    <font>
      <sz val="1"/>
      <color rgb="FF0070C0"/>
      <name val="Times New Roman"/>
      <family val="1"/>
    </font>
    <font>
      <b/>
      <sz val="1"/>
      <color theme="8" tint="-0.249977111117893"/>
      <name val="Times New Roman"/>
      <family val="1"/>
    </font>
    <font>
      <b/>
      <sz val="1"/>
      <color rgb="FF0000FF"/>
      <name val="Times New Roman"/>
      <family val="1"/>
    </font>
    <font>
      <b/>
      <sz val="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6600"/>
      <name val="Times New Roman"/>
      <family val="1"/>
    </font>
    <font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33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34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2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" fontId="13" fillId="7" borderId="1" xfId="0" applyNumberFormat="1" applyFont="1" applyFill="1" applyBorder="1" applyAlignment="1">
      <alignment horizontal="center" vertical="center"/>
    </xf>
    <xf numFmtId="0" fontId="14" fillId="0" borderId="1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13" fillId="0" borderId="1" xfId="1" applyNumberFormat="1" applyFont="1" applyBorder="1" applyAlignment="1">
      <alignment horizontal="center" vertical="center"/>
    </xf>
    <xf numFmtId="0" fontId="17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18" fillId="0" borderId="1" xfId="1" applyNumberFormat="1" applyFont="1" applyBorder="1" applyAlignment="1">
      <alignment horizontal="center" vertical="center" wrapText="1"/>
    </xf>
    <xf numFmtId="164" fontId="3" fillId="8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9" fillId="9" borderId="1" xfId="1" applyNumberFormat="1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64" fontId="22" fillId="11" borderId="1" xfId="0" applyNumberFormat="1" applyFont="1" applyFill="1" applyBorder="1" applyAlignment="1">
      <alignment horizontal="center" vertical="center"/>
    </xf>
    <xf numFmtId="164" fontId="23" fillId="11" borderId="1" xfId="1" applyNumberFormat="1" applyFont="1" applyFill="1" applyBorder="1" applyAlignment="1">
      <alignment vertical="center"/>
    </xf>
    <xf numFmtId="43" fontId="23" fillId="11" borderId="1" xfId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3" fillId="0" borderId="1" xfId="1" applyNumberFormat="1" applyFont="1" applyBorder="1" applyAlignment="1">
      <alignment vertical="center"/>
    </xf>
    <xf numFmtId="43" fontId="23" fillId="0" borderId="1" xfId="1" applyFont="1" applyBorder="1" applyAlignment="1">
      <alignment vertical="center"/>
    </xf>
    <xf numFmtId="164" fontId="11" fillId="0" borderId="0" xfId="1" applyNumberFormat="1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4" fillId="12" borderId="1" xfId="1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1" applyNumberFormat="1" applyFont="1" applyFill="1" applyBorder="1" applyAlignment="1">
      <alignment horizontal="center" vertical="center" wrapText="1"/>
    </xf>
    <xf numFmtId="164" fontId="3" fillId="12" borderId="1" xfId="1" applyNumberFormat="1" applyFont="1" applyFill="1" applyBorder="1" applyAlignment="1">
      <alignment horizontal="center" vertical="center"/>
    </xf>
    <xf numFmtId="0" fontId="18" fillId="12" borderId="1" xfId="1" applyNumberFormat="1" applyFont="1" applyFill="1" applyBorder="1" applyAlignment="1">
      <alignment horizontal="center" vertical="center" wrapText="1"/>
    </xf>
    <xf numFmtId="164" fontId="17" fillId="12" borderId="1" xfId="1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11" fillId="13" borderId="0" xfId="1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165" fontId="26" fillId="13" borderId="0" xfId="0" applyNumberFormat="1" applyFont="1" applyFill="1" applyAlignment="1">
      <alignment horizontal="center" vertical="center" wrapText="1"/>
    </xf>
    <xf numFmtId="0" fontId="26" fillId="13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 wrapText="1"/>
    </xf>
    <xf numFmtId="43" fontId="28" fillId="0" borderId="0" xfId="0" applyNumberFormat="1" applyFont="1" applyAlignment="1">
      <alignment horizontal="center" vertical="center"/>
    </xf>
    <xf numFmtId="43" fontId="26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4" fontId="28" fillId="0" borderId="0" xfId="1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0" fontId="32" fillId="0" borderId="0" xfId="1" applyNumberFormat="1" applyFont="1" applyAlignment="1">
      <alignment horizontal="center" vertical="center" wrapText="1"/>
    </xf>
    <xf numFmtId="164" fontId="33" fillId="0" borderId="0" xfId="1" applyNumberFormat="1" applyFont="1" applyAlignment="1">
      <alignment horizontal="center" vertical="center"/>
    </xf>
    <xf numFmtId="0" fontId="15" fillId="0" borderId="0" xfId="1" applyNumberFormat="1" applyFont="1" applyAlignment="1">
      <alignment horizontal="center" vertical="center" wrapText="1"/>
    </xf>
    <xf numFmtId="164" fontId="34" fillId="0" borderId="2" xfId="1" applyNumberFormat="1" applyFont="1" applyBorder="1" applyAlignment="1">
      <alignment horizontal="center" vertical="center" wrapText="1"/>
    </xf>
    <xf numFmtId="16" fontId="26" fillId="0" borderId="0" xfId="0" applyNumberFormat="1" applyFont="1" applyAlignment="1">
      <alignment horizontal="center" vertical="center"/>
    </xf>
    <xf numFmtId="16" fontId="10" fillId="3" borderId="2" xfId="0" applyNumberFormat="1" applyFont="1" applyFill="1" applyBorder="1" applyAlignment="1">
      <alignment horizontal="center" vertical="center" wrapText="1"/>
    </xf>
    <xf numFmtId="164" fontId="32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5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center" wrapText="1"/>
    </xf>
    <xf numFmtId="165" fontId="38" fillId="3" borderId="3" xfId="0" applyNumberFormat="1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164" fontId="41" fillId="3" borderId="3" xfId="1" applyNumberFormat="1" applyFont="1" applyFill="1" applyBorder="1" applyAlignment="1">
      <alignment horizontal="center" vertical="center" wrapText="1"/>
    </xf>
    <xf numFmtId="164" fontId="38" fillId="14" borderId="3" xfId="1" applyNumberFormat="1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64" fontId="10" fillId="0" borderId="3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42" fillId="3" borderId="3" xfId="0" applyFont="1" applyFill="1" applyBorder="1" applyAlignment="1">
      <alignment horizontal="left" vertical="center" wrapText="1"/>
    </xf>
    <xf numFmtId="0" fontId="43" fillId="3" borderId="3" xfId="0" applyFont="1" applyFill="1" applyBorder="1" applyAlignment="1">
      <alignment horizontal="center" vertical="center" wrapText="1"/>
    </xf>
    <xf numFmtId="14" fontId="13" fillId="3" borderId="3" xfId="0" applyNumberFormat="1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center" vertical="center" wrapText="1"/>
    </xf>
    <xf numFmtId="16" fontId="10" fillId="3" borderId="3" xfId="0" applyNumberFormat="1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164" fontId="9" fillId="3" borderId="3" xfId="1" applyNumberFormat="1" applyFont="1" applyFill="1" applyBorder="1" applyAlignment="1">
      <alignment horizontal="center" vertical="center" wrapText="1"/>
    </xf>
    <xf numFmtId="164" fontId="47" fillId="4" borderId="3" xfId="1" applyNumberFormat="1" applyFont="1" applyFill="1" applyBorder="1" applyAlignment="1">
      <alignment horizontal="center" vertical="center"/>
    </xf>
    <xf numFmtId="0" fontId="43" fillId="15" borderId="3" xfId="0" applyFont="1" applyFill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17" borderId="3" xfId="0" applyFont="1" applyFill="1" applyBorder="1" applyAlignment="1">
      <alignment horizontal="left" vertical="center" wrapText="1"/>
    </xf>
    <xf numFmtId="0" fontId="49" fillId="0" borderId="3" xfId="0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center" vertical="center" wrapText="1"/>
    </xf>
    <xf numFmtId="0" fontId="48" fillId="0" borderId="3" xfId="0" applyFont="1" applyBorder="1" applyAlignment="1">
      <alignment vertical="center" wrapText="1"/>
    </xf>
    <xf numFmtId="0" fontId="50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left" vertical="center" wrapText="1"/>
    </xf>
    <xf numFmtId="0" fontId="48" fillId="0" borderId="3" xfId="0" applyFont="1" applyBorder="1" applyAlignment="1">
      <alignment horizontal="right" vertical="center" wrapText="1"/>
    </xf>
    <xf numFmtId="0" fontId="48" fillId="0" borderId="3" xfId="1" applyNumberFormat="1" applyFont="1" applyBorder="1" applyAlignment="1">
      <alignment horizontal="center" vertical="center" wrapText="1"/>
    </xf>
    <xf numFmtId="0" fontId="52" fillId="11" borderId="3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48" fillId="0" borderId="3" xfId="1" applyNumberFormat="1" applyFont="1" applyBorder="1" applyAlignment="1">
      <alignment horizontal="center" vertical="center" wrapText="1"/>
    </xf>
    <xf numFmtId="165" fontId="53" fillId="0" borderId="3" xfId="0" applyNumberFormat="1" applyFont="1" applyBorder="1" applyAlignment="1">
      <alignment horizontal="center" vertical="center"/>
    </xf>
    <xf numFmtId="165" fontId="52" fillId="0" borderId="3" xfId="0" applyNumberFormat="1" applyFont="1" applyBorder="1" applyAlignment="1">
      <alignment horizontal="center" vertical="center" wrapText="1"/>
    </xf>
    <xf numFmtId="16" fontId="54" fillId="0" borderId="3" xfId="0" applyNumberFormat="1" applyFont="1" applyBorder="1" applyAlignment="1">
      <alignment horizontal="center" vertical="center" wrapText="1"/>
    </xf>
    <xf numFmtId="16" fontId="50" fillId="0" borderId="3" xfId="0" applyNumberFormat="1" applyFont="1" applyBorder="1" applyAlignment="1">
      <alignment vertical="center" wrapText="1"/>
    </xf>
    <xf numFmtId="164" fontId="52" fillId="0" borderId="3" xfId="1" applyNumberFormat="1" applyFont="1" applyBorder="1" applyAlignment="1">
      <alignment horizontal="center" vertical="center"/>
    </xf>
    <xf numFmtId="164" fontId="53" fillId="0" borderId="3" xfId="1" applyNumberFormat="1" applyFont="1" applyBorder="1" applyAlignment="1">
      <alignment horizontal="center" vertical="center"/>
    </xf>
    <xf numFmtId="164" fontId="48" fillId="0" borderId="3" xfId="1" applyNumberFormat="1" applyFont="1" applyBorder="1" applyAlignment="1">
      <alignment horizontal="left" vertical="center"/>
    </xf>
    <xf numFmtId="0" fontId="28" fillId="18" borderId="3" xfId="0" applyFont="1" applyFill="1" applyBorder="1" applyAlignment="1">
      <alignment horizontal="center" vertical="center"/>
    </xf>
    <xf numFmtId="0" fontId="48" fillId="18" borderId="3" xfId="0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49" fillId="18" borderId="3" xfId="0" applyFont="1" applyFill="1" applyBorder="1" applyAlignment="1">
      <alignment horizontal="center" vertical="center" wrapText="1"/>
    </xf>
    <xf numFmtId="0" fontId="50" fillId="18" borderId="3" xfId="0" applyFont="1" applyFill="1" applyBorder="1" applyAlignment="1">
      <alignment horizontal="center" vertical="center" wrapText="1"/>
    </xf>
    <xf numFmtId="0" fontId="48" fillId="18" borderId="3" xfId="0" applyFont="1" applyFill="1" applyBorder="1" applyAlignment="1">
      <alignment vertical="center" wrapText="1"/>
    </xf>
    <xf numFmtId="0" fontId="48" fillId="18" borderId="3" xfId="0" applyFont="1" applyFill="1" applyBorder="1" applyAlignment="1">
      <alignment horizontal="right" vertical="center" wrapText="1"/>
    </xf>
    <xf numFmtId="0" fontId="48" fillId="18" borderId="3" xfId="1" applyNumberFormat="1" applyFont="1" applyFill="1" applyBorder="1" applyAlignment="1">
      <alignment horizontal="center" vertical="center" wrapText="1"/>
    </xf>
    <xf numFmtId="0" fontId="52" fillId="18" borderId="3" xfId="1" applyNumberFormat="1" applyFont="1" applyFill="1" applyBorder="1" applyAlignment="1">
      <alignment horizontal="center" vertical="center" wrapText="1"/>
    </xf>
    <xf numFmtId="0" fontId="48" fillId="18" borderId="3" xfId="0" applyFont="1" applyFill="1" applyBorder="1" applyAlignment="1">
      <alignment horizontal="center" vertical="center" wrapText="1"/>
    </xf>
    <xf numFmtId="0" fontId="55" fillId="18" borderId="3" xfId="0" applyFont="1" applyFill="1" applyBorder="1" applyAlignment="1">
      <alignment horizontal="center" vertical="center" wrapText="1"/>
    </xf>
    <xf numFmtId="164" fontId="53" fillId="18" borderId="3" xfId="1" applyNumberFormat="1" applyFont="1" applyFill="1" applyBorder="1" applyAlignment="1">
      <alignment horizontal="center" vertical="center" wrapText="1"/>
    </xf>
    <xf numFmtId="164" fontId="48" fillId="18" borderId="3" xfId="1" applyNumberFormat="1" applyFont="1" applyFill="1" applyBorder="1" applyAlignment="1">
      <alignment horizontal="center" vertical="center" wrapText="1"/>
    </xf>
    <xf numFmtId="165" fontId="53" fillId="18" borderId="3" xfId="0" applyNumberFormat="1" applyFont="1" applyFill="1" applyBorder="1" applyAlignment="1">
      <alignment horizontal="center" vertical="center"/>
    </xf>
    <xf numFmtId="165" fontId="52" fillId="18" borderId="3" xfId="0" applyNumberFormat="1" applyFont="1" applyFill="1" applyBorder="1" applyAlignment="1">
      <alignment horizontal="center" vertical="center" wrapText="1"/>
    </xf>
    <xf numFmtId="16" fontId="54" fillId="18" borderId="3" xfId="0" applyNumberFormat="1" applyFont="1" applyFill="1" applyBorder="1" applyAlignment="1">
      <alignment horizontal="center" vertical="center" wrapText="1"/>
    </xf>
    <xf numFmtId="16" fontId="50" fillId="18" borderId="3" xfId="0" applyNumberFormat="1" applyFont="1" applyFill="1" applyBorder="1" applyAlignment="1">
      <alignment vertical="center" wrapText="1"/>
    </xf>
    <xf numFmtId="0" fontId="49" fillId="0" borderId="3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right" vertical="center" wrapText="1"/>
    </xf>
    <xf numFmtId="165" fontId="53" fillId="3" borderId="3" xfId="0" applyNumberFormat="1" applyFont="1" applyFill="1" applyBorder="1" applyAlignment="1">
      <alignment horizontal="center" vertical="center"/>
    </xf>
    <xf numFmtId="16" fontId="52" fillId="0" borderId="3" xfId="0" applyNumberFormat="1" applyFont="1" applyBorder="1" applyAlignment="1">
      <alignment horizontal="center" vertical="center"/>
    </xf>
    <xf numFmtId="0" fontId="49" fillId="18" borderId="3" xfId="0" applyFont="1" applyFill="1" applyBorder="1" applyAlignment="1">
      <alignment horizontal="left" vertical="center" wrapText="1"/>
    </xf>
    <xf numFmtId="0" fontId="56" fillId="18" borderId="3" xfId="0" applyFont="1" applyFill="1" applyBorder="1" applyAlignment="1">
      <alignment horizontal="right" vertical="center" wrapText="1"/>
    </xf>
    <xf numFmtId="0" fontId="6" fillId="18" borderId="3" xfId="0" applyFont="1" applyFill="1" applyBorder="1" applyAlignment="1">
      <alignment horizontal="center" vertical="center" wrapText="1"/>
    </xf>
    <xf numFmtId="16" fontId="52" fillId="18" borderId="3" xfId="0" applyNumberFormat="1" applyFont="1" applyFill="1" applyBorder="1" applyAlignment="1">
      <alignment horizontal="center" vertical="center"/>
    </xf>
    <xf numFmtId="0" fontId="56" fillId="0" borderId="3" xfId="0" applyFont="1" applyBorder="1" applyAlignment="1">
      <alignment vertical="center" wrapText="1"/>
    </xf>
    <xf numFmtId="0" fontId="56" fillId="0" borderId="3" xfId="0" applyFont="1" applyBorder="1" applyAlignment="1">
      <alignment horizontal="center" vertical="center" wrapText="1"/>
    </xf>
    <xf numFmtId="0" fontId="56" fillId="18" borderId="3" xfId="0" applyFont="1" applyFill="1" applyBorder="1" applyAlignment="1">
      <alignment vertical="center" wrapText="1"/>
    </xf>
    <xf numFmtId="0" fontId="56" fillId="18" borderId="3" xfId="0" applyFont="1" applyFill="1" applyBorder="1" applyAlignment="1">
      <alignment horizontal="center" vertical="center" wrapText="1"/>
    </xf>
    <xf numFmtId="0" fontId="57" fillId="18" borderId="3" xfId="0" applyFont="1" applyFill="1" applyBorder="1" applyAlignment="1">
      <alignment horizontal="center" vertical="center" wrapText="1"/>
    </xf>
    <xf numFmtId="0" fontId="56" fillId="16" borderId="3" xfId="0" applyFont="1" applyFill="1" applyBorder="1" applyAlignment="1">
      <alignment vertical="center" wrapText="1"/>
    </xf>
    <xf numFmtId="0" fontId="48" fillId="3" borderId="3" xfId="0" applyFont="1" applyFill="1" applyBorder="1" applyAlignment="1">
      <alignment horizontal="left" vertical="center" wrapText="1"/>
    </xf>
    <xf numFmtId="0" fontId="57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left" vertical="center" wrapText="1"/>
    </xf>
    <xf numFmtId="0" fontId="48" fillId="3" borderId="3" xfId="0" applyFont="1" applyFill="1" applyBorder="1" applyAlignment="1">
      <alignment vertical="center" wrapText="1"/>
    </xf>
    <xf numFmtId="0" fontId="55" fillId="0" borderId="3" xfId="0" applyFont="1" applyBorder="1" applyAlignment="1">
      <alignment horizontal="center" vertical="center" wrapText="1"/>
    </xf>
    <xf numFmtId="164" fontId="53" fillId="0" borderId="3" xfId="1" applyNumberFormat="1" applyFont="1" applyBorder="1" applyAlignment="1">
      <alignment horizontal="center" vertical="center" wrapText="1"/>
    </xf>
    <xf numFmtId="164" fontId="56" fillId="0" borderId="3" xfId="1" applyNumberFormat="1" applyFont="1" applyBorder="1" applyAlignment="1">
      <alignment horizontal="right" vertical="center" wrapText="1"/>
    </xf>
    <xf numFmtId="164" fontId="56" fillId="18" borderId="3" xfId="1" applyNumberFormat="1" applyFont="1" applyFill="1" applyBorder="1" applyAlignment="1">
      <alignment horizontal="right" vertical="center" wrapText="1"/>
    </xf>
    <xf numFmtId="0" fontId="43" fillId="0" borderId="0" xfId="0" applyFont="1" applyAlignment="1">
      <alignment horizontal="center" vertical="center"/>
    </xf>
    <xf numFmtId="49" fontId="48" fillId="0" borderId="3" xfId="0" applyNumberFormat="1" applyFont="1" applyBorder="1" applyAlignment="1">
      <alignment vertical="center" wrapText="1"/>
    </xf>
    <xf numFmtId="0" fontId="57" fillId="0" borderId="3" xfId="0" quotePrefix="1" applyFont="1" applyBorder="1" applyAlignment="1">
      <alignment horizontal="center" vertical="center" wrapText="1"/>
    </xf>
    <xf numFmtId="0" fontId="48" fillId="5" borderId="3" xfId="0" applyFont="1" applyFill="1" applyBorder="1" applyAlignment="1">
      <alignment horizontal="left" vertical="center" wrapText="1"/>
    </xf>
    <xf numFmtId="164" fontId="49" fillId="0" borderId="2" xfId="1" applyNumberFormat="1" applyFont="1" applyBorder="1" applyAlignment="1">
      <alignment horizontal="center" vertical="center" wrapText="1"/>
    </xf>
    <xf numFmtId="0" fontId="48" fillId="0" borderId="3" xfId="0" applyFont="1" applyBorder="1" applyAlignment="1">
      <alignment horizontal="left" vertical="center"/>
    </xf>
    <xf numFmtId="0" fontId="50" fillId="0" borderId="3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6" fillId="3" borderId="3" xfId="0" applyFont="1" applyFill="1" applyBorder="1" applyAlignment="1">
      <alignment vertical="center"/>
    </xf>
    <xf numFmtId="0" fontId="56" fillId="0" borderId="3" xfId="0" applyFont="1" applyBorder="1" applyAlignment="1">
      <alignment horizontal="right" vertical="center"/>
    </xf>
    <xf numFmtId="0" fontId="48" fillId="0" borderId="3" xfId="1" applyNumberFormat="1" applyFont="1" applyBorder="1" applyAlignment="1">
      <alignment horizontal="center" vertical="center"/>
    </xf>
    <xf numFmtId="0" fontId="52" fillId="11" borderId="3" xfId="1" applyNumberFormat="1" applyFont="1" applyFill="1" applyBorder="1" applyAlignment="1">
      <alignment horizontal="center" vertical="center"/>
    </xf>
    <xf numFmtId="0" fontId="56" fillId="0" borderId="3" xfId="0" applyFont="1" applyBorder="1" applyAlignment="1">
      <alignment vertical="center"/>
    </xf>
    <xf numFmtId="0" fontId="48" fillId="0" borderId="3" xfId="0" applyFont="1" applyBorder="1" applyAlignment="1">
      <alignment vertical="center"/>
    </xf>
    <xf numFmtId="164" fontId="48" fillId="0" borderId="3" xfId="1" applyNumberFormat="1" applyFont="1" applyBorder="1" applyAlignment="1">
      <alignment horizontal="center" vertical="center"/>
    </xf>
    <xf numFmtId="165" fontId="52" fillId="0" borderId="3" xfId="0" applyNumberFormat="1" applyFont="1" applyBorder="1" applyAlignment="1">
      <alignment horizontal="center" vertical="center"/>
    </xf>
    <xf numFmtId="0" fontId="49" fillId="0" borderId="3" xfId="0" applyFont="1" applyBorder="1" applyAlignment="1">
      <alignment vertical="center" wrapText="1"/>
    </xf>
    <xf numFmtId="0" fontId="49" fillId="18" borderId="3" xfId="0" applyFont="1" applyFill="1" applyBorder="1" applyAlignment="1">
      <alignment vertical="center" wrapText="1"/>
    </xf>
    <xf numFmtId="16" fontId="49" fillId="0" borderId="3" xfId="0" applyNumberFormat="1" applyFont="1" applyBorder="1" applyAlignment="1">
      <alignment horizontal="left" vertical="center" wrapText="1"/>
    </xf>
    <xf numFmtId="0" fontId="49" fillId="5" borderId="4" xfId="2" applyFont="1" applyFill="1" applyBorder="1" applyAlignment="1">
      <alignment horizontal="center" vertical="center" wrapText="1"/>
    </xf>
    <xf numFmtId="0" fontId="49" fillId="5" borderId="3" xfId="2" applyFont="1" applyFill="1" applyBorder="1" applyAlignment="1">
      <alignment horizontal="center" vertical="center" wrapText="1"/>
    </xf>
    <xf numFmtId="0" fontId="10" fillId="5" borderId="4" xfId="2" applyFont="1" applyFill="1" applyBorder="1" applyAlignment="1">
      <alignment horizontal="center" vertical="center" wrapText="1"/>
    </xf>
    <xf numFmtId="0" fontId="50" fillId="5" borderId="4" xfId="2" applyFont="1" applyFill="1" applyBorder="1" applyAlignment="1">
      <alignment horizontal="center" vertical="center" wrapText="1"/>
    </xf>
    <xf numFmtId="0" fontId="58" fillId="5" borderId="4" xfId="2" applyFont="1" applyFill="1" applyBorder="1" applyAlignment="1">
      <alignment vertical="center" wrapText="1"/>
    </xf>
    <xf numFmtId="164" fontId="48" fillId="5" borderId="4" xfId="3" applyNumberFormat="1" applyFont="1" applyFill="1" applyBorder="1" applyAlignment="1">
      <alignment horizontal="center" vertical="center" wrapText="1"/>
    </xf>
    <xf numFmtId="0" fontId="48" fillId="5" borderId="4" xfId="3" applyNumberFormat="1" applyFont="1" applyFill="1" applyBorder="1" applyAlignment="1">
      <alignment horizontal="center" vertical="center" wrapText="1"/>
    </xf>
    <xf numFmtId="164" fontId="49" fillId="5" borderId="3" xfId="3" applyNumberFormat="1" applyFont="1" applyFill="1" applyBorder="1" applyAlignment="1">
      <alignment horizontal="center" vertical="center" wrapText="1"/>
    </xf>
    <xf numFmtId="0" fontId="48" fillId="5" borderId="3" xfId="2" applyFont="1" applyFill="1" applyBorder="1" applyAlignment="1">
      <alignment horizontal="center" vertical="center" wrapText="1"/>
    </xf>
    <xf numFmtId="0" fontId="14" fillId="5" borderId="4" xfId="2" applyFont="1" applyFill="1" applyBorder="1" applyAlignment="1">
      <alignment horizontal="center" vertical="center" wrapText="1"/>
    </xf>
    <xf numFmtId="164" fontId="59" fillId="5" borderId="4" xfId="3" applyNumberFormat="1" applyFont="1" applyFill="1" applyBorder="1" applyAlignment="1">
      <alignment horizontal="center" vertical="center" wrapText="1"/>
    </xf>
    <xf numFmtId="164" fontId="48" fillId="5" borderId="4" xfId="3" applyNumberFormat="1" applyFont="1" applyFill="1" applyBorder="1" applyAlignment="1">
      <alignment horizontal="center" vertical="center"/>
    </xf>
    <xf numFmtId="165" fontId="53" fillId="5" borderId="4" xfId="2" applyNumberFormat="1" applyFont="1" applyFill="1" applyBorder="1" applyAlignment="1">
      <alignment horizontal="center" vertical="center"/>
    </xf>
    <xf numFmtId="16" fontId="52" fillId="5" borderId="4" xfId="2" applyNumberFormat="1" applyFont="1" applyFill="1" applyBorder="1" applyAlignment="1">
      <alignment horizontal="center" vertical="center"/>
    </xf>
    <xf numFmtId="16" fontId="54" fillId="0" borderId="4" xfId="2" applyNumberFormat="1" applyFont="1" applyBorder="1" applyAlignment="1">
      <alignment horizontal="center" vertical="center" wrapText="1"/>
    </xf>
    <xf numFmtId="16" fontId="50" fillId="5" borderId="4" xfId="2" applyNumberFormat="1" applyFont="1" applyFill="1" applyBorder="1" applyAlignment="1">
      <alignment vertical="center" wrapText="1"/>
    </xf>
    <xf numFmtId="164" fontId="52" fillId="5" borderId="4" xfId="3" applyNumberFormat="1" applyFont="1" applyFill="1" applyBorder="1" applyAlignment="1">
      <alignment horizontal="center" vertical="center"/>
    </xf>
    <xf numFmtId="164" fontId="48" fillId="0" borderId="3" xfId="3" applyNumberFormat="1" applyFont="1" applyBorder="1" applyAlignment="1">
      <alignment horizontal="left" vertical="center"/>
    </xf>
    <xf numFmtId="0" fontId="48" fillId="0" borderId="3" xfId="2" applyFont="1" applyBorder="1" applyAlignment="1">
      <alignment horizontal="center" vertical="center"/>
    </xf>
    <xf numFmtId="0" fontId="57" fillId="0" borderId="3" xfId="2" applyFont="1" applyBorder="1" applyAlignment="1">
      <alignment horizontal="center" vertical="center"/>
    </xf>
    <xf numFmtId="0" fontId="48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61" fillId="0" borderId="0" xfId="2" applyFont="1" applyAlignment="1">
      <alignment horizontal="center" vertical="center"/>
    </xf>
    <xf numFmtId="0" fontId="48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48" fillId="0" borderId="1" xfId="0" applyFont="1" applyBorder="1" applyAlignment="1">
      <alignment vertical="center" wrapText="1"/>
    </xf>
    <xf numFmtId="0" fontId="50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56" fillId="0" borderId="1" xfId="1" applyNumberFormat="1" applyFont="1" applyBorder="1" applyAlignment="1">
      <alignment horizontal="right" vertical="center" wrapText="1"/>
    </xf>
    <xf numFmtId="0" fontId="48" fillId="0" borderId="1" xfId="1" applyNumberFormat="1" applyFont="1" applyBorder="1" applyAlignment="1">
      <alignment horizontal="center" vertical="center" wrapText="1"/>
    </xf>
    <xf numFmtId="0" fontId="52" fillId="11" borderId="1" xfId="1" applyNumberFormat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48" fillId="0" borderId="1" xfId="1" applyNumberFormat="1" applyFont="1" applyBorder="1" applyAlignment="1">
      <alignment horizontal="center" vertical="center" wrapText="1"/>
    </xf>
    <xf numFmtId="165" fontId="53" fillId="0" borderId="1" xfId="0" applyNumberFormat="1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 wrapText="1"/>
    </xf>
    <xf numFmtId="16" fontId="54" fillId="0" borderId="1" xfId="0" applyNumberFormat="1" applyFont="1" applyBorder="1" applyAlignment="1">
      <alignment horizontal="center" vertical="center" wrapText="1"/>
    </xf>
    <xf numFmtId="16" fontId="50" fillId="0" borderId="1" xfId="0" applyNumberFormat="1" applyFont="1" applyBorder="1" applyAlignment="1">
      <alignment vertical="center" wrapText="1"/>
    </xf>
    <xf numFmtId="164" fontId="52" fillId="0" borderId="1" xfId="1" applyNumberFormat="1" applyFont="1" applyBorder="1" applyAlignment="1">
      <alignment horizontal="center" vertical="center"/>
    </xf>
    <xf numFmtId="164" fontId="48" fillId="0" borderId="1" xfId="1" applyNumberFormat="1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/>
    </xf>
    <xf numFmtId="0" fontId="48" fillId="18" borderId="1" xfId="0" applyFont="1" applyFill="1" applyBorder="1" applyAlignment="1">
      <alignment horizontal="left" vertical="center" wrapText="1"/>
    </xf>
    <xf numFmtId="0" fontId="49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48" fillId="18" borderId="1" xfId="0" applyFont="1" applyFill="1" applyBorder="1" applyAlignment="1">
      <alignment horizontal="center" vertical="center" wrapText="1"/>
    </xf>
    <xf numFmtId="0" fontId="50" fillId="18" borderId="1" xfId="0" applyFont="1" applyFill="1" applyBorder="1" applyAlignment="1">
      <alignment horizontal="center" vertical="center" wrapText="1"/>
    </xf>
    <xf numFmtId="0" fontId="48" fillId="18" borderId="1" xfId="0" applyFont="1" applyFill="1" applyBorder="1" applyAlignment="1">
      <alignment vertical="center" wrapText="1"/>
    </xf>
    <xf numFmtId="0" fontId="56" fillId="18" borderId="1" xfId="0" applyFont="1" applyFill="1" applyBorder="1" applyAlignment="1">
      <alignment horizontal="right" vertical="center" wrapText="1"/>
    </xf>
    <xf numFmtId="0" fontId="48" fillId="18" borderId="1" xfId="1" applyNumberFormat="1" applyFont="1" applyFill="1" applyBorder="1" applyAlignment="1">
      <alignment horizontal="center" vertical="center" wrapText="1"/>
    </xf>
    <xf numFmtId="0" fontId="52" fillId="18" borderId="1" xfId="1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164" fontId="48" fillId="18" borderId="1" xfId="1" applyNumberFormat="1" applyFont="1" applyFill="1" applyBorder="1" applyAlignment="1">
      <alignment horizontal="center" vertical="center" wrapText="1"/>
    </xf>
    <xf numFmtId="165" fontId="53" fillId="18" borderId="1" xfId="0" applyNumberFormat="1" applyFont="1" applyFill="1" applyBorder="1" applyAlignment="1">
      <alignment horizontal="center" vertical="center"/>
    </xf>
    <xf numFmtId="165" fontId="52" fillId="18" borderId="1" xfId="0" applyNumberFormat="1" applyFont="1" applyFill="1" applyBorder="1" applyAlignment="1">
      <alignment horizontal="center" vertical="center" wrapText="1"/>
    </xf>
    <xf numFmtId="16" fontId="54" fillId="18" borderId="1" xfId="0" applyNumberFormat="1" applyFont="1" applyFill="1" applyBorder="1" applyAlignment="1">
      <alignment horizontal="center" vertical="center" wrapText="1"/>
    </xf>
    <xf numFmtId="16" fontId="50" fillId="18" borderId="1" xfId="0" applyNumberFormat="1" applyFont="1" applyFill="1" applyBorder="1" applyAlignment="1">
      <alignment vertical="center" wrapText="1"/>
    </xf>
    <xf numFmtId="0" fontId="56" fillId="0" borderId="1" xfId="0" applyFont="1" applyBorder="1" applyAlignment="1">
      <alignment horizontal="right" vertical="center" wrapText="1"/>
    </xf>
    <xf numFmtId="0" fontId="56" fillId="0" borderId="1" xfId="0" applyFont="1" applyBorder="1" applyAlignment="1">
      <alignment vertical="center" wrapText="1"/>
    </xf>
    <xf numFmtId="0" fontId="56" fillId="18" borderId="1" xfId="0" applyFont="1" applyFill="1" applyBorder="1" applyAlignment="1">
      <alignment vertical="center" wrapText="1"/>
    </xf>
    <xf numFmtId="0" fontId="56" fillId="1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7" fillId="0" borderId="1" xfId="0" quotePrefix="1" applyFont="1" applyBorder="1" applyAlignment="1">
      <alignment horizontal="center" vertical="center" wrapText="1"/>
    </xf>
    <xf numFmtId="0" fontId="48" fillId="19" borderId="1" xfId="0" applyFont="1" applyFill="1" applyBorder="1" applyAlignment="1">
      <alignment vertical="center" wrapText="1"/>
    </xf>
    <xf numFmtId="0" fontId="57" fillId="0" borderId="1" xfId="0" applyFont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left" vertical="center" wrapText="1"/>
    </xf>
    <xf numFmtId="0" fontId="56" fillId="19" borderId="1" xfId="0" applyFont="1" applyFill="1" applyBorder="1" applyAlignment="1">
      <alignment vertical="center" wrapText="1"/>
    </xf>
    <xf numFmtId="0" fontId="49" fillId="3" borderId="3" xfId="2" applyFont="1" applyFill="1" applyBorder="1" applyAlignment="1">
      <alignment horizontal="left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48" fillId="3" borderId="3" xfId="2" applyFont="1" applyFill="1" applyBorder="1" applyAlignment="1">
      <alignment horizontal="center" vertical="center" wrapText="1"/>
    </xf>
    <xf numFmtId="0" fontId="50" fillId="3" borderId="3" xfId="2" applyFont="1" applyFill="1" applyBorder="1" applyAlignment="1">
      <alignment horizontal="center" vertical="center" wrapText="1"/>
    </xf>
    <xf numFmtId="0" fontId="56" fillId="3" borderId="3" xfId="2" applyFont="1" applyFill="1" applyBorder="1" applyAlignment="1">
      <alignment horizontal="center" vertical="center" wrapText="1"/>
    </xf>
    <xf numFmtId="0" fontId="56" fillId="3" borderId="3" xfId="2" applyFont="1" applyFill="1" applyBorder="1" applyAlignment="1">
      <alignment vertical="center" wrapText="1"/>
    </xf>
    <xf numFmtId="37" fontId="13" fillId="20" borderId="3" xfId="2" applyNumberFormat="1" applyFont="1" applyFill="1" applyBorder="1" applyAlignment="1">
      <alignment horizontal="center" vertical="center" wrapText="1"/>
    </xf>
    <xf numFmtId="164" fontId="22" fillId="21" borderId="3" xfId="3" applyNumberFormat="1" applyFont="1" applyFill="1" applyBorder="1" applyAlignment="1">
      <alignment horizontal="center" vertical="center" wrapText="1"/>
    </xf>
    <xf numFmtId="164" fontId="53" fillId="3" borderId="3" xfId="3" applyNumberFormat="1" applyFont="1" applyFill="1" applyBorder="1" applyAlignment="1">
      <alignment horizontal="center" vertical="center"/>
    </xf>
    <xf numFmtId="165" fontId="53" fillId="0" borderId="3" xfId="2" applyNumberFormat="1" applyFont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43" fontId="28" fillId="0" borderId="3" xfId="2" applyNumberFormat="1" applyFont="1" applyBorder="1" applyAlignment="1">
      <alignment horizontal="center" vertical="center"/>
    </xf>
    <xf numFmtId="0" fontId="49" fillId="5" borderId="3" xfId="0" applyFont="1" applyFill="1" applyBorder="1" applyAlignment="1">
      <alignment horizontal="left" vertical="center" wrapText="1"/>
    </xf>
    <xf numFmtId="43" fontId="49" fillId="18" borderId="3" xfId="0" applyNumberFormat="1" applyFont="1" applyFill="1" applyBorder="1" applyAlignment="1">
      <alignment horizontal="left" vertical="center" wrapText="1"/>
    </xf>
    <xf numFmtId="49" fontId="48" fillId="0" borderId="3" xfId="0" applyNumberFormat="1" applyFont="1" applyBorder="1" applyAlignment="1">
      <alignment horizontal="center" vertical="center" wrapText="1"/>
    </xf>
    <xf numFmtId="49" fontId="48" fillId="18" borderId="3" xfId="0" applyNumberFormat="1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43" fontId="49" fillId="0" borderId="3" xfId="0" applyNumberFormat="1" applyFont="1" applyBorder="1" applyAlignment="1">
      <alignment horizontal="left" vertical="center" wrapText="1"/>
    </xf>
    <xf numFmtId="0" fontId="34" fillId="3" borderId="3" xfId="0" applyFont="1" applyFill="1" applyBorder="1" applyAlignment="1">
      <alignment horizontal="left" vertical="center" wrapText="1"/>
    </xf>
    <xf numFmtId="0" fontId="57" fillId="18" borderId="1" xfId="0" applyFont="1" applyFill="1" applyBorder="1" applyAlignment="1">
      <alignment horizontal="center" vertical="center" wrapText="1"/>
    </xf>
    <xf numFmtId="0" fontId="49" fillId="18" borderId="1" xfId="0" applyFont="1" applyFill="1" applyBorder="1" applyAlignment="1">
      <alignment horizontal="center" vertical="center" wrapText="1"/>
    </xf>
    <xf numFmtId="164" fontId="56" fillId="18" borderId="1" xfId="1" applyNumberFormat="1" applyFont="1" applyFill="1" applyBorder="1" applyAlignment="1">
      <alignment horizontal="right" vertical="center" wrapText="1"/>
    </xf>
    <xf numFmtId="0" fontId="56" fillId="0" borderId="1" xfId="0" applyFont="1" applyBorder="1" applyAlignment="1">
      <alignment horizontal="left" vertical="center" wrapText="1"/>
    </xf>
    <xf numFmtId="0" fontId="53" fillId="0" borderId="3" xfId="0" quotePrefix="1" applyFont="1" applyBorder="1" applyAlignment="1">
      <alignment horizontal="center" vertical="center" wrapText="1"/>
    </xf>
    <xf numFmtId="0" fontId="53" fillId="18" borderId="3" xfId="0" applyFont="1" applyFill="1" applyBorder="1" applyAlignment="1">
      <alignment horizontal="center" vertical="center" wrapText="1"/>
    </xf>
    <xf numFmtId="0" fontId="48" fillId="22" borderId="3" xfId="0" applyFont="1" applyFill="1" applyBorder="1" applyAlignment="1">
      <alignment vertical="center" wrapText="1"/>
    </xf>
    <xf numFmtId="0" fontId="53" fillId="0" borderId="3" xfId="0" applyFont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vertical="center" wrapText="1"/>
    </xf>
    <xf numFmtId="164" fontId="52" fillId="0" borderId="1" xfId="1" applyNumberFormat="1" applyFont="1" applyBorder="1" applyAlignment="1">
      <alignment horizontal="center" vertical="center" wrapText="1"/>
    </xf>
    <xf numFmtId="165" fontId="53" fillId="3" borderId="1" xfId="0" applyNumberFormat="1" applyFont="1" applyFill="1" applyBorder="1" applyAlignment="1">
      <alignment horizontal="center" vertical="center"/>
    </xf>
    <xf numFmtId="0" fontId="48" fillId="23" borderId="3" xfId="0" applyFont="1" applyFill="1" applyBorder="1" applyAlignment="1">
      <alignment horizontal="left" vertical="center" wrapText="1"/>
    </xf>
    <xf numFmtId="49" fontId="48" fillId="18" borderId="3" xfId="0" applyNumberFormat="1" applyFont="1" applyFill="1" applyBorder="1" applyAlignment="1">
      <alignment vertical="center" wrapText="1"/>
    </xf>
    <xf numFmtId="164" fontId="49" fillId="0" borderId="3" xfId="1" applyNumberFormat="1" applyFont="1" applyBorder="1" applyAlignment="1">
      <alignment horizontal="center" vertical="center" wrapText="1"/>
    </xf>
    <xf numFmtId="0" fontId="53" fillId="18" borderId="1" xfId="0" applyFont="1" applyFill="1" applyBorder="1" applyAlignment="1">
      <alignment horizontal="center" vertical="center" wrapText="1"/>
    </xf>
    <xf numFmtId="0" fontId="56" fillId="18" borderId="1" xfId="0" applyFont="1" applyFill="1" applyBorder="1" applyAlignment="1">
      <alignment horizontal="left" vertical="center" wrapText="1"/>
    </xf>
    <xf numFmtId="49" fontId="49" fillId="0" borderId="1" xfId="0" applyNumberFormat="1" applyFont="1" applyBorder="1" applyAlignment="1">
      <alignment vertical="center" wrapText="1"/>
    </xf>
    <xf numFmtId="49" fontId="48" fillId="0" borderId="1" xfId="0" applyNumberFormat="1" applyFont="1" applyBorder="1" applyAlignment="1">
      <alignment vertical="center" wrapText="1"/>
    </xf>
    <xf numFmtId="166" fontId="48" fillId="0" borderId="1" xfId="0" applyNumberFormat="1" applyFont="1" applyBorder="1" applyAlignment="1">
      <alignment vertical="center" wrapText="1"/>
    </xf>
    <xf numFmtId="49" fontId="49" fillId="18" borderId="1" xfId="0" applyNumberFormat="1" applyFont="1" applyFill="1" applyBorder="1" applyAlignment="1">
      <alignment vertical="center" wrapText="1"/>
    </xf>
    <xf numFmtId="49" fontId="48" fillId="18" borderId="1" xfId="0" applyNumberFormat="1" applyFont="1" applyFill="1" applyBorder="1" applyAlignment="1">
      <alignment vertical="center" wrapText="1"/>
    </xf>
    <xf numFmtId="166" fontId="48" fillId="18" borderId="1" xfId="0" applyNumberFormat="1" applyFont="1" applyFill="1" applyBorder="1" applyAlignment="1">
      <alignment vertical="center" wrapText="1"/>
    </xf>
    <xf numFmtId="0" fontId="53" fillId="0" borderId="1" xfId="0" quotePrefix="1" applyFont="1" applyBorder="1" applyAlignment="1">
      <alignment horizontal="center" vertical="center" wrapText="1"/>
    </xf>
    <xf numFmtId="164" fontId="49" fillId="0" borderId="1" xfId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164" fontId="48" fillId="0" borderId="0" xfId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4" fontId="47" fillId="0" borderId="0" xfId="1" applyNumberFormat="1" applyFont="1" applyAlignment="1">
      <alignment horizontal="center" vertical="center"/>
    </xf>
    <xf numFmtId="43" fontId="48" fillId="0" borderId="0" xfId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7" fillId="0" borderId="0" xfId="0" applyFont="1" applyAlignment="1">
      <alignment horizontal="left" vertical="center"/>
    </xf>
    <xf numFmtId="0" fontId="67" fillId="0" borderId="0" xfId="0" applyFont="1" applyAlignment="1">
      <alignment horizontal="center" vertical="center"/>
    </xf>
    <xf numFmtId="164" fontId="67" fillId="0" borderId="0" xfId="1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164" fontId="71" fillId="0" borderId="0" xfId="1" applyNumberFormat="1" applyFont="1" applyAlignment="1">
      <alignment horizontal="center" vertical="center"/>
    </xf>
    <xf numFmtId="164" fontId="72" fillId="0" borderId="0" xfId="1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4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/>
    </xf>
    <xf numFmtId="164" fontId="74" fillId="0" borderId="0" xfId="1" applyNumberFormat="1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64" fontId="78" fillId="0" borderId="0" xfId="1" applyNumberFormat="1" applyFont="1" applyAlignment="1">
      <alignment horizontal="center" vertical="center"/>
    </xf>
    <xf numFmtId="164" fontId="79" fillId="0" borderId="0" xfId="1" applyNumberFormat="1" applyFont="1" applyAlignment="1">
      <alignment horizontal="center" vertical="center"/>
    </xf>
    <xf numFmtId="164" fontId="48" fillId="0" borderId="0" xfId="1" applyNumberFormat="1" applyFont="1" applyAlignment="1">
      <alignment horizontal="center" vertical="center" wrapText="1"/>
    </xf>
  </cellXfs>
  <cellStyles count="4">
    <cellStyle name="Comma" xfId="1" builtinId="3"/>
    <cellStyle name="Comma 2 4" xfId="3" xr:uid="{385FBCB4-6D1C-40E9-A231-D57FE69D7084}"/>
    <cellStyle name="Normal" xfId="0" builtinId="0"/>
    <cellStyle name="Normal 2" xfId="2" xr:uid="{54B89E20-4728-42BC-9FD8-E5FB82173F42}"/>
  </cellStyles>
  <dxfs count="2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UONG~1.NTH\AppData\Local\Temp\Zalo%20Temp\TempDownloads\BOM%20%2015.09.xlsx" TargetMode="External"/><Relationship Id="rId1" Type="http://schemas.openxmlformats.org/officeDocument/2006/relationships/externalLinkPath" Target="https://ortholitevietnam.sharepoint.com/Users/PHUONG~1.NTH/AppData/Local/Temp/Zalo%20Temp/TempDownloads/BOM%20%2015.0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tholitevietnam.sharepoint.com/sites/foaming/Shared%20Documents/Foaming/4.%20Production%20Planning%20Control%20-%20PIC%20Nha/14.%20WEEKLY%20PLAN/2.%20THEO%20DOI%20NHAP%20XUAT%20CHI%20TIET.xlsx" TargetMode="External"/><Relationship Id="rId1" Type="http://schemas.openxmlformats.org/officeDocument/2006/relationships/externalLinkPath" Target="https://ortholitevietnam.sharepoint.com/sites/foaming/Shared%20Documents/Foaming/4.%20Production%20Planning%20Control%20-%20PIC%20Nha/14.%20WEEKLY%20PLAN/2.%20THEO%20DOI%20NHAP%20XUAT%20CHI%20TI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5.9"/>
      <sheetName val="CaptionData"/>
      <sheetName val="Aggregated Metadata"/>
      <sheetName val="TranslationData"/>
      <sheetName val="Data 15.9 (2)"/>
      <sheetName val="BOM  15.0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T32xcIBkkSLf0V-umwJhvTkGeHPRM5PsDAChLm4duQOnTehZnO0TrviTf2nYWJT" itemId="01VNHEGAWZ3QN7A2VY3JCIT7NXZYC5SCY4">
      <xxl21:absoluteUrl r:id="rId2"/>
    </xxl21:alternateUrls>
    <sheetNames>
      <sheetName val="TONG XUAT BUN 2026 "/>
      <sheetName val="TỔNG NHẬP BUN 2026."/>
      <sheetName val="code bun"/>
      <sheetName val="Tổng nhập BUN 2026"/>
      <sheetName val="TONG XUAT BUN 2026"/>
      <sheetName val="master plan"/>
    </sheetNames>
    <sheetDataSet>
      <sheetData sheetId="0"/>
      <sheetData sheetId="1"/>
      <sheetData sheetId="2"/>
      <sheetData sheetId="3">
        <row r="1">
          <cell r="C1"/>
        </row>
      </sheetData>
      <sheetData sheetId="4">
        <row r="1">
          <cell r="B1" t="str">
            <v xml:space="preserve">chú ý: khi phát bun phải kiểm tra mã lệnh sản xuất này đã phát đủ bun hay chưa </v>
          </cell>
          <cell r="E1"/>
          <cell r="F1"/>
        </row>
        <row r="2">
          <cell r="E2" t="str">
            <v>THEO DOI GIAO BUN QUA TÁCH</v>
          </cell>
        </row>
        <row r="3">
          <cell r="B3" t="str">
            <v>cong thuc k xoa</v>
          </cell>
          <cell r="C3" t="str">
            <v/>
          </cell>
          <cell r="D3" t="str">
            <v/>
          </cell>
          <cell r="E3" t="str">
            <v/>
          </cell>
          <cell r="F3">
            <v>14838</v>
          </cell>
        </row>
        <row r="4">
          <cell r="B4" t="str">
            <v>No. Order
Mã lệnh sản xuất</v>
          </cell>
          <cell r="C4" t="str">
            <v>Code BUN</v>
          </cell>
          <cell r="D4" t="str">
            <v>PU code</v>
          </cell>
          <cell r="E4" t="str">
            <v>Item name 
Tên nguyên vật liệu</v>
          </cell>
          <cell r="F4" t="str">
            <v>Quantity 
Số lượng</v>
          </cell>
        </row>
        <row r="5">
          <cell r="B5" t="str">
            <v>F-2025-10-241</v>
          </cell>
          <cell r="C5" t="str">
            <v>BDB-000125</v>
          </cell>
          <cell r="D5" t="str">
            <v>PVN-002413</v>
          </cell>
          <cell r="E5" t="str">
            <v>OrthoLite Regular-Nike AIR BLUE/16-4134TPX 0.11D 25+/-4 Asker C 1.1M 2M 4.2mm</v>
          </cell>
          <cell r="F5">
            <v>76</v>
          </cell>
        </row>
        <row r="6">
          <cell r="B6" t="str">
            <v>F-2025-11-185-3</v>
          </cell>
          <cell r="C6" t="str">
            <v>BDB-000165</v>
          </cell>
          <cell r="D6" t="str">
            <v>PVN-002053</v>
          </cell>
          <cell r="E6" t="str">
            <v>OrthoLite Ultra-Nike LIME GREEN/14-0452TPX Flat Sheet 0.085D 15+/-4 Asker C 1.1M 2M 5mm</v>
          </cell>
          <cell r="F6">
            <v>35</v>
          </cell>
        </row>
        <row r="7">
          <cell r="B7" t="str">
            <v>F-2025-11-325</v>
          </cell>
          <cell r="C7" t="str">
            <v>BDB-000235</v>
          </cell>
          <cell r="D7" t="str">
            <v>PVN-003576</v>
          </cell>
          <cell r="E7" t="str">
            <v>OrthoLite X-55-Hybrid FOSSIL/17-0909TPX Hybrid Flat Sheet 0.16D 25+/-4 Asker C 1.1M 1.7M 12mm</v>
          </cell>
          <cell r="F7">
            <v>213</v>
          </cell>
        </row>
        <row r="8">
          <cell r="B8" t="str">
            <v>F-2025-11-363-2</v>
          </cell>
          <cell r="C8" t="str">
            <v>BDB-000165</v>
          </cell>
          <cell r="D8" t="str">
            <v>PVN-002053</v>
          </cell>
          <cell r="E8" t="str">
            <v>OrthoLite Ultra-Nike LIME GREEN/14-0452TPX Flat Sheet 0.085D 15+/-4 Asker C 1.1M 2M 5mm</v>
          </cell>
          <cell r="F8">
            <v>23</v>
          </cell>
        </row>
        <row r="9">
          <cell r="B9" t="str">
            <v>F-2025-11-445</v>
          </cell>
          <cell r="C9" t="str">
            <v>BDB-000165</v>
          </cell>
          <cell r="D9" t="str">
            <v>PVN-002053</v>
          </cell>
          <cell r="E9" t="str">
            <v>OrthoLite Ultra-Nike LIME GREEN/14-0452TPX Flat Sheet 0.085D 15+/-4 Asker C 1.1M 2M 5mm</v>
          </cell>
          <cell r="F9">
            <v>1</v>
          </cell>
        </row>
        <row r="10">
          <cell r="B10" t="str">
            <v>F-2025-12-157</v>
          </cell>
          <cell r="C10" t="str">
            <v>BDB-000339</v>
          </cell>
          <cell r="D10" t="str">
            <v>PVN-004178</v>
          </cell>
          <cell r="E10" t="str">
            <v>OrthoLite Float NEUTRAL GRAY/17-4402TPX Flat Sheet 0.12D 21+/-4 Asker C 1.1M 2M 5.5mm</v>
          </cell>
          <cell r="F10">
            <v>31</v>
          </cell>
        </row>
        <row r="11">
          <cell r="B11" t="str">
            <v>F-2025-12-206</v>
          </cell>
          <cell r="C11" t="str">
            <v>BDB-000339</v>
          </cell>
          <cell r="D11" t="str">
            <v>PVN-004178</v>
          </cell>
          <cell r="E11" t="str">
            <v>OrthoLite Float NEUTRAL GRAY/17-4402TPX Flat Sheet 0.12D 21+/-4 Asker C 1.1M 2M 5.5mm</v>
          </cell>
          <cell r="F11">
            <v>1</v>
          </cell>
        </row>
        <row r="12">
          <cell r="B12" t="str">
            <v>F-2025-12-255</v>
          </cell>
          <cell r="C12" t="str">
            <v>BDB-000131</v>
          </cell>
          <cell r="D12" t="str">
            <v>PVN-001565</v>
          </cell>
          <cell r="E12" t="str">
            <v>OrthoLite Regular-Nike AIR BLUE/16-4134TPX Flat Sheet 0.11D 15+/-4 Asker C 1.1M 2M 4mm</v>
          </cell>
          <cell r="F12">
            <v>4</v>
          </cell>
        </row>
        <row r="13">
          <cell r="B13" t="str">
            <v>F-2025-12-278</v>
          </cell>
          <cell r="C13" t="str">
            <v>BDB-000011</v>
          </cell>
          <cell r="D13" t="str">
            <v>PVN-000127</v>
          </cell>
          <cell r="E13" t="str">
            <v>OrthoLite Regular AIR BLUE/16-4134TPX Flat Sheet 0.13D 35+/-4 Asker C 1.1M 2M 5mm (OIN)</v>
          </cell>
          <cell r="F13">
            <v>5</v>
          </cell>
        </row>
        <row r="14">
          <cell r="B14" t="str">
            <v>F-2025-12-288</v>
          </cell>
          <cell r="C14" t="str">
            <v>BDB-000056</v>
          </cell>
          <cell r="D14" t="str">
            <v>PVN-001983</v>
          </cell>
          <cell r="E14" t="str">
            <v>OrthoLite X-40 SEEDPEARL/12-0703TPX Flat Sheet 0.16D 25+/-4 Asker C 1.1M 1.7M 5mm</v>
          </cell>
          <cell r="F14">
            <v>77</v>
          </cell>
        </row>
        <row r="15">
          <cell r="B15" t="str">
            <v>F-2025-12-296</v>
          </cell>
          <cell r="C15" t="str">
            <v>BDB-000336</v>
          </cell>
          <cell r="D15" t="str">
            <v>PVN-004168</v>
          </cell>
          <cell r="E15" t="str">
            <v>OrthoLite X-40-Nike SEEDPEARL/12-0703TPX Flat Sheet 0.16D 35+/-4 Asker C 1.1M 2M 4.5mm</v>
          </cell>
          <cell r="F15">
            <v>2</v>
          </cell>
        </row>
        <row r="16">
          <cell r="B16" t="str">
            <v>F-2025-12-327</v>
          </cell>
          <cell r="C16" t="str">
            <v>BDB-000016</v>
          </cell>
          <cell r="D16" t="str">
            <v>PVN-001814</v>
          </cell>
          <cell r="E16" t="str">
            <v>OrthoLite Regular GREEN/16-5932TPX Flat Sheet 0.13D 35+/-4 Asker C 1.1M 2M 3.5mm</v>
          </cell>
          <cell r="F16">
            <v>5</v>
          </cell>
        </row>
        <row r="17">
          <cell r="B17" t="str">
            <v>F-2025-12-329</v>
          </cell>
          <cell r="C17" t="str">
            <v>BDB-000076</v>
          </cell>
          <cell r="D17" t="str">
            <v>PVN-003448</v>
          </cell>
          <cell r="E17" t="str">
            <v>OrthoLite X-25 BILLIARD/16-5427TPX Flat Sheet 0.12D 20+/-4 Asker C 1.1M 2M 6.2mm</v>
          </cell>
          <cell r="F17">
            <v>43</v>
          </cell>
        </row>
        <row r="18">
          <cell r="B18" t="str">
            <v>F-2025-12-338</v>
          </cell>
          <cell r="C18" t="str">
            <v>BDB-000339</v>
          </cell>
          <cell r="D18" t="str">
            <v>PVN-004223</v>
          </cell>
          <cell r="E18" t="str">
            <v>OrthoLite Float NEUTRAL GRAY/17-4402TPX Flat Sheet 0.12D 21+/-4 Asker C 1.1M 2M 5mm</v>
          </cell>
          <cell r="F18">
            <v>1</v>
          </cell>
        </row>
        <row r="19">
          <cell r="B19" t="str">
            <v>F-2025-12-340</v>
          </cell>
          <cell r="C19" t="str">
            <v>BDB-000321</v>
          </cell>
          <cell r="D19" t="str">
            <v>PVN-004092</v>
          </cell>
          <cell r="E19" t="str">
            <v>OrthoLite Float BLUE ATOLL/16-4535TPX Flat Sheet 0.12D 21+/-4 Asker C 1.1M 2M 14.5mm</v>
          </cell>
          <cell r="F19">
            <v>24</v>
          </cell>
        </row>
        <row r="20">
          <cell r="B20" t="str">
            <v>F-2025-12-346</v>
          </cell>
          <cell r="C20" t="str">
            <v>BDB-000154</v>
          </cell>
          <cell r="D20" t="str">
            <v>PVN-003347</v>
          </cell>
          <cell r="E20" t="str">
            <v>OrthoLite X-40-Nike TRUE BLUE/19-4057TPX Flat Sheet 0.16D 35+/-4 Asker C 1.1M 1.7M 4mm</v>
          </cell>
          <cell r="F20">
            <v>16</v>
          </cell>
        </row>
        <row r="21">
          <cell r="B21" t="str">
            <v>F-2025-12-349</v>
          </cell>
          <cell r="C21" t="str">
            <v>BDB-000131</v>
          </cell>
          <cell r="D21" t="str">
            <v>PVN-001565</v>
          </cell>
          <cell r="E21" t="str">
            <v>OrthoLite Regular-Nike AIR BLUE/16-4134TPX Flat Sheet 0.11D 15+/-4 Asker C 1.1M 2M 4mm</v>
          </cell>
          <cell r="F21">
            <v>1</v>
          </cell>
        </row>
        <row r="22">
          <cell r="B22" t="str">
            <v>F-2025-12-351</v>
          </cell>
          <cell r="C22" t="str">
            <v>BDB-000076</v>
          </cell>
          <cell r="D22" t="str">
            <v>PVN-003745</v>
          </cell>
          <cell r="E22" t="str">
            <v>OrthoLite X-25 BILLIARD/16-5427TPX Flat Sheet 0.12D 20+/-4 Asker C 1.1M 2M 16mm</v>
          </cell>
          <cell r="F22">
            <v>82</v>
          </cell>
        </row>
        <row r="23">
          <cell r="B23" t="str">
            <v>F-2025-12-354</v>
          </cell>
          <cell r="C23" t="str">
            <v>BDB-000220</v>
          </cell>
          <cell r="D23" t="str">
            <v>PVN-003656</v>
          </cell>
          <cell r="E23" t="str">
            <v>OrthoLite X-25 BILLIARD/16-5427TPX Flat Sheet 0.12D 20+/-4 Asker C 1.1M 1.47M 3mm</v>
          </cell>
          <cell r="F23">
            <v>2</v>
          </cell>
        </row>
        <row r="24">
          <cell r="B24" t="str">
            <v>F-2025-12-359</v>
          </cell>
          <cell r="C24" t="str">
            <v>BDB-000083</v>
          </cell>
          <cell r="D24" t="str">
            <v>PVN-000935</v>
          </cell>
          <cell r="E24" t="str">
            <v>OrthoLite Eco LT 300C(ADIDAS BLUEBIRD) Flat Sheet 0.11D 25+/-4 Asker C 1.1M 2M 4mm</v>
          </cell>
          <cell r="F24">
            <v>1</v>
          </cell>
        </row>
        <row r="25">
          <cell r="B25" t="str">
            <v>F-2025-12-360</v>
          </cell>
          <cell r="C25" t="str">
            <v>BDB-000056</v>
          </cell>
          <cell r="D25" t="str">
            <v>PVN-001983</v>
          </cell>
          <cell r="E25" t="str">
            <v>OrthoLite X-40 SEEDPEARL/12-0703TPX Flat Sheet 0.16D 25+/-4 Asker C 1.1M 1.7M 5mm</v>
          </cell>
          <cell r="F25">
            <v>4</v>
          </cell>
        </row>
        <row r="26">
          <cell r="B26" t="str">
            <v>F-2025-12-368</v>
          </cell>
          <cell r="C26" t="str">
            <v>BDB-000319</v>
          </cell>
          <cell r="D26" t="str">
            <v>PVN-004081</v>
          </cell>
          <cell r="E26" t="str">
            <v>OrthoLite X-40-Hybrid-Nike SEEDPEARL/12-0703TPX Hybrid Flat Sheet 0.16D 25+/-4 Asker C 1.1M 2M 6mm</v>
          </cell>
          <cell r="F26">
            <v>5</v>
          </cell>
        </row>
        <row r="27">
          <cell r="B27" t="str">
            <v>F-2025-12-376</v>
          </cell>
          <cell r="C27" t="str">
            <v>BDB-000055</v>
          </cell>
          <cell r="D27" t="str">
            <v>PVN-003326</v>
          </cell>
          <cell r="E27" t="str">
            <v>OrthoLite X-40 TRUE BLUE/19-4057TPX Flat Sheet 0.16D 35+/-4 Asker C 1.1M 1.7M 14mm</v>
          </cell>
          <cell r="F27">
            <v>4</v>
          </cell>
        </row>
        <row r="28">
          <cell r="B28" t="str">
            <v>F-2025-12-377</v>
          </cell>
          <cell r="C28" t="str">
            <v>BDB-000319</v>
          </cell>
          <cell r="D28" t="str">
            <v>PVN-004247</v>
          </cell>
          <cell r="E28" t="str">
            <v>OrthoLite X-40-Hybrid-Nike SEEDPEARL/12-0703TPX Hybrid Flat Sheet 0.16D 25+/-4 Asker C 1.1M 2M 4.2mm</v>
          </cell>
          <cell r="F28">
            <v>1</v>
          </cell>
        </row>
        <row r="29">
          <cell r="B29" t="str">
            <v>F-2025-12-384</v>
          </cell>
          <cell r="C29" t="str">
            <v>BDB-000083</v>
          </cell>
          <cell r="D29" t="str">
            <v>PVN-000935</v>
          </cell>
          <cell r="E29" t="str">
            <v>OrthoLite Eco LT 300C(ADIDAS BLUEBIRD) Flat Sheet 0.11D 25+/-4 Asker C 1.1M 2M 4mm</v>
          </cell>
          <cell r="F29">
            <v>5</v>
          </cell>
        </row>
        <row r="30">
          <cell r="B30" t="str">
            <v>F-2025-12-444</v>
          </cell>
          <cell r="C30" t="str">
            <v>BDB-000011</v>
          </cell>
          <cell r="D30" t="str">
            <v>PVN-000184</v>
          </cell>
          <cell r="E30" t="str">
            <v>OrthoLite Regular AIR BLUE/16-4134TPX Flat Sheet 0.13D 35+/-4 Asker C 1.1M 2M 14mm</v>
          </cell>
          <cell r="F30">
            <v>1</v>
          </cell>
        </row>
        <row r="31">
          <cell r="B31" t="str">
            <v>F-2025-12-450</v>
          </cell>
          <cell r="C31" t="str">
            <v>BDB-000016</v>
          </cell>
          <cell r="D31" t="str">
            <v>PVN-000338</v>
          </cell>
          <cell r="E31" t="str">
            <v>OrthoLite Regular GREEN/16-5932TPX 0.13D 35+/-4 Asker C 1.1M 2M 4mm</v>
          </cell>
          <cell r="F31">
            <v>1</v>
          </cell>
        </row>
        <row r="32">
          <cell r="B32" t="str">
            <v>F-2025-12-52-2</v>
          </cell>
          <cell r="C32" t="str">
            <v>BDB-000129</v>
          </cell>
          <cell r="D32" t="str">
            <v>PVN-001550</v>
          </cell>
          <cell r="E32" t="str">
            <v>OrthoLite Regular-Nike AIR BLUE/16-4134TPX 0.11D 25+/-4 Asker C 1.1M 1.7M 2mm</v>
          </cell>
          <cell r="F32">
            <v>22</v>
          </cell>
        </row>
        <row r="33">
          <cell r="B33" t="str">
            <v>F-2025-12-55</v>
          </cell>
          <cell r="C33" t="str">
            <v>BDB-000129</v>
          </cell>
          <cell r="D33" t="str">
            <v>PVN-001550</v>
          </cell>
          <cell r="E33" t="str">
            <v>OrthoLite Regular-Nike AIR BLUE/16-4134TPX 0.11D 25+/-4 Asker C 1.1M 1.7M 2mm</v>
          </cell>
          <cell r="F33">
            <v>43</v>
          </cell>
        </row>
        <row r="34">
          <cell r="B34" t="str">
            <v>S-2025-12-102</v>
          </cell>
          <cell r="C34" t="str">
            <v>BDB-000209</v>
          </cell>
          <cell r="D34" t="str">
            <v>PVN-003537</v>
          </cell>
          <cell r="E34" t="str">
            <v>OrthoLite HybridPlus-Recycled MINT GREEN/11-4805TPX Hybrid 0.12D 25+/-4 Asker C 1.1M 2M 4.5mm</v>
          </cell>
          <cell r="F34">
            <v>3</v>
          </cell>
        </row>
        <row r="35">
          <cell r="B35" t="str">
            <v>S-2025-12-103</v>
          </cell>
          <cell r="C35" t="str">
            <v>BDB-000113</v>
          </cell>
          <cell r="D35" t="str">
            <v>PVN-002465</v>
          </cell>
          <cell r="E35" t="str">
            <v>OrthoLite Regular-Hybrid SEEDPEARL/12-0703TPX Hybrid Flat Sheet 0.11D 25+/-4 Asker C 1.1M 2M 5mm</v>
          </cell>
          <cell r="F35">
            <v>3</v>
          </cell>
        </row>
        <row r="36">
          <cell r="B36" t="str">
            <v>S-2025-12-82</v>
          </cell>
          <cell r="C36" t="str">
            <v>BDB-000157</v>
          </cell>
          <cell r="D36" t="str">
            <v>PVN-003573</v>
          </cell>
          <cell r="E36" t="str">
            <v>OrthoLite X-35-Hybrid-Nike SEEDPEARL/12-0703TPX Hybrid 0.145D 25+/-4 Asker C 1.1M 2M 4.2mm</v>
          </cell>
          <cell r="F36">
            <v>2</v>
          </cell>
        </row>
        <row r="37">
          <cell r="B37" t="str">
            <v>S-2025-12-91</v>
          </cell>
          <cell r="C37" t="str">
            <v>BDB-000067</v>
          </cell>
          <cell r="D37" t="str">
            <v>PVN-003971</v>
          </cell>
          <cell r="E37" t="str">
            <v>OrthoLite Ultra SEEDPEARL/12-0703TPX Flat Sheet 0.085D 25+/-4 Asker C 1.1M 2M 6.2mm</v>
          </cell>
          <cell r="F37">
            <v>3</v>
          </cell>
        </row>
        <row r="38">
          <cell r="B38" t="str">
            <v>S-2025-12-92</v>
          </cell>
          <cell r="C38" t="str">
            <v>BDB-000083</v>
          </cell>
          <cell r="D38" t="str">
            <v>PVN-004273</v>
          </cell>
          <cell r="E38" t="str">
            <v>OrthoLite Eco LT 300C(ADIDAS BLUEBIRD) Flat Sheet 0.11D 25+/-4 Asker C 1.1M 2M 12.5mm</v>
          </cell>
          <cell r="F38">
            <v>2</v>
          </cell>
        </row>
        <row r="39">
          <cell r="B39" t="str">
            <v>S-2025-12-93</v>
          </cell>
          <cell r="C39" t="str">
            <v>BDB-000348</v>
          </cell>
          <cell r="D39" t="str">
            <v>PVN-004274</v>
          </cell>
          <cell r="E39" t="str">
            <v>OrthoLite IMPERIAL SEEDPEARL/12-0703TPX Flat Sheet 0.22D 25+/-4 Asker C 1.1M 1.47M 13mm</v>
          </cell>
          <cell r="F39">
            <v>3</v>
          </cell>
        </row>
        <row r="40">
          <cell r="B40" t="str">
            <v>S-2025-12-95</v>
          </cell>
          <cell r="C40" t="str">
            <v>BDB-000076</v>
          </cell>
          <cell r="D40" t="str">
            <v>PVN-003745</v>
          </cell>
          <cell r="E40" t="str">
            <v>OrthoLite X-25 BILLIARD/16-5427TPX Flat Sheet 0.12D 20+/-4 Asker C 1.1M 2M 16mm</v>
          </cell>
          <cell r="F40">
            <v>4</v>
          </cell>
        </row>
        <row r="41">
          <cell r="B41" t="str">
            <v>S-2025-12-98</v>
          </cell>
          <cell r="C41" t="str">
            <v>BDB-000123</v>
          </cell>
          <cell r="D41" t="str">
            <v>PVN-003300</v>
          </cell>
          <cell r="E41" t="str">
            <v>OrthoLite Ultra-Hybrid SEEDPEARL/12-0703TPX Hybrid Flat Sheet 0.085D 25+/-4 Asker C 1.1M 2M 2mm</v>
          </cell>
          <cell r="F41">
            <v>2</v>
          </cell>
        </row>
        <row r="42">
          <cell r="B42" t="str">
            <v>S-2025-12-99</v>
          </cell>
          <cell r="C42" t="str">
            <v>BDB-000077</v>
          </cell>
          <cell r="D42" t="str">
            <v>PVN-003513</v>
          </cell>
          <cell r="E42" t="str">
            <v>OrthoLite X-25 SEEDPEARL/12-0703TPX Flat Sheet 0.12D 20+/-4 Asker C 1.1M 2M 2mm</v>
          </cell>
          <cell r="F42">
            <v>1</v>
          </cell>
        </row>
        <row r="43">
          <cell r="B43" t="str">
            <v>F-2025-10-232</v>
          </cell>
          <cell r="C43" t="str">
            <v>BDB-000160</v>
          </cell>
          <cell r="D43" t="str">
            <v>PVN-001562</v>
          </cell>
          <cell r="E43" t="str">
            <v>OrthoLite Ultra-Nike LIME GREEN/14-0452TPX 0.085D 25+/-4 Asker C 1.1M 2M 4mm</v>
          </cell>
          <cell r="F43">
            <v>72</v>
          </cell>
        </row>
        <row r="44">
          <cell r="B44" t="str">
            <v>F-2025-11-325</v>
          </cell>
          <cell r="C44" t="str">
            <v>BDB-000235</v>
          </cell>
          <cell r="D44" t="str">
            <v>PVN-003576</v>
          </cell>
          <cell r="E44" t="str">
            <v>OrthoLite X-55-Hybrid FOSSIL/17-0909TPX Hybrid Flat Sheet 0.16D 25+/-4 Asker C 1.1M 1.7M 12mm</v>
          </cell>
          <cell r="F44">
            <v>5</v>
          </cell>
        </row>
        <row r="45">
          <cell r="B45" t="str">
            <v>F-2025-11-363-2</v>
          </cell>
          <cell r="C45" t="str">
            <v>BDB-000165</v>
          </cell>
          <cell r="D45" t="str">
            <v>PVN-002053</v>
          </cell>
          <cell r="E45" t="str">
            <v>OrthoLite Ultra-Nike LIME GREEN/14-0452TPX Flat Sheet 0.085D 15+/-4 Asker C 1.1M 2M 5mm</v>
          </cell>
          <cell r="F45">
            <v>8</v>
          </cell>
        </row>
        <row r="46">
          <cell r="B46" t="str">
            <v>F-2025-11-423</v>
          </cell>
          <cell r="C46" t="str">
            <v>BDB-000123</v>
          </cell>
          <cell r="D46" t="str">
            <v>PVN-002973</v>
          </cell>
          <cell r="E46" t="str">
            <v>OrthoLite Ultra-Hybrid SEEDPEARL/12-0703TPX Hybrid 0.085D 25+/-4 Asker C 1.1M 2M 4.5mm</v>
          </cell>
          <cell r="F46">
            <v>43</v>
          </cell>
        </row>
        <row r="47">
          <cell r="B47" t="str">
            <v>F-2025-12-265</v>
          </cell>
          <cell r="C47" t="str">
            <v>BDB-000217</v>
          </cell>
          <cell r="D47" t="str">
            <v>PVN-003539</v>
          </cell>
          <cell r="E47" t="str">
            <v>OrthoLite X-40-Hybrid SEEDPEARL/12-0703TPX Hybrid Flat Sheet 0.16D 35+/-4 Asker C 1.1M 1.7M 6.2mm</v>
          </cell>
          <cell r="F47">
            <v>45</v>
          </cell>
        </row>
        <row r="48">
          <cell r="B48" t="str">
            <v>F-2025-12-266</v>
          </cell>
          <cell r="C48" t="str">
            <v>BDB-000218</v>
          </cell>
          <cell r="D48" t="str">
            <v>PVN-003488</v>
          </cell>
          <cell r="E48" t="str">
            <v>OrthoLite Ultra-Nike SEEDPEARL/12-0703TPX Flat Sheet 0.085D 5-10 Asker C 1.1M 2M 4mm</v>
          </cell>
          <cell r="F48">
            <v>5</v>
          </cell>
        </row>
        <row r="49">
          <cell r="B49" t="str">
            <v>F-2025-12-273</v>
          </cell>
          <cell r="C49" t="str">
            <v>BDB-000347</v>
          </cell>
          <cell r="D49" t="str">
            <v>PVN-004192</v>
          </cell>
          <cell r="E49" t="str">
            <v>OrthoLite X-55-Hybrid SEEDPEARL/12-0703TPX Hybrid Flat Sheet 0.16D 25+/-4 Asker C 1.1M 2M 12mm</v>
          </cell>
          <cell r="F49">
            <v>71</v>
          </cell>
        </row>
        <row r="50">
          <cell r="B50" t="str">
            <v>F-2025-12-305</v>
          </cell>
          <cell r="C50" t="str">
            <v>BDB-000123</v>
          </cell>
          <cell r="D50" t="str">
            <v>PVN-003298</v>
          </cell>
          <cell r="E50" t="str">
            <v>OrthoLite Ultra-Hybrid SEEDPEARL/12-0703TPX Hybrid 0.085D 25+/-4 Asker C 1.1M 2M 4mm</v>
          </cell>
          <cell r="F50">
            <v>111</v>
          </cell>
        </row>
        <row r="51">
          <cell r="B51" t="str">
            <v>F-2025-12-359</v>
          </cell>
          <cell r="C51" t="str">
            <v>BDB-000083</v>
          </cell>
          <cell r="D51" t="str">
            <v>PVN-000935</v>
          </cell>
          <cell r="E51" t="str">
            <v>OrthoLite Eco LT 300C(ADIDAS BLUEBIRD) Flat Sheet 0.11D 25+/-4 Asker C 1.1M 2M 4mm</v>
          </cell>
          <cell r="F51">
            <v>1</v>
          </cell>
        </row>
        <row r="52">
          <cell r="B52" t="str">
            <v>F-2025-12-368</v>
          </cell>
          <cell r="C52" t="str">
            <v>BDB-000319</v>
          </cell>
          <cell r="D52" t="str">
            <v>PVN-004081</v>
          </cell>
          <cell r="E52" t="str">
            <v>OrthoLite X-40-Hybrid-Nike SEEDPEARL/12-0703TPX Hybrid Flat Sheet 0.16D 25+/-4 Asker C 1.1M 2M 6mm</v>
          </cell>
          <cell r="F52">
            <v>4</v>
          </cell>
        </row>
        <row r="53">
          <cell r="B53" t="str">
            <v>F-2025-12-380</v>
          </cell>
          <cell r="C53" t="str">
            <v>BDB-000352</v>
          </cell>
          <cell r="D53" t="str">
            <v>PVN-004215</v>
          </cell>
          <cell r="E53" t="str">
            <v>OrthoLite Float-Hybrid SEEDPEARL/12-0703TPX Hybrid Flat Sheet 0.12D 21+/-4 Asker C 1.1M 2M 7.5mm</v>
          </cell>
          <cell r="F53">
            <v>7</v>
          </cell>
        </row>
        <row r="54">
          <cell r="B54" t="str">
            <v>F-2025-12-381</v>
          </cell>
          <cell r="C54" t="str">
            <v>BDB-000347</v>
          </cell>
          <cell r="D54" t="str">
            <v>PVN-004193</v>
          </cell>
          <cell r="E54" t="str">
            <v>OrthoLite X-55-Hybrid SEEDPEARL/12-0703TPX Hybrid Flat Sheet 0.16D 25+/-4 Asker C 1.1M 2M 11mm</v>
          </cell>
          <cell r="F54">
            <v>2</v>
          </cell>
        </row>
        <row r="55">
          <cell r="B55" t="str">
            <v>F-2025-12-386</v>
          </cell>
          <cell r="C55" t="str">
            <v>BDB-000058</v>
          </cell>
          <cell r="D55" t="str">
            <v>PVN-001319</v>
          </cell>
          <cell r="E55" t="str">
            <v>OrthoLite Ultra GREEN/16-5932TPX 0.085D 25+/-4 Asker C 1.1M 2M 5mm</v>
          </cell>
          <cell r="F55">
            <v>23</v>
          </cell>
        </row>
        <row r="56">
          <cell r="B56" t="str">
            <v>F-2025-12-392</v>
          </cell>
          <cell r="C56" t="str">
            <v>BDB-000217</v>
          </cell>
          <cell r="D56" t="str">
            <v>PVN-003483</v>
          </cell>
          <cell r="E56" t="str">
            <v>OrthoLite X-40-Hybrid SEEDPEARL/12-0703TPX Hybrid Flat Sheet 0.16D 35+/-4 Asker C 1.1M 1.7M 12mm</v>
          </cell>
          <cell r="F56">
            <v>8</v>
          </cell>
        </row>
        <row r="57">
          <cell r="B57" t="str">
            <v>F-2025-12-393</v>
          </cell>
          <cell r="C57" t="str">
            <v>BDB-000212</v>
          </cell>
          <cell r="D57" t="str">
            <v>PVN-003460</v>
          </cell>
          <cell r="E57" t="str">
            <v>OrthoLite X-25-Hybrid SEEDPEARL/12-0703TPX Hybrid Flat Sheet 0.12D 20+/-4 Asker C 1.1M 2M 5.5mm</v>
          </cell>
          <cell r="F57">
            <v>14</v>
          </cell>
        </row>
        <row r="58">
          <cell r="B58" t="str">
            <v>F-2025-12-430</v>
          </cell>
          <cell r="C58" t="str">
            <v>BDB-000002</v>
          </cell>
          <cell r="D58" t="str">
            <v>PVN-000027</v>
          </cell>
          <cell r="E58" t="str">
            <v>OrthoLite Regular YELLOW/13-0858TPX 0.11D 15+/-4 Asker C 1.1M 2M 3mm</v>
          </cell>
          <cell r="F58">
            <v>12</v>
          </cell>
        </row>
        <row r="59">
          <cell r="B59" t="str">
            <v>F-2025-12-436</v>
          </cell>
          <cell r="C59" t="str">
            <v>BDB-000200</v>
          </cell>
          <cell r="D59" t="str">
            <v>PVN-003418</v>
          </cell>
          <cell r="E59" t="str">
            <v>OrthoLite Ultra SEEDPEARL/12-0703TPX Flat Sheet 0.085D 78-90 Asker F 1.1M 2M 5mm</v>
          </cell>
          <cell r="F59">
            <v>5</v>
          </cell>
        </row>
        <row r="60">
          <cell r="B60" t="str">
            <v>L-2025-12-90</v>
          </cell>
          <cell r="C60" t="str">
            <v>BDB-000347</v>
          </cell>
          <cell r="D60" t="str">
            <v>PVN-004192</v>
          </cell>
          <cell r="E60" t="str">
            <v>OrthoLite X-55-Hybrid SEEDPEARL/12-0703TPX Hybrid 0.16D 25+/-4 Asker C 1.1M 2M 12mm</v>
          </cell>
          <cell r="F60">
            <v>1</v>
          </cell>
        </row>
        <row r="61">
          <cell r="B61" t="str">
            <v>S-2025-12-100</v>
          </cell>
          <cell r="C61" t="str">
            <v>BDB-000067</v>
          </cell>
          <cell r="D61" t="str">
            <v>PVN-003971</v>
          </cell>
          <cell r="E61" t="str">
            <v>OrthoLite Ultra SEEDPEARL/12-0703TPX Flat Sheet 0.085D 25+/-4 Asker C 1.1M 2M 6.2mm</v>
          </cell>
          <cell r="F61">
            <v>3</v>
          </cell>
        </row>
        <row r="62">
          <cell r="B62" t="str">
            <v>S-2025-12-101</v>
          </cell>
          <cell r="C62" t="str">
            <v>BDB-000200</v>
          </cell>
          <cell r="D62" t="str">
            <v>PVN-003418</v>
          </cell>
          <cell r="E62" t="str">
            <v>OrthoLite Ultra SEEDPEARL/12-0703TPX Flat Sheet 0.085D 78-90 Asker F 1.1M 2M 5mm</v>
          </cell>
          <cell r="F62">
            <v>2</v>
          </cell>
        </row>
        <row r="63">
          <cell r="B63" t="str">
            <v>S-2025-12-104</v>
          </cell>
          <cell r="C63" t="str">
            <v>BDB-000212</v>
          </cell>
          <cell r="D63" t="str">
            <v>PVN-003460</v>
          </cell>
          <cell r="E63" t="str">
            <v>OrthoLite X-25-Hybrid SEEDPEARL/12-0703TPX Hybrid Flat Sheet 0.12D 20+/-4 Asker C 1.1M 2M 5.5mm</v>
          </cell>
          <cell r="F63">
            <v>2</v>
          </cell>
        </row>
        <row r="64">
          <cell r="B64" t="str">
            <v>S-2025-12-105</v>
          </cell>
          <cell r="C64" t="str">
            <v>BDB-000212</v>
          </cell>
          <cell r="D64" t="str">
            <v>PVN-003491</v>
          </cell>
          <cell r="E64" t="str">
            <v>OrthoLite X-25-Hybrid SEEDPEARL/12-0703TPX Hybrid 0.12D 20+/-4 Asker C 1.1M 2M 4.5mm</v>
          </cell>
          <cell r="F64">
            <v>1</v>
          </cell>
        </row>
        <row r="65">
          <cell r="B65" t="str">
            <v>S-2025-12-106</v>
          </cell>
          <cell r="C65" t="str">
            <v>BDB-000363</v>
          </cell>
          <cell r="D65" t="str">
            <v>PVN-004260</v>
          </cell>
          <cell r="E65" t="str">
            <v>OrthoLite HybridPlus-Recycled MINT GREEN/11-4805TPX Hybrid 0.12D 35+/-4 Asker C 1.1M 2M 5.5mm</v>
          </cell>
          <cell r="F65">
            <v>2</v>
          </cell>
        </row>
        <row r="66">
          <cell r="B66" t="str">
            <v>S-2025-12-107</v>
          </cell>
          <cell r="C66" t="str">
            <v>BDB-000212</v>
          </cell>
          <cell r="D66" t="str">
            <v>PVN-003530</v>
          </cell>
          <cell r="E66" t="str">
            <v>OrthoLite X-25-Hybrid SEEDPEARL/12-0703TPX Hybrid Flat Sheet 0.12D 20+/-4 Asker C 1.1M 2M 8.2mm</v>
          </cell>
          <cell r="F66">
            <v>2</v>
          </cell>
        </row>
        <row r="67">
          <cell r="B67" t="str">
            <v>S-2025-12-111</v>
          </cell>
          <cell r="C67" t="str">
            <v>BDB-000200</v>
          </cell>
          <cell r="D67" t="str">
            <v>PVN-003425</v>
          </cell>
          <cell r="E67" t="str">
            <v>OrthoLite Ultra SEEDPEARL/12-0703TPX Flat Sheet 0.085D 78-90 Asker F 1.1M 2M 4mm</v>
          </cell>
          <cell r="F67">
            <v>3</v>
          </cell>
        </row>
        <row r="68">
          <cell r="B68" t="str">
            <v>S-2025-12-123</v>
          </cell>
          <cell r="C68" t="str">
            <v>BDB-000123</v>
          </cell>
          <cell r="D68" t="str">
            <v>PVN-003298</v>
          </cell>
          <cell r="E68" t="str">
            <v>OrthoLite Ultra-Hybrid SEEDPEARL/12-0703TPX Hybrid 0.085D 25+/-4 Asker C 1.1M 2M 4mm</v>
          </cell>
          <cell r="F68">
            <v>9</v>
          </cell>
        </row>
        <row r="69">
          <cell r="B69" t="str">
            <v>S-2025-12-126</v>
          </cell>
          <cell r="C69" t="str">
            <v>BDB-000209</v>
          </cell>
          <cell r="D69" t="str">
            <v>PVN-003550</v>
          </cell>
          <cell r="E69" t="str">
            <v>OrthoLite HybridPlus-Recycled MINT GREEN/11-4805TPX Hybrid 0.12D 25+/-4 Asker C 1.1M 2M 6mm</v>
          </cell>
          <cell r="F69">
            <v>5</v>
          </cell>
        </row>
        <row r="70">
          <cell r="B70" t="str">
            <v>S-2025-12-127</v>
          </cell>
          <cell r="C70" t="str">
            <v>BDB-000077</v>
          </cell>
          <cell r="D70" t="str">
            <v>PVN-004147</v>
          </cell>
          <cell r="E70" t="str">
            <v>OrthoLite X-25 SEEDPEARL/12-0703TPX Flat Sheet 0.12D 20+/-4 Asker C 1.1M 2M 5.5mm</v>
          </cell>
          <cell r="F70">
            <v>2</v>
          </cell>
        </row>
        <row r="71">
          <cell r="B71" t="str">
            <v>S-2025-12-130</v>
          </cell>
          <cell r="C71" t="str">
            <v>BDB-000157</v>
          </cell>
          <cell r="D71" t="str">
            <v>PVN-003244</v>
          </cell>
          <cell r="E71" t="str">
            <v>OrthoLite X-35-Hybrid-Nike SEEDPEARL/12-0703TPX Hybrid 0.145D 25+/-4 Asker C 1.1M 2M 5.2mm</v>
          </cell>
          <cell r="F71">
            <v>1</v>
          </cell>
        </row>
        <row r="72">
          <cell r="B72" t="str">
            <v>S-2025-12-96</v>
          </cell>
          <cell r="C72" t="str">
            <v>BDB-000218</v>
          </cell>
          <cell r="D72" t="str">
            <v>PVN-004204</v>
          </cell>
          <cell r="E72" t="str">
            <v>OrthoLite Ultra-Nike SEEDPEARL/12-0703TPX Flat Sheet 0.085D 5-10 Asker C 1.1M 2M 2mm</v>
          </cell>
          <cell r="F72">
            <v>1</v>
          </cell>
        </row>
        <row r="73">
          <cell r="B73" t="str">
            <v>S-2025-12-97</v>
          </cell>
          <cell r="C73" t="str">
            <v>BDB-000152</v>
          </cell>
          <cell r="D73" t="str">
            <v>PVN-002832</v>
          </cell>
          <cell r="E73" t="str">
            <v>OrthoLite Regular-Hybrid-Nike SEEDPEARL/12-0703TPX Hybrid 0.11D 25+/-4 Asker C 1.1M 1.7M 2mm</v>
          </cell>
          <cell r="F73">
            <v>1</v>
          </cell>
        </row>
        <row r="74">
          <cell r="B74" t="str">
            <v>F-2025-10-120-1</v>
          </cell>
          <cell r="C74" t="str">
            <v>BDB-000107</v>
          </cell>
          <cell r="D74" t="str">
            <v>PVN-003482</v>
          </cell>
          <cell r="E74" t="str">
            <v>OrthoLite Eco LT-Hybrid SEEDPEARL/12-0703TPX Hybrid 0.11D 25+/-4 Asker C 1.1M 1.47M 4mm</v>
          </cell>
          <cell r="F74">
            <v>15</v>
          </cell>
        </row>
        <row r="75">
          <cell r="B75" t="str">
            <v>F-2025-11-331-2</v>
          </cell>
          <cell r="C75" t="str">
            <v>BDB-000113</v>
          </cell>
          <cell r="D75" t="str">
            <v>PVN-003414</v>
          </cell>
          <cell r="E75" t="str">
            <v>OrthoLite Regular-Hybrid SEEDPEARL/12-0703TPX Hybrid Flat Sheet 0.11D 25+/-4 Asker C 1.1M 2M 12mm</v>
          </cell>
          <cell r="F75">
            <v>174</v>
          </cell>
        </row>
        <row r="76">
          <cell r="B76" t="str">
            <v>F-2025-11-342</v>
          </cell>
          <cell r="C76" t="str">
            <v>BDB-000113</v>
          </cell>
          <cell r="D76" t="str">
            <v>PVN-002465</v>
          </cell>
          <cell r="E76" t="str">
            <v>OrthoLite Regular-Hybrid SEEDPEARL/12-0703TPX Hybrid Flat Sheet 0.11D 25+/-4 Asker C 1.1M 2M 5mm</v>
          </cell>
          <cell r="F76">
            <v>108</v>
          </cell>
        </row>
        <row r="77">
          <cell r="B77" t="str">
            <v>F-2025-12-191</v>
          </cell>
          <cell r="C77" t="str">
            <v>BDB-000123</v>
          </cell>
          <cell r="D77" t="str">
            <v>PVN-003298</v>
          </cell>
          <cell r="E77" t="str">
            <v>OrthoLite Ultra-Hybrid SEEDPEARL/12-0703TPX Hybrid 0.085D 25+/-4 Asker C 1.1M 2M 4mm</v>
          </cell>
          <cell r="F77">
            <v>136</v>
          </cell>
        </row>
        <row r="78">
          <cell r="B78" t="str">
            <v>F-2025-12-232</v>
          </cell>
          <cell r="C78" t="str">
            <v>BDB-000113</v>
          </cell>
          <cell r="D78" t="str">
            <v>PVN-002501</v>
          </cell>
          <cell r="E78" t="str">
            <v>OrthoLite Regular-Hybrid SEEDPEARL/12-0703TPX Hybrid Flat Sheet 0.11D 25+/-4 Asker C 1.1M 2M 2mm (OIN_RM)</v>
          </cell>
          <cell r="F78">
            <v>1</v>
          </cell>
        </row>
        <row r="79">
          <cell r="B79" t="str">
            <v>F-2025-12-275</v>
          </cell>
          <cell r="C79" t="str">
            <v>BDB-000319</v>
          </cell>
          <cell r="D79" t="str">
            <v>PVN-004081</v>
          </cell>
          <cell r="E79" t="str">
            <v>OrthoLite X-40-Hybrid-Nike SEEDPEARL/12-0703TPX Hybrid Flat Sheet 0.16D 25+/-4 Asker C 1.1M 2M 6mm</v>
          </cell>
          <cell r="F79">
            <v>3</v>
          </cell>
        </row>
        <row r="80">
          <cell r="B80" t="str">
            <v>F-2025-12-277</v>
          </cell>
          <cell r="C80" t="str">
            <v>BDB-000113</v>
          </cell>
          <cell r="D80" t="str">
            <v>PVN-002501</v>
          </cell>
          <cell r="E80" t="str">
            <v>OrthoLite Regular-Hybrid SEEDPEARL/12-0703TPX Hybrid Flat Sheet 0.11D 25+/-4 Asker C 1.1M 2M 2mm</v>
          </cell>
          <cell r="F80">
            <v>2</v>
          </cell>
        </row>
        <row r="81">
          <cell r="B81" t="str">
            <v>F-2025-12-305</v>
          </cell>
          <cell r="C81" t="str">
            <v>BDB-000123</v>
          </cell>
          <cell r="D81" t="str">
            <v>PVN-003298</v>
          </cell>
          <cell r="E81" t="str">
            <v>OrthoLite Ultra-Hybrid SEEDPEARL/12-0703TPX Hybrid 0.085D 25+/-4 Asker C 1.1M 2M 4mm</v>
          </cell>
          <cell r="F81">
            <v>89</v>
          </cell>
        </row>
        <row r="82">
          <cell r="B82" t="str">
            <v>F-2025-12-337</v>
          </cell>
          <cell r="C82" t="str">
            <v>BDB-000123</v>
          </cell>
          <cell r="D82" t="str">
            <v>PVN-003299</v>
          </cell>
          <cell r="E82" t="str">
            <v>OrthoLite Ultra-Hybrid SEEDPEARL/12-0703TPX Hybrid Flat Sheet 0.085D 25+/-4 Asker C 1.1M 2M 3mm</v>
          </cell>
          <cell r="F82">
            <v>27</v>
          </cell>
        </row>
        <row r="83">
          <cell r="B83" t="str">
            <v>F-2025-12-351</v>
          </cell>
          <cell r="C83" t="str">
            <v>BDB-000076</v>
          </cell>
          <cell r="D83" t="str">
            <v>PVN-003745</v>
          </cell>
          <cell r="E83" t="str">
            <v>OrthoLite X-25 BILLIARD/16-5427TPX Flat Sheet 0.12D 20+/-4 Asker C 1.1M 2M 16mm</v>
          </cell>
          <cell r="F83">
            <v>3</v>
          </cell>
        </row>
        <row r="84">
          <cell r="B84" t="str">
            <v>F-2025-12-360</v>
          </cell>
          <cell r="C84" t="str">
            <v>BDB-000056</v>
          </cell>
          <cell r="D84" t="str">
            <v>PVN-001983</v>
          </cell>
          <cell r="E84" t="str">
            <v>OrthoLite X-40 SEEDPEARL/12-0703TPX Flat Sheet 0.16D 25+/-4 Asker C 1.1M 1.7M 5mm</v>
          </cell>
          <cell r="F84">
            <v>1</v>
          </cell>
        </row>
        <row r="85">
          <cell r="B85" t="str">
            <v>F-2025-12-375</v>
          </cell>
          <cell r="C85" t="str">
            <v>BDB-000040</v>
          </cell>
          <cell r="D85" t="str">
            <v>PVN-000761</v>
          </cell>
          <cell r="E85" t="str">
            <v>OrthoLite Regular AIR BLUE/16-4134TPX Flat Sheet 0.13D 35+/-4 Asker C 1.1M 1.7M 2mm</v>
          </cell>
          <cell r="F85">
            <v>2</v>
          </cell>
        </row>
        <row r="86">
          <cell r="B86" t="str">
            <v>F-2025-12-61-1</v>
          </cell>
          <cell r="C86" t="str">
            <v>BDB-000113</v>
          </cell>
          <cell r="D86" t="str">
            <v>PVN-002501</v>
          </cell>
          <cell r="E86" t="str">
            <v>OrthoLite Regular-Hybrid SEEDPEARL/12-0703TPX Hybrid Flat Sheet 0.11D 25+/-4 Asker C 1.1M 2M 2mm</v>
          </cell>
          <cell r="F86">
            <v>15</v>
          </cell>
        </row>
        <row r="87">
          <cell r="B87" t="str">
            <v>OIN-2025.12.20-01</v>
          </cell>
          <cell r="C87" t="str">
            <v>BDB-000123</v>
          </cell>
          <cell r="D87" t="str">
            <v>PVN-003784</v>
          </cell>
          <cell r="E87" t="str">
            <v xml:space="preserve">[116-311] Ultra Hybrid 25+/-4 Asker C 0.085D Seedpearl 12-0703 Tpx 1.10M X 2.00M 47mm </v>
          </cell>
          <cell r="F87">
            <v>167</v>
          </cell>
        </row>
        <row r="88">
          <cell r="B88" t="str">
            <v>S-2025-12-108</v>
          </cell>
          <cell r="C88" t="str">
            <v>BDB-000358</v>
          </cell>
          <cell r="D88" t="str">
            <v>PVN-004243</v>
          </cell>
          <cell r="E88" t="str">
            <v>OrthoLite X-25 FOSSIL/17-0909TPX Flat Sheet 0.12D 20+/-4 Asker C 1.1M 2M 7.5mm</v>
          </cell>
          <cell r="F88">
            <v>2</v>
          </cell>
        </row>
        <row r="89">
          <cell r="B89" t="str">
            <v>S-2025-12-112</v>
          </cell>
          <cell r="C89" t="str">
            <v>BDB-000066</v>
          </cell>
          <cell r="D89" t="str">
            <v>PVN-004010</v>
          </cell>
          <cell r="E89" t="str">
            <v>OrthoLite Ultra GREY/17-1501TPX Flat Sheet 0.085D 25+/-4 Asker C 1.1M 2M 2mm</v>
          </cell>
          <cell r="F89">
            <v>1</v>
          </cell>
        </row>
        <row r="90">
          <cell r="B90" t="str">
            <v>S-2025-12-113</v>
          </cell>
          <cell r="C90" t="str">
            <v>BDB-000123</v>
          </cell>
          <cell r="D90" t="str">
            <v>PVN-003298</v>
          </cell>
          <cell r="E90" t="str">
            <v>OrthoLite Ultra-Hybrid SEEDPEARL/12-0703TPX Hybrid 0.085D 25+/-4 Asker C 1.1M 2M 4mm</v>
          </cell>
          <cell r="F90">
            <v>8</v>
          </cell>
        </row>
        <row r="91">
          <cell r="B91" t="str">
            <v>S-2025-12-116</v>
          </cell>
          <cell r="C91" t="str">
            <v>BDB-000113</v>
          </cell>
          <cell r="D91" t="str">
            <v>PVN-002465</v>
          </cell>
          <cell r="E91" t="str">
            <v>OrthoLite Regular-Hybrid SEEDPEARL/12-0703TPX Hybrid Flat Sheet 0.11D 25+/-4 Asker C 1.1M 2M 5mm</v>
          </cell>
          <cell r="F91">
            <v>2</v>
          </cell>
        </row>
        <row r="92">
          <cell r="B92" t="str">
            <v>S-2025-12-118</v>
          </cell>
          <cell r="C92" t="str">
            <v>BDB-000097</v>
          </cell>
          <cell r="D92" t="str">
            <v>PVN-002478</v>
          </cell>
          <cell r="E92" t="str">
            <v>OrthoLite Eco LT-Hybrid SEEDPEARL/12-0703TPX Hybrid 0.11D 25+/-4 Asker C 1.1M 2M 4mm</v>
          </cell>
          <cell r="F92">
            <v>3</v>
          </cell>
        </row>
        <row r="93">
          <cell r="B93" t="str">
            <v>S-2025-12-120</v>
          </cell>
          <cell r="C93" t="str">
            <v>BDB-000367</v>
          </cell>
          <cell r="D93" t="str">
            <v>PVN-004277</v>
          </cell>
          <cell r="E93" t="str">
            <v>OrthoLite Ultra LIME GREEN/14-0452TPX Flat Sheet 0.095D 33+/-4 Asker C 1.1M 2M 11mm</v>
          </cell>
          <cell r="F93">
            <v>1</v>
          </cell>
        </row>
        <row r="94">
          <cell r="B94" t="str">
            <v>S-2025-12-121</v>
          </cell>
          <cell r="C94" t="str">
            <v>BDB-000113</v>
          </cell>
          <cell r="D94" t="str">
            <v>PVN-002699</v>
          </cell>
          <cell r="E94" t="str">
            <v>OrthoLite Regular-Hybrid SEEDPEARL/12-0703TPX Hybrid 0.11D 25+/-4 Asker C 1.1M 2M 4.5mm</v>
          </cell>
          <cell r="F94">
            <v>1</v>
          </cell>
        </row>
        <row r="95">
          <cell r="B95" t="str">
            <v>S-2025-12-125</v>
          </cell>
          <cell r="C95" t="str">
            <v>BDB-000113</v>
          </cell>
          <cell r="D95" t="str">
            <v>PVN-002465</v>
          </cell>
          <cell r="E95" t="str">
            <v>OrthoLite Regular-Hybrid SEEDPEARL/12-0703TPX Hybrid Flat Sheet 0.11D 25+/-4 Asker C 1.1M 2M 5mm</v>
          </cell>
          <cell r="F95">
            <v>2</v>
          </cell>
        </row>
        <row r="96">
          <cell r="B96" t="str">
            <v>S-2025-12-94</v>
          </cell>
          <cell r="C96" t="str">
            <v>BDB-000329</v>
          </cell>
          <cell r="D96" t="str">
            <v>PVN-004140</v>
          </cell>
          <cell r="E96" t="str">
            <v>OrthoLite Ultra YELLOW/13-0858TPX 0.095D 33+/-4 Asker C 1.1M 2M 4.5mm</v>
          </cell>
          <cell r="F96">
            <v>1</v>
          </cell>
        </row>
        <row r="97">
          <cell r="B97" t="str">
            <v>F-2025-09-354</v>
          </cell>
          <cell r="C97" t="str">
            <v>BDB-000175</v>
          </cell>
          <cell r="D97" t="str">
            <v>PVN-002966</v>
          </cell>
          <cell r="E97" t="str">
            <v>OrthoLite Ultra-Hybrid-Nike SEEDPEARL/12-0703TPX Hybrid 0.085D 25+/-4 Asker C 1.1M 2M 4mm</v>
          </cell>
          <cell r="F97">
            <v>100</v>
          </cell>
        </row>
        <row r="98">
          <cell r="B98" t="str">
            <v>F-2025-10-222</v>
          </cell>
          <cell r="C98" t="str">
            <v>BDB-000162</v>
          </cell>
          <cell r="D98" t="str">
            <v>PVN-001566</v>
          </cell>
          <cell r="E98" t="str">
            <v>OrthoLite Ultra-Nike SEEDPEARL/12-0703TPX 0.085D 25+/-4 Asker C 1.1M 2M 4mm</v>
          </cell>
          <cell r="F98">
            <v>4</v>
          </cell>
        </row>
        <row r="99">
          <cell r="B99" t="str">
            <v>F-2025-10-242</v>
          </cell>
          <cell r="C99" t="str">
            <v>BDB-000125</v>
          </cell>
          <cell r="D99" t="str">
            <v>PVN-002413</v>
          </cell>
          <cell r="E99" t="str">
            <v>OrthoLite Regular-Nike AIR BLUE/16-4134TPX 0.11D 25+/-4 Asker C 1.1M 2M 4.2mm</v>
          </cell>
          <cell r="F99">
            <v>76</v>
          </cell>
        </row>
        <row r="100">
          <cell r="B100" t="str">
            <v>F-2025-12-191</v>
          </cell>
          <cell r="C100" t="str">
            <v>BDB-000123</v>
          </cell>
          <cell r="D100" t="str">
            <v>PVN-003298</v>
          </cell>
          <cell r="E100" t="str">
            <v>OrthoLite Ultra-Hybrid SEEDPEARL/12-0703TPX Hybrid 0.085D 25+/-4 Asker C 1.1M 2M 4mm</v>
          </cell>
          <cell r="F100">
            <v>64</v>
          </cell>
        </row>
        <row r="101">
          <cell r="B101" t="str">
            <v>F-2025-12-228</v>
          </cell>
          <cell r="C101" t="str">
            <v>BDB-000113</v>
          </cell>
          <cell r="D101" t="str">
            <v>PVN-002465</v>
          </cell>
          <cell r="E101" t="str">
            <v>OrthoLite Regular-Hybrid SEEDPEARL/12-0703TPX Hybrid Flat Sheet 0.11D 25+/-4 Asker C 1.1M 2M 5mm (OIN_RM)</v>
          </cell>
          <cell r="F101">
            <v>15</v>
          </cell>
        </row>
        <row r="102">
          <cell r="B102" t="str">
            <v>F-2025-12-305</v>
          </cell>
          <cell r="C102" t="str">
            <v>BDB-000123</v>
          </cell>
          <cell r="D102" t="str">
            <v>PVN-003298</v>
          </cell>
          <cell r="E102" t="str">
            <v>OrthoLite Ultra-Hybrid SEEDPEARL/12-0703TPX Hybrid 0.085D 25+/-4 Asker C 1.1M 2M 4mm</v>
          </cell>
          <cell r="F102">
            <v>22</v>
          </cell>
        </row>
        <row r="103">
          <cell r="B103" t="str">
            <v>F-2025-12-307</v>
          </cell>
          <cell r="C103" t="str">
            <v>BDB-000123</v>
          </cell>
          <cell r="D103" t="str">
            <v>PVN-003298</v>
          </cell>
          <cell r="E103" t="str">
            <v>OrthoLite Ultra-Hybrid SEEDPEARL/12-0703TPX Hybrid 0.085D 25+/-4 Asker C 1.1M 2M 4mm</v>
          </cell>
          <cell r="F103">
            <v>67</v>
          </cell>
        </row>
        <row r="104">
          <cell r="B104" t="str">
            <v>F-2025-12-341</v>
          </cell>
          <cell r="C104" t="str">
            <v>BDB-000339</v>
          </cell>
          <cell r="D104" t="str">
            <v>PVN-004178</v>
          </cell>
          <cell r="E104" t="str">
            <v>OrthoLite Float NEUTRAL GRAY/17-4402TPX Flat Sheet 0.12D 21+/-4 Asker C 1.1M 2M 5.5mm</v>
          </cell>
          <cell r="F104">
            <v>40</v>
          </cell>
        </row>
        <row r="105">
          <cell r="B105" t="str">
            <v>F-2025-12-348</v>
          </cell>
          <cell r="C105" t="str">
            <v>BDB-000200</v>
          </cell>
          <cell r="D105" t="str">
            <v>PVN-003425</v>
          </cell>
          <cell r="E105" t="str">
            <v>OrthoLite Ultra SEEDPEARL/12-0703TPX Flat Sheet 0.085D 78-90 Asker F 1.1M 2M 4mm</v>
          </cell>
          <cell r="F105">
            <v>2</v>
          </cell>
        </row>
        <row r="106">
          <cell r="B106" t="str">
            <v>F-2025-12-35</v>
          </cell>
          <cell r="C106" t="str">
            <v>BDB-000156</v>
          </cell>
          <cell r="D106" t="str">
            <v>PVN-003243</v>
          </cell>
          <cell r="E106" t="str">
            <v>OrthoLite X-35-Hybrid-Nike AMAZON/18-6024TPX Hybrid 0.145D 25+/-4 Asker C 1.1M 2M 5.2mm</v>
          </cell>
          <cell r="F106">
            <v>39</v>
          </cell>
        </row>
        <row r="107">
          <cell r="B107" t="str">
            <v>F-2025-12-350</v>
          </cell>
          <cell r="C107" t="str">
            <v>BDB-000314</v>
          </cell>
          <cell r="D107" t="str">
            <v>PVN-004066</v>
          </cell>
          <cell r="E107" t="str">
            <v>OrthoLite Regular NEUTRAL GRAY/17-4402TPX Flat Sheet 0.16D 51+/-4 Asker C 1.1M 1.7M 9.5mm</v>
          </cell>
          <cell r="F107">
            <v>6</v>
          </cell>
        </row>
        <row r="108">
          <cell r="B108" t="str">
            <v>F-2025-12-373</v>
          </cell>
          <cell r="C108" t="str">
            <v>BDB-000346</v>
          </cell>
          <cell r="D108" t="str">
            <v>PVN-004188</v>
          </cell>
          <cell r="E108" t="str">
            <v>OrthoLite Float NEUTRAL GRAY/17-4402TPX Flat Sheet 0.12D 21+/-4 Asker C 1.1M 1.47M 5.5mm</v>
          </cell>
          <cell r="F108">
            <v>76</v>
          </cell>
        </row>
        <row r="109">
          <cell r="B109" t="str">
            <v>F-2025-12-383</v>
          </cell>
          <cell r="C109" t="str">
            <v>BDB-000083</v>
          </cell>
          <cell r="D109" t="str">
            <v>PVN-000930</v>
          </cell>
          <cell r="E109" t="str">
            <v>OrthoLite Eco LT 300C(ADIDAS BLUEBIRD) Flat Sheet 0.11D 25+/-4 Asker C 1.1M 2M 3mm</v>
          </cell>
          <cell r="F109">
            <v>5</v>
          </cell>
        </row>
        <row r="110">
          <cell r="B110" t="str">
            <v>F-2025-12-387</v>
          </cell>
          <cell r="C110" t="str">
            <v>BDB-000123</v>
          </cell>
          <cell r="D110" t="str">
            <v>PVN-003299</v>
          </cell>
          <cell r="E110" t="str">
            <v>OrthoLite Ultra-Hybrid SEEDPEARL/12-0703TPX Hybrid 0.085D 25+/-4 Asker C 1.1M 2M 3mm</v>
          </cell>
          <cell r="F110">
            <v>66</v>
          </cell>
        </row>
        <row r="111">
          <cell r="B111" t="str">
            <v>F-2025-12-388</v>
          </cell>
          <cell r="C111" t="str">
            <v>BDB-000123</v>
          </cell>
          <cell r="D111" t="str">
            <v>PVN-003300</v>
          </cell>
          <cell r="E111" t="str">
            <v>OrthoLite Ultra-Hybrid SEEDPEARL/12-0703TPX Hybrid Flat Sheet 0.085D 25+/-4 Asker C 1.1M 2M 2mm</v>
          </cell>
          <cell r="F111">
            <v>3</v>
          </cell>
        </row>
        <row r="112">
          <cell r="B112" t="str">
            <v>F-2025-12-394</v>
          </cell>
          <cell r="C112" t="str">
            <v>BDB-000077</v>
          </cell>
          <cell r="D112" t="str">
            <v>PVN-004147</v>
          </cell>
          <cell r="E112" t="str">
            <v>OrthoLite X-25 SEEDPEARL/12-0703TPX Flat Sheet 0.12D 20+/-4 Asker C 1.1M 2M 5.5mm</v>
          </cell>
          <cell r="F112">
            <v>1</v>
          </cell>
        </row>
        <row r="113">
          <cell r="B113" t="str">
            <v>F-2025-12-397</v>
          </cell>
          <cell r="C113" t="str">
            <v>BDB-000339</v>
          </cell>
          <cell r="D113" t="str">
            <v>PVN-004178</v>
          </cell>
          <cell r="E113" t="str">
            <v>OrthoLite Float NEUTRAL GRAY/17-4402TPX Flat Sheet 0.12D 21+/-4 Asker C 1.1M 2M 5.5mm</v>
          </cell>
          <cell r="F113">
            <v>3</v>
          </cell>
        </row>
        <row r="114">
          <cell r="B114" t="str">
            <v>F-2025-12-424</v>
          </cell>
          <cell r="C114" t="str">
            <v>BDB-000180</v>
          </cell>
          <cell r="D114" t="str">
            <v>PVN-003236</v>
          </cell>
          <cell r="E114" t="str">
            <v>OrthoLite Eco LT-Hybrid-Converse SEEDPEARL/12-0703TPX Hybrid 0.13D 25+/-4 Asker C 1.1M 2M 5mm</v>
          </cell>
          <cell r="F114">
            <v>15</v>
          </cell>
        </row>
        <row r="115">
          <cell r="B115" t="str">
            <v>F-2025-12-44</v>
          </cell>
          <cell r="C115" t="str">
            <v>BDB-000175</v>
          </cell>
          <cell r="D115" t="str">
            <v>PVN-002875</v>
          </cell>
          <cell r="E115" t="str">
            <v>OrthoLite Ultra-Hybrid-Nike SEEDPEARL/12-0703TPX Hybrid 0.085D 25+/-4 Asker C 1.1M 2M 3mm</v>
          </cell>
          <cell r="F115">
            <v>9</v>
          </cell>
        </row>
        <row r="116">
          <cell r="B116" t="str">
            <v>F-2025-12-442</v>
          </cell>
          <cell r="C116" t="str">
            <v>BDB-000340</v>
          </cell>
          <cell r="D116" t="str">
            <v>PVN-004177</v>
          </cell>
          <cell r="E116" t="str">
            <v>OrthoLite Float SEEDPEARL/12-0703TPX Flat Sheet 0.12D 21+/-4 Asker C 1.1M 2M 5.5mm</v>
          </cell>
          <cell r="F116">
            <v>1</v>
          </cell>
        </row>
        <row r="117">
          <cell r="B117" t="str">
            <v>F-2025-12-451</v>
          </cell>
          <cell r="C117" t="str">
            <v>BDB-000083</v>
          </cell>
          <cell r="D117" t="str">
            <v>PVN-000930</v>
          </cell>
          <cell r="E117" t="str">
            <v>OrthoLite Eco LT 300C(ADIDAS BLUEBIRD) Flat Sheet 0.11D 25+/-4 Asker C 1.1M 2M 3mm</v>
          </cell>
          <cell r="F117">
            <v>24</v>
          </cell>
        </row>
        <row r="118">
          <cell r="B118" t="str">
            <v>F-2025-12-452</v>
          </cell>
          <cell r="C118" t="str">
            <v>BDB-000083</v>
          </cell>
          <cell r="D118" t="str">
            <v>PVN-000935</v>
          </cell>
          <cell r="E118" t="str">
            <v>OrthoLite Eco LT 300C(ADIDAS BLUEBIRD) Flat Sheet 0.11D 25+/-4 Asker C 1.1M 2M 4mm</v>
          </cell>
          <cell r="F118">
            <v>3</v>
          </cell>
        </row>
        <row r="119">
          <cell r="B119" t="str">
            <v>F-2025-12-455</v>
          </cell>
          <cell r="C119" t="str">
            <v>BDB-000056</v>
          </cell>
          <cell r="D119" t="str">
            <v>PVN-001983</v>
          </cell>
          <cell r="E119" t="str">
            <v>OrthoLite X-40 SEEDPEARL/12-0703TPX Flat Sheet 0.16D 25+/-4 Asker C 1.1M 1.7M 5mm</v>
          </cell>
          <cell r="F119">
            <v>1</v>
          </cell>
        </row>
        <row r="120">
          <cell r="B120" t="str">
            <v>F-2025-12-46</v>
          </cell>
          <cell r="C120" t="str">
            <v>BDB-000125</v>
          </cell>
          <cell r="D120" t="str">
            <v>PVN-001579</v>
          </cell>
          <cell r="E120" t="str">
            <v>OrthoLite Regular-Nike AIR BLUE/16-4134TPX Flat Sheet 0.11D 25+/-4 Asker C 1.1M 2M 4mm</v>
          </cell>
          <cell r="F120">
            <v>15</v>
          </cell>
        </row>
        <row r="121">
          <cell r="B121" t="str">
            <v>F-2025-12-460</v>
          </cell>
          <cell r="C121" t="str">
            <v>BDB-000200</v>
          </cell>
          <cell r="D121" t="str">
            <v>PVN-003425</v>
          </cell>
          <cell r="E121" t="str">
            <v>OrthoLite Ultra SEEDPEARL/12-0703TPX Flat Sheet 0.085D 78-90 Asker F 1.1M 2M 4mm</v>
          </cell>
          <cell r="F121">
            <v>40</v>
          </cell>
        </row>
        <row r="122">
          <cell r="B122" t="str">
            <v>F-2025-12-461</v>
          </cell>
          <cell r="C122" t="str">
            <v>BDB-000077</v>
          </cell>
          <cell r="D122" t="str">
            <v>PVN-003478</v>
          </cell>
          <cell r="E122" t="str">
            <v>Ortholite X-25 SEEDPEARL/12-0703TPX Flat Sheet 0.12D 20+/-4 Asker C 1.1M 2M 4mm</v>
          </cell>
          <cell r="F122">
            <v>3</v>
          </cell>
        </row>
        <row r="123">
          <cell r="B123" t="str">
            <v>F-2025-12-484</v>
          </cell>
          <cell r="C123" t="str">
            <v>BDB-000010</v>
          </cell>
          <cell r="D123" t="str">
            <v>PVN-000101</v>
          </cell>
          <cell r="E123" t="str">
            <v>OrthoLite Regular AIR BLUE/16-4134TPX Flat Sheet 0.11D 25+/-4 Asker C 1.1M 2M 3mm</v>
          </cell>
          <cell r="F123">
            <v>4</v>
          </cell>
        </row>
        <row r="124">
          <cell r="B124" t="str">
            <v>F-2025-12-498</v>
          </cell>
          <cell r="C124" t="str">
            <v>BDB-000180</v>
          </cell>
          <cell r="D124" t="str">
            <v>PVN-003236</v>
          </cell>
          <cell r="E124" t="str">
            <v>OrthoLite Eco LT-Hybrid-Converse SEEDPEARL/12-0703TPX Hybrid Flat Sheet 0.13D 25+/-4 Asker C 1.1M 2M 5mm</v>
          </cell>
          <cell r="F124">
            <v>6</v>
          </cell>
        </row>
        <row r="125">
          <cell r="B125" t="str">
            <v>F-2025-12-552</v>
          </cell>
          <cell r="C125" t="str">
            <v>BDB-000319</v>
          </cell>
          <cell r="D125" t="str">
            <v>PVN-004081</v>
          </cell>
          <cell r="E125" t="str">
            <v>OrthoLite X-40-Hybrid-Nike SEEDPEARL/12-0703TPX Hybrid Flat Sheet 0.16D 25+/-4 Asker C 1.1M 2M 6mm</v>
          </cell>
          <cell r="F125">
            <v>4</v>
          </cell>
        </row>
        <row r="126">
          <cell r="B126" t="str">
            <v>F-2025-12-553</v>
          </cell>
          <cell r="C126" t="str">
            <v>BDB-000010</v>
          </cell>
          <cell r="D126" t="str">
            <v>PVN-003437</v>
          </cell>
          <cell r="E126" t="str">
            <v>OrthoLite Regular AIR BLUE/16-4134TPX Flat Sheet 0.11D 25+/-4 Asker C 1.1M 2M 10.5mm</v>
          </cell>
          <cell r="F126">
            <v>4</v>
          </cell>
        </row>
        <row r="127">
          <cell r="B127" t="str">
            <v>F-2025-12-560</v>
          </cell>
          <cell r="C127" t="str">
            <v>BDB-000113</v>
          </cell>
          <cell r="D127" t="str">
            <v>PVN-002699</v>
          </cell>
          <cell r="E127" t="str">
            <v>OrthoLite Regular-Hybrid SEEDPEARL/12-0703TPX Hybrid Flat Sheet 0.11D 25+/-4 Asker C 1.1M 2M 4.5mm</v>
          </cell>
          <cell r="F127">
            <v>19</v>
          </cell>
        </row>
        <row r="128">
          <cell r="B128" t="str">
            <v>F-2025-12-567</v>
          </cell>
          <cell r="C128" t="str">
            <v>BDB-000200</v>
          </cell>
          <cell r="D128" t="str">
            <v>PVN-003425</v>
          </cell>
          <cell r="E128" t="str">
            <v>OrthoLite Ultra SEEDPEARL/12-0703TPX Flat Sheet 0.085D 78-90 Asker F 1.1M 2M 4mm</v>
          </cell>
          <cell r="F128">
            <v>3</v>
          </cell>
        </row>
        <row r="129">
          <cell r="B129" t="str">
            <v>F-2025-12-580</v>
          </cell>
          <cell r="C129" t="str">
            <v>BDB-000010</v>
          </cell>
          <cell r="D129" t="str">
            <v>PVN-003437</v>
          </cell>
          <cell r="E129" t="str">
            <v>OrthoLite Regular AIR BLUE/16-4134TPX Flat Sheet 0.11D 25+/-4 Asker C 1.1M 2M 10.5mm</v>
          </cell>
          <cell r="F129">
            <v>3</v>
          </cell>
        </row>
        <row r="130">
          <cell r="B130" t="str">
            <v>F-2025-12-594</v>
          </cell>
          <cell r="C130" t="str">
            <v>BDB-000113</v>
          </cell>
          <cell r="D130" t="str">
            <v>PVN-003796</v>
          </cell>
          <cell r="E130" t="str">
            <v>OrthoLite Regular-Hybrid SEEDPEARL/12-0703TPX Hybrid Flat Sheet 0.11D 25+/-4 Asker C 1.1M 2M 3.5mm</v>
          </cell>
          <cell r="F130">
            <v>2</v>
          </cell>
        </row>
        <row r="131">
          <cell r="B131" t="str">
            <v>F-2025-12-605</v>
          </cell>
          <cell r="C131" t="str">
            <v>BDB-000200</v>
          </cell>
          <cell r="D131" t="str">
            <v>PVN-003425</v>
          </cell>
          <cell r="E131" t="str">
            <v>OrthoLite Ultra SEEDPEARL/12-0703TPX Flat Sheet 0.085D 78-90 Asker F 1.1M 2M 4mm</v>
          </cell>
          <cell r="F131">
            <v>15</v>
          </cell>
        </row>
        <row r="132">
          <cell r="B132" t="str">
            <v>F-2025-12-68</v>
          </cell>
          <cell r="C132" t="str">
            <v>BDB-000008</v>
          </cell>
          <cell r="D132" t="str">
            <v>PVN-000505</v>
          </cell>
          <cell r="E132" t="str">
            <v>OrthoLite Regular LIME GREEN/14-0452TPX Flat Sheet 0.11D 25+/-4 Asker C 1.1M 2M 12mm</v>
          </cell>
          <cell r="F132">
            <v>32</v>
          </cell>
        </row>
        <row r="133">
          <cell r="B133" t="str">
            <v>L-2026-01-15</v>
          </cell>
          <cell r="C133" t="str">
            <v>BDB-000154</v>
          </cell>
          <cell r="D133" t="str">
            <v>PVN-003386</v>
          </cell>
          <cell r="E133" t="str">
            <v>OrthoLite X-40-Nike TRUE BLUE/19-4057TPX 0.16D 35+/-4 Asker C 1.1M 1.7M 10mm</v>
          </cell>
          <cell r="F133">
            <v>1</v>
          </cell>
        </row>
        <row r="134">
          <cell r="B134" t="str">
            <v>L-2026-01-16</v>
          </cell>
          <cell r="C134" t="str">
            <v>BDB-000154</v>
          </cell>
          <cell r="D134" t="str">
            <v>PVN-003385</v>
          </cell>
          <cell r="E134" t="str">
            <v>OrthoLite X-40-Nike TRUE BLUE/19-4057TPX 0.16D 35+/-4 Asker C 1.1M 1.7M 3.5mm</v>
          </cell>
          <cell r="F134">
            <v>1</v>
          </cell>
        </row>
        <row r="135">
          <cell r="B135" t="str">
            <v>S-2026-01-02</v>
          </cell>
          <cell r="C135" t="str">
            <v>BDB-000051</v>
          </cell>
          <cell r="D135" t="str">
            <v>PVN-004057</v>
          </cell>
          <cell r="E135" t="str">
            <v>OrthoLite X-40 TRUE BLUE/19-4057TPX Flat Sheet 0.16D 25+/-4 Asker C 1.1M 1.7M 14.5mm</v>
          </cell>
          <cell r="F135">
            <v>4</v>
          </cell>
        </row>
        <row r="136">
          <cell r="B136" t="str">
            <v>S-2026-01-04</v>
          </cell>
          <cell r="C136" t="str">
            <v>BDB-000113</v>
          </cell>
          <cell r="D136" t="str">
            <v>PVN-002465</v>
          </cell>
          <cell r="E136" t="str">
            <v>OrthoLite Regular-Hybrid SEEDPEARL/12-0703TPX Hybrid Flat Sheet 0.11D 25+/-4 Asker C 1.1M 2M 5mm</v>
          </cell>
          <cell r="F136">
            <v>4</v>
          </cell>
        </row>
        <row r="137">
          <cell r="B137" t="str">
            <v>S-2026-01-21</v>
          </cell>
          <cell r="C137" t="str">
            <v>BDB-000200</v>
          </cell>
          <cell r="D137" t="str">
            <v>PVN-003425</v>
          </cell>
          <cell r="E137" t="str">
            <v>OrthoLite Ultra SEEDPEARL/12-0703TPX Flat Sheet 0.085D 78-90 Asker F 1.1M 2M 4mm</v>
          </cell>
          <cell r="F137">
            <v>3</v>
          </cell>
        </row>
        <row r="138">
          <cell r="B138" t="str">
            <v>F-2025-10-253</v>
          </cell>
          <cell r="C138" t="str">
            <v>BDB-000161</v>
          </cell>
          <cell r="D138" t="str">
            <v>PVN-001560</v>
          </cell>
          <cell r="E138" t="str">
            <v>OrthoLite Ultra-Nike FOSSIL/17-0909TPX 0.085D 25+/-4 Asker C 1.1M 2M 4mm</v>
          </cell>
          <cell r="F138">
            <v>29</v>
          </cell>
        </row>
        <row r="139">
          <cell r="B139" t="str">
            <v>F-2025-11-363-2</v>
          </cell>
          <cell r="C139" t="str">
            <v>BDB-000165</v>
          </cell>
          <cell r="D139" t="str">
            <v>PVN-002053</v>
          </cell>
          <cell r="E139" t="str">
            <v>OrthoLite Ultra-Nike LIME GREEN/14-0452TPX Flat Sheet 0.085D 15+/-4 Asker C 1.1M 2M 5mm</v>
          </cell>
          <cell r="F139">
            <v>1</v>
          </cell>
        </row>
        <row r="140">
          <cell r="B140" t="str">
            <v>F-2025-12-306</v>
          </cell>
          <cell r="C140" t="str">
            <v>BDB-000123</v>
          </cell>
          <cell r="D140" t="str">
            <v>PVN-003298</v>
          </cell>
          <cell r="E140" t="str">
            <v>OrthoLite Ultra-Hybrid SEEDPEARL/12-0703TPX Hybrid 0.085D 25+/-4 Asker C 1.1M 2M 4mm</v>
          </cell>
          <cell r="F140">
            <v>200</v>
          </cell>
        </row>
        <row r="141">
          <cell r="B141" t="str">
            <v>F-2025-12-307</v>
          </cell>
          <cell r="C141" t="str">
            <v>BDB-000123</v>
          </cell>
          <cell r="D141" t="str">
            <v>PVN-003298</v>
          </cell>
          <cell r="E141" t="str">
            <v>OrthoLite Ultra-Hybrid SEEDPEARL/12-0703TPX Hybrid 0.085D 25+/-4 Asker C 1.1M 2M 4mm</v>
          </cell>
          <cell r="F141">
            <v>133</v>
          </cell>
        </row>
        <row r="142">
          <cell r="B142" t="str">
            <v>F-2025-12-313</v>
          </cell>
          <cell r="C142" t="str">
            <v>BDB-000347</v>
          </cell>
          <cell r="D142" t="str">
            <v>PVN-004192</v>
          </cell>
          <cell r="E142" t="str">
            <v>OrthoLite X-55-Hybrid SEEDPEARL/12-0703TPX Hybrid 0.16D 25+/-4 Asker C 1.1M 2M 12mm</v>
          </cell>
          <cell r="F142">
            <v>137</v>
          </cell>
        </row>
        <row r="143">
          <cell r="B143" t="str">
            <v>F-2025-12-372</v>
          </cell>
          <cell r="C143" t="str">
            <v>BDB-000123</v>
          </cell>
          <cell r="D143" t="str">
            <v>PVN-003299</v>
          </cell>
          <cell r="E143" t="str">
            <v>OrthoLite Ultra-Hybrid SEEDPEARL/12-0703TPX Hybrid Flat Sheet 0.085D 25+/-4 Asker C 1.1M 2M 3mm</v>
          </cell>
          <cell r="F143">
            <v>13</v>
          </cell>
        </row>
        <row r="144">
          <cell r="B144" t="str">
            <v>F-2025-12-381</v>
          </cell>
          <cell r="C144" t="str">
            <v>BDB-000347</v>
          </cell>
          <cell r="D144" t="str">
            <v>PVN-004193</v>
          </cell>
          <cell r="E144" t="str">
            <v>OrthoLite X-55-Hybrid SEEDPEARL/12-0703TPX Hybrid Flat Sheet 0.16D 25+/-4 Asker C 1.1M 2M 11mm</v>
          </cell>
          <cell r="F144">
            <v>2</v>
          </cell>
        </row>
        <row r="145">
          <cell r="B145" t="str">
            <v>F-2025-12-390</v>
          </cell>
          <cell r="C145" t="str">
            <v>BDB-000209</v>
          </cell>
          <cell r="D145" t="str">
            <v>PVN-003462</v>
          </cell>
          <cell r="E145" t="str">
            <v>OrthoLite HybridPlus-Recycled MINT GREEN/11-4805TPX Hybrid Flat Sheet 0.12D 25+/-4 Asker C 1.1M 2M 12mm</v>
          </cell>
          <cell r="F145">
            <v>35</v>
          </cell>
        </row>
        <row r="146">
          <cell r="B146" t="str">
            <v>F-2025-12-398</v>
          </cell>
          <cell r="C146" t="str">
            <v>BDB-000229</v>
          </cell>
          <cell r="D146" t="str">
            <v>PVN-003878</v>
          </cell>
          <cell r="E146" t="str">
            <v>OrthoLite Ultra-Hybrid SEEDPEARL/12-0703TPX Hybrid Flat Sheet 0.095D 33+/-4 Asker C 1.1M 2M 4mm</v>
          </cell>
          <cell r="F146">
            <v>1</v>
          </cell>
        </row>
        <row r="147">
          <cell r="B147" t="str">
            <v>F-2025-12-399</v>
          </cell>
          <cell r="C147" t="str">
            <v>BDB-000363</v>
          </cell>
          <cell r="D147" t="str">
            <v>PVN-004260</v>
          </cell>
          <cell r="E147" t="str">
            <v>OrthoLite HybridPlus-Recycled MINT GREEN/11-4805TPX Hybrid Flat Sheet 0.12D 35+/-4 Asker C 1.1M 2M 5.5mm</v>
          </cell>
          <cell r="F147">
            <v>13</v>
          </cell>
        </row>
        <row r="148">
          <cell r="B148" t="str">
            <v>F-2025-12-407</v>
          </cell>
          <cell r="C148" t="str">
            <v>BDB-000163</v>
          </cell>
          <cell r="D148" t="str">
            <v>PVN-001556</v>
          </cell>
          <cell r="E148" t="str">
            <v>OrthoLite Ultra-Nike YELLOW/13-0858TPX 0.085D 25+/-4 Asker C 1.1M 2M 4mm</v>
          </cell>
          <cell r="F148">
            <v>43</v>
          </cell>
        </row>
        <row r="149">
          <cell r="B149" t="str">
            <v>F-2025-12-446</v>
          </cell>
          <cell r="C149" t="str">
            <v>BDB-000123</v>
          </cell>
          <cell r="D149" t="str">
            <v>PVN-003987</v>
          </cell>
          <cell r="E149" t="str">
            <v>OrthoLite Ultra-Hybrid SEEDPEARL/12-0703TPX Hybrid Flat Sheet 0.085D 25+/-4 Asker C 1.1M 2M 6.2mm</v>
          </cell>
          <cell r="F149">
            <v>2</v>
          </cell>
        </row>
        <row r="150">
          <cell r="B150" t="str">
            <v>F-2025-12-458</v>
          </cell>
          <cell r="C150" t="str">
            <v>BDB-000123</v>
          </cell>
          <cell r="D150" t="str">
            <v>PVN-003300</v>
          </cell>
          <cell r="E150" t="str">
            <v>OrthoLite Ultra-Hybrid SEEDPEARL/12-0703TPX Hybrid Flat Sheet 0.085D 25+/-4 Asker C 1.1M 2M 2mm</v>
          </cell>
          <cell r="F150">
            <v>16</v>
          </cell>
        </row>
        <row r="151">
          <cell r="B151" t="str">
            <v>F-2025-12-459</v>
          </cell>
          <cell r="C151" t="str">
            <v>BDB-000123</v>
          </cell>
          <cell r="D151" t="str">
            <v>PVN-003315</v>
          </cell>
          <cell r="E151" t="str">
            <v>OrthoLite Ultra-Hybrid SEEDPEARL/12-0703TPX Hybrid 0.085D 25+/-4 Asker C 1.1M 2M 3.5mm</v>
          </cell>
          <cell r="F151">
            <v>1</v>
          </cell>
        </row>
        <row r="152">
          <cell r="B152" t="str">
            <v>F-2025-12-466</v>
          </cell>
          <cell r="C152" t="str">
            <v>BDB-000209</v>
          </cell>
          <cell r="D152" t="str">
            <v>PVN-003537</v>
          </cell>
          <cell r="E152" t="str">
            <v>OrthoLite HybridPlus-Recycled MINT GREEN/11-4805TPX Hybrid Flat Sheet 0.12D 25+/-4 Asker C 1.1M 2M 4.5mm</v>
          </cell>
          <cell r="F152">
            <v>65</v>
          </cell>
        </row>
        <row r="153">
          <cell r="B153" t="str">
            <v>F-2025-12-467</v>
          </cell>
          <cell r="C153" t="str">
            <v>BDB-000209</v>
          </cell>
          <cell r="D153" t="str">
            <v>PVN-003537</v>
          </cell>
          <cell r="E153" t="str">
            <v>OrthoLite HybridPlus-Recycled MINT GREEN/11-4805TPX Hybrid Flat Sheet 0.12D 25+/-4 Asker C 1.1M 2M 4.5mm</v>
          </cell>
          <cell r="F153">
            <v>92</v>
          </cell>
        </row>
        <row r="154">
          <cell r="B154" t="str">
            <v>F-2025-12-480</v>
          </cell>
          <cell r="C154" t="str">
            <v>BDB-000123</v>
          </cell>
          <cell r="D154" t="str">
            <v>PVN-002884</v>
          </cell>
          <cell r="E154" t="str">
            <v>OrthoLite Ultra-Hybrid SEEDPEARL/12-0703TPX Hybrid Flat Sheet 0.085D 25+/-4 Asker C 1.1M 2M 10mm</v>
          </cell>
          <cell r="F154">
            <v>11</v>
          </cell>
        </row>
        <row r="155">
          <cell r="B155" t="str">
            <v>F-2025-12-486</v>
          </cell>
          <cell r="C155" t="str">
            <v>BDB-000123</v>
          </cell>
          <cell r="D155" t="str">
            <v>PVN-003315</v>
          </cell>
          <cell r="E155" t="str">
            <v>OrthoLite Ultra-Hybrid SEEDPEARL/12-0703TPX Hybrid 0.085D 25+/-4 Asker C 1.1M 2M 3.5mm</v>
          </cell>
          <cell r="F155">
            <v>1</v>
          </cell>
        </row>
        <row r="156">
          <cell r="B156" t="str">
            <v>F-2025-12-491</v>
          </cell>
          <cell r="C156" t="str">
            <v>BDB-000209</v>
          </cell>
          <cell r="D156" t="str">
            <v>PVN-003537</v>
          </cell>
          <cell r="E156" t="str">
            <v>OrthoLite HybridPlus-Recycled MINT GREEN/11-4805TPX Hybrid Flat Sheet 0.12D 25+/-4 Asker C 1.1M 2M 4.5mm</v>
          </cell>
          <cell r="F156">
            <v>4</v>
          </cell>
        </row>
        <row r="157">
          <cell r="B157" t="str">
            <v>F-2025-12-493</v>
          </cell>
          <cell r="C157" t="str">
            <v>BDB-000229</v>
          </cell>
          <cell r="D157" t="str">
            <v>PVN-003878</v>
          </cell>
          <cell r="E157" t="str">
            <v>OrthoLite Ultra-Hybrid SEEDPEARL/12-0703TPX Hybrid Flat Sheet 0.095D 33+/-4 Asker C 1.1M 2M 4mm</v>
          </cell>
          <cell r="F157">
            <v>2</v>
          </cell>
        </row>
        <row r="158">
          <cell r="B158" t="str">
            <v>F-2025-12-551</v>
          </cell>
          <cell r="C158" t="str">
            <v>BDB-000209</v>
          </cell>
          <cell r="D158" t="str">
            <v>PVN-003537</v>
          </cell>
          <cell r="E158" t="str">
            <v>OrthoLite HybridPlus-Recycled MINT GREEN/11-4805TPX Hybrid Flat Sheet 0.12D 25+/-4 Asker C 1.1M 2M 4.5mm</v>
          </cell>
          <cell r="F158">
            <v>2</v>
          </cell>
        </row>
        <row r="159">
          <cell r="B159" t="str">
            <v>F-2025-12-557</v>
          </cell>
          <cell r="C159" t="str">
            <v>BDB-000229</v>
          </cell>
          <cell r="D159" t="str">
            <v>PVN-003878</v>
          </cell>
          <cell r="E159" t="str">
            <v>OrthoLite Ultra-Hybrid SEEDPEARL/12-0703TPX Hybrid Flat Sheet 0.095D 33+/-4 Asker C 1.1M 2M 4mm</v>
          </cell>
          <cell r="F159">
            <v>1</v>
          </cell>
        </row>
        <row r="160">
          <cell r="B160" t="str">
            <v>F-2025-12-578</v>
          </cell>
          <cell r="C160" t="str">
            <v>BDB-000209</v>
          </cell>
          <cell r="D160" t="str">
            <v>PVN-003537</v>
          </cell>
          <cell r="E160" t="str">
            <v>OrthoLite HybridPlus-Recycled MINT GREEN/11-4805TPX Hybrid Flat Sheet 0.12D 25+/-4 Asker C 1.1M 2M 4.5mm</v>
          </cell>
          <cell r="F160">
            <v>7</v>
          </cell>
        </row>
        <row r="161">
          <cell r="B161" t="str">
            <v>OIN-2025.12.22-01</v>
          </cell>
          <cell r="C161" t="str">
            <v>BDB-000330</v>
          </cell>
          <cell r="D161" t="str">
            <v>PVN-004275</v>
          </cell>
          <cell r="E161" t="str">
            <v>[116-13102] X 40 25+/-4 Asker C 0.16D Castlerock 18-0201 Tpx 1.10M X 2.00M 47mm</v>
          </cell>
          <cell r="F161">
            <v>19</v>
          </cell>
        </row>
        <row r="162">
          <cell r="B162" t="str">
            <v>OIN-2025.12.27-01</v>
          </cell>
          <cell r="C162" t="str">
            <v>BDB-000164</v>
          </cell>
          <cell r="D162" t="str">
            <v>PVN-004253</v>
          </cell>
          <cell r="E162" t="str">
            <v>[116-12728] Ultra Nike 25+/-4 Asker C 0.085D Grey 17-1501 Tpx 1.10M X 2.00M 47mm</v>
          </cell>
          <cell r="F162">
            <v>10</v>
          </cell>
        </row>
        <row r="163">
          <cell r="B163" t="str">
            <v>S-2025-12-109</v>
          </cell>
          <cell r="C163" t="str">
            <v>BDB-000004</v>
          </cell>
          <cell r="D163" t="str">
            <v>PVN-000060</v>
          </cell>
          <cell r="E163" t="str">
            <v>OrthoLite Regular GREY/17-1501TPX 0.11D 25+/-4 Asker C 1.1M 2M 14mm</v>
          </cell>
          <cell r="F163">
            <v>4</v>
          </cell>
        </row>
        <row r="164">
          <cell r="B164" t="str">
            <v>S-2025-12-114</v>
          </cell>
          <cell r="C164" t="str">
            <v>BDB-000097</v>
          </cell>
          <cell r="D164" t="str">
            <v>PVN-003671</v>
          </cell>
          <cell r="E164" t="str">
            <v>OrthoLite Eco LT-Hybrid SEEDPEARL/12-0703TPX Hybrid Flat Sheet 0.11D 25+/-4 Asker C 1.1M 2M 13mm</v>
          </cell>
          <cell r="F164">
            <v>1</v>
          </cell>
        </row>
        <row r="165">
          <cell r="B165" t="str">
            <v>S-2025-12-115</v>
          </cell>
          <cell r="C165" t="str">
            <v>BDB-000097</v>
          </cell>
          <cell r="D165" t="str">
            <v>PVN-002478</v>
          </cell>
          <cell r="E165" t="str">
            <v>OrthoLite Eco LT-Hybrid SEEDPEARL/12-0703TPX Hybrid 0.11D 25+/-4 Asker C 1.1M 2M 4mm</v>
          </cell>
          <cell r="F165">
            <v>1</v>
          </cell>
        </row>
        <row r="166">
          <cell r="B166" t="str">
            <v>S-2025-12-122</v>
          </cell>
          <cell r="C166" t="str">
            <v>BDB-000103</v>
          </cell>
          <cell r="D166" t="str">
            <v>PVN-004106</v>
          </cell>
          <cell r="E166" t="str">
            <v>OrthoLite Eco LT-Hybrid SEEDPEARL/12-0703TPX Hybrid Flat Sheet 0.085D 25+/-4 Asker C 1.1M 2M 5mm</v>
          </cell>
          <cell r="F166">
            <v>1</v>
          </cell>
        </row>
        <row r="167">
          <cell r="B167" t="str">
            <v>S-2025-12-124</v>
          </cell>
          <cell r="C167" t="str">
            <v>BDB-000273</v>
          </cell>
          <cell r="D167" t="str">
            <v>PVN-004138</v>
          </cell>
          <cell r="E167" t="str">
            <v>OrthoLite X-40-Hybrid SEEDPEARL/12-0703TPX Hybrid Flat Sheet 0.16D 25+/-4 Asker C 1.1M 2M 5.5mm</v>
          </cell>
          <cell r="F167">
            <v>2</v>
          </cell>
        </row>
        <row r="168">
          <cell r="B168" t="str">
            <v>S-2026-01-03</v>
          </cell>
          <cell r="C168" t="str">
            <v>BDB-000123</v>
          </cell>
          <cell r="D168" t="str">
            <v>PVN-003743</v>
          </cell>
          <cell r="E168" t="str">
            <v>OrthoLite Ultra-Hybrid SEEDPEARL/12-0703TPX Hybrid Flat Sheet 0.085D 25+/-4 Asker C 1.1M 2M 5.5mm</v>
          </cell>
          <cell r="F168">
            <v>2</v>
          </cell>
        </row>
        <row r="169">
          <cell r="B169" t="str">
            <v>S-2026-01-05</v>
          </cell>
          <cell r="C169" t="str">
            <v>BDB-000123</v>
          </cell>
          <cell r="D169" t="str">
            <v>PVN-003298</v>
          </cell>
          <cell r="E169" t="str">
            <v>OrthoLite Ultra-Hybrid SEEDPEARL/12-0703TPX Hybrid 0.085D 25+/-4 Asker C 1.1M 2M 4mm</v>
          </cell>
          <cell r="F169">
            <v>3</v>
          </cell>
        </row>
        <row r="170">
          <cell r="B170" t="str">
            <v>S-2026-01-17</v>
          </cell>
          <cell r="C170" t="str">
            <v>BDB-000123</v>
          </cell>
          <cell r="D170" t="str">
            <v>PVN-003298</v>
          </cell>
          <cell r="E170" t="str">
            <v>OrthoLite Ultra-Hybrid SEEDPEARL/12-0703TPX Hybrid 0.085D 25+/-4 Asker C 1.1M 2M 4mm</v>
          </cell>
          <cell r="F170">
            <v>12</v>
          </cell>
        </row>
        <row r="171">
          <cell r="B171" t="str">
            <v>S-2026-01-18</v>
          </cell>
          <cell r="C171" t="str">
            <v>BDB-000123</v>
          </cell>
          <cell r="D171" t="str">
            <v>PVN-003299</v>
          </cell>
          <cell r="E171" t="str">
            <v>OrthoLite Ultra-Hybrid SEEDPEARL/12-0703TPX Hybrid 0.085D 25+/-4 Asker C 1.1M 2M 3mm</v>
          </cell>
          <cell r="F171">
            <v>7</v>
          </cell>
        </row>
        <row r="172">
          <cell r="B172" t="str">
            <v>F-2025-10-262</v>
          </cell>
          <cell r="C172" t="str">
            <v>BDB-000259</v>
          </cell>
          <cell r="D172" t="str">
            <v>PVN-003684</v>
          </cell>
          <cell r="E172" t="str">
            <v>OrthoLite Nike PP002 GLACIER GRAY/14-4102TPX Flat Sheet 0.145D 25+/-4 asker C 1.1M 2M 4.2mm</v>
          </cell>
          <cell r="F172">
            <v>61</v>
          </cell>
        </row>
        <row r="173">
          <cell r="B173" t="str">
            <v>F-2025-11-325</v>
          </cell>
          <cell r="C173" t="str">
            <v>BDB-000235</v>
          </cell>
          <cell r="D173" t="str">
            <v>PVN-003576</v>
          </cell>
          <cell r="E173" t="str">
            <v>OrthoLite X-55-Hybrid FOSSIL/17-0909TPX Hybrid Flat Sheet 0.16D 25+/-4 Asker C 1.1M 1.7M 12mm</v>
          </cell>
          <cell r="F173">
            <v>14</v>
          </cell>
        </row>
        <row r="174">
          <cell r="B174" t="str">
            <v>F-2025-11-331-2</v>
          </cell>
          <cell r="C174" t="str">
            <v>BDB-000113</v>
          </cell>
          <cell r="D174" t="str">
            <v>PVN-003414</v>
          </cell>
          <cell r="E174" t="str">
            <v>OrthoLite Regular-Hybrid SEEDPEARL/12-0703TPX Hybrid Flat Sheet 0.11D 25+/-4 Asker C 1.1M 2M 12mm</v>
          </cell>
          <cell r="F174">
            <v>26</v>
          </cell>
        </row>
        <row r="175">
          <cell r="B175" t="str">
            <v>F-2025-11-342</v>
          </cell>
          <cell r="C175" t="str">
            <v>BDB-000113</v>
          </cell>
          <cell r="D175" t="str">
            <v>PVN-002465</v>
          </cell>
          <cell r="E175" t="str">
            <v>OrthoLite Regular-Hybrid SEEDPEARL/12-0703TPX Hybrid Flat Sheet 0.11D 25+/-4 Asker C 1.1M 2M 5mm</v>
          </cell>
          <cell r="F175">
            <v>5</v>
          </cell>
        </row>
        <row r="176">
          <cell r="B176" t="str">
            <v>F-2025-12-306</v>
          </cell>
          <cell r="C176" t="str">
            <v>BDB-000123</v>
          </cell>
          <cell r="D176" t="str">
            <v>PVN-003298</v>
          </cell>
          <cell r="E176" t="str">
            <v>OrthoLite Ultra-Hybrid SEEDPEARL/12-0703TPX Hybrid 0.085D 25+/-4 Asker C 1.1M 2M 4mm</v>
          </cell>
          <cell r="F176">
            <v>21</v>
          </cell>
        </row>
        <row r="177">
          <cell r="B177" t="str">
            <v>F-2025-12-310</v>
          </cell>
          <cell r="C177" t="str">
            <v>BDB-000217</v>
          </cell>
          <cell r="D177" t="str">
            <v>PVN-003539</v>
          </cell>
          <cell r="E177" t="str">
            <v>OrthoLite X-40-Hybrid SEEDPEARL/12-0703TPX Hybrid Flat Sheet 0.16D 35+/-4 Asker C 1.1M 1.7M 6.2mm</v>
          </cell>
          <cell r="F177">
            <v>46</v>
          </cell>
        </row>
        <row r="178">
          <cell r="B178" t="str">
            <v>F-2025-12-361</v>
          </cell>
          <cell r="C178" t="str">
            <v>BDB-000154</v>
          </cell>
          <cell r="D178" t="str">
            <v>PVN-003347</v>
          </cell>
          <cell r="E178" t="str">
            <v>OrthoLite X-40-Nike TRUE BLUE/19-4057TPX Flat Sheet 0.16D 35+/-4 Asker C 1.1M 1.7M 4mm</v>
          </cell>
          <cell r="F178">
            <v>43</v>
          </cell>
        </row>
        <row r="179">
          <cell r="B179" t="str">
            <v>F-2025-12-362</v>
          </cell>
          <cell r="C179" t="str">
            <v>BDB-000154</v>
          </cell>
          <cell r="D179" t="str">
            <v>PVN-003347</v>
          </cell>
          <cell r="E179" t="str">
            <v>OrthoLite X-40-Nike TRUE BLUE/19-4057TPX Flat Sheet 0.16D 35+/-4 Asker C 1.1M 1.7M 4mm</v>
          </cell>
          <cell r="F179">
            <v>43</v>
          </cell>
        </row>
        <row r="180">
          <cell r="B180" t="str">
            <v>F-2025-12-364</v>
          </cell>
          <cell r="C180" t="str">
            <v>BDB-000348</v>
          </cell>
          <cell r="D180" t="str">
            <v>PVN-004210</v>
          </cell>
          <cell r="E180" t="str">
            <v>OrthoLite IMPERIAL SEEDPEARL/12-0703TPX Flat Sheet 0.22D 25+/-4 Asker C 1.1M 1.47M 5mm</v>
          </cell>
          <cell r="F180">
            <v>8</v>
          </cell>
        </row>
        <row r="181">
          <cell r="B181" t="str">
            <v>F-2025-12-366</v>
          </cell>
          <cell r="C181" t="str">
            <v>BDB-000076</v>
          </cell>
          <cell r="D181" t="str">
            <v>PVN-003745</v>
          </cell>
          <cell r="E181" t="str">
            <v>OrthoLite X-25 BILLIARD/16-5427TPX Flat Sheet 0.12D 20+/-4 Asker C 1.1M 2M 16mm</v>
          </cell>
          <cell r="F181">
            <v>25</v>
          </cell>
        </row>
        <row r="182">
          <cell r="B182" t="str">
            <v>F-2025-12-385</v>
          </cell>
          <cell r="C182" t="str">
            <v>BDB-000058</v>
          </cell>
          <cell r="D182" t="str">
            <v>PVN-001277</v>
          </cell>
          <cell r="E182" t="str">
            <v>OrthoLite Ultra GREEN/16-5932TPX Flat Sheet 0.085D 25+/-4 Asker C 1.1M 2M 4mm</v>
          </cell>
          <cell r="F182">
            <v>113</v>
          </cell>
        </row>
        <row r="183">
          <cell r="B183" t="str">
            <v>F-2025-12-396</v>
          </cell>
          <cell r="C183" t="str">
            <v>BDB-000217</v>
          </cell>
          <cell r="D183" t="str">
            <v>PVN-003733</v>
          </cell>
          <cell r="E183" t="str">
            <v>OrthoLite X-40-Hybrid SEEDPEARL/12-0703TPX Hybrid Flat Sheet 0.16D 35+/-4 Asker C 1.1M 1.7M 12.5mm</v>
          </cell>
          <cell r="F183">
            <v>5</v>
          </cell>
        </row>
        <row r="184">
          <cell r="B184" t="str">
            <v>F-2025-12-431</v>
          </cell>
          <cell r="C184" t="str">
            <v>BDB-000058</v>
          </cell>
          <cell r="D184" t="str">
            <v>PVN-001277</v>
          </cell>
          <cell r="E184" t="str">
            <v>OrthoLite Ultra GREEN/16-5932TPX Flat Sheet 0.085D 25+/-4 Asker C 1.1M 2M 4mm</v>
          </cell>
          <cell r="F184">
            <v>35</v>
          </cell>
        </row>
        <row r="185">
          <cell r="B185" t="str">
            <v>F-2025-12-432</v>
          </cell>
          <cell r="C185" t="str">
            <v>BDB-000058</v>
          </cell>
          <cell r="D185" t="str">
            <v>PVN-001319</v>
          </cell>
          <cell r="E185" t="str">
            <v>OrthoLite Ultra GREEN/16-5932TPX 0.085D 25+/-4 Asker C 1.1M 2M 5mm</v>
          </cell>
          <cell r="F185">
            <v>49</v>
          </cell>
        </row>
        <row r="186">
          <cell r="B186" t="str">
            <v>F-2025-12-445</v>
          </cell>
          <cell r="C186" t="str">
            <v>BDB-000123</v>
          </cell>
          <cell r="D186" t="str">
            <v>PVN-002884</v>
          </cell>
          <cell r="E186" t="str">
            <v>OrthoLite Ultra-Hybrid SEEDPEARL/12-0703TPX Hybrid Flat Sheet 0.085D 25+/-4 Asker C 1.1M 2M 10mm</v>
          </cell>
          <cell r="F186">
            <v>27</v>
          </cell>
        </row>
        <row r="187">
          <cell r="B187" t="str">
            <v>F-2025-12-453</v>
          </cell>
          <cell r="C187" t="str">
            <v>BDB-000058</v>
          </cell>
          <cell r="D187" t="str">
            <v>PVN-001277</v>
          </cell>
          <cell r="E187" t="str">
            <v>OrthoLite Ultra GREEN/16-5932TPX Flat Sheet 0.085D 25+/-4 Asker C 1.1M 2M 4mm</v>
          </cell>
          <cell r="F187">
            <v>7</v>
          </cell>
        </row>
        <row r="188">
          <cell r="B188" t="str">
            <v>F-2025-12-458</v>
          </cell>
          <cell r="C188" t="str">
            <v>BDB-000123</v>
          </cell>
          <cell r="D188" t="str">
            <v>PVN-003300</v>
          </cell>
          <cell r="E188" t="str">
            <v>OrthoLite Ultra-Hybrid SEEDPEARL/12-0703TPX Hybrid Flat Sheet 0.085D 25+/-4 Asker C 1.1M 2M 2mm</v>
          </cell>
          <cell r="F188">
            <v>4</v>
          </cell>
        </row>
        <row r="189">
          <cell r="B189" t="str">
            <v>F-2025-12-474</v>
          </cell>
          <cell r="C189" t="str">
            <v>BDB-000212</v>
          </cell>
          <cell r="D189" t="str">
            <v>PVN-003460</v>
          </cell>
          <cell r="E189" t="str">
            <v>OrthoLite X-25-Hybrid SEEDPEARL/12-0703TPX Hybrid Flat Sheet 0.12D 20+/-4 Asker C 1.1M 2M 5.5mm</v>
          </cell>
          <cell r="F189">
            <v>9</v>
          </cell>
        </row>
        <row r="190">
          <cell r="B190" t="str">
            <v>F-2025-12-545</v>
          </cell>
          <cell r="C190" t="str">
            <v>BDB-000058</v>
          </cell>
          <cell r="D190" t="str">
            <v>PVN-001277</v>
          </cell>
          <cell r="E190" t="str">
            <v>OrthoLite Ultra GREEN/16-5932TPX Flat Sheet 0.085D 25+/-4 Asker C 1.1M 2M 4mm</v>
          </cell>
          <cell r="F190">
            <v>6</v>
          </cell>
        </row>
        <row r="191">
          <cell r="B191" t="str">
            <v>F-2025-12-554</v>
          </cell>
          <cell r="C191" t="str">
            <v>BDB-000242</v>
          </cell>
          <cell r="D191" t="str">
            <v>PVN-003614</v>
          </cell>
          <cell r="E191" t="str">
            <v>OrthoLite Regular GREY/17-1501TPX Flat Sheet 0.11D 5-10 Asker C 1.1M 2M 3.5mm</v>
          </cell>
          <cell r="F191">
            <v>3</v>
          </cell>
        </row>
        <row r="192">
          <cell r="B192" t="str">
            <v>F-2025-12-56-2</v>
          </cell>
          <cell r="C192" t="str">
            <v>BDB-000011</v>
          </cell>
          <cell r="D192" t="str">
            <v>PVN-000258</v>
          </cell>
          <cell r="E192" t="str">
            <v>OrthoLite Regular AIR BLUE/16-4134TPX Flat Sheet 0.13D 35+/-4 Asker C 1.1M 2M 2.5mm</v>
          </cell>
          <cell r="F192">
            <v>28</v>
          </cell>
        </row>
        <row r="193">
          <cell r="B193" t="str">
            <v>F-2025-12-581</v>
          </cell>
          <cell r="C193" t="str">
            <v>BDB-000242</v>
          </cell>
          <cell r="D193" t="str">
            <v>PVN-003614</v>
          </cell>
          <cell r="E193" t="str">
            <v>OrthoLite Regular GREY/17-1501TPX Flat Sheet 0.11D 5-10 Asker C 1.1M 2M 3.5mm</v>
          </cell>
          <cell r="F193">
            <v>2</v>
          </cell>
        </row>
        <row r="194">
          <cell r="B194" t="str">
            <v>F-2025-12-585</v>
          </cell>
          <cell r="C194" t="str">
            <v>BDB-000076</v>
          </cell>
          <cell r="D194" t="str">
            <v>PVN-003494</v>
          </cell>
          <cell r="E194" t="str">
            <v>OrthoLite X-25 BILLIARD/16-5427TPX Flat Sheet 0.12D 20+/-4 Asker C 1.1M 2M 5.5mm</v>
          </cell>
          <cell r="F194">
            <v>2</v>
          </cell>
        </row>
        <row r="195">
          <cell r="B195" t="str">
            <v>F-2025-12-591</v>
          </cell>
          <cell r="C195" t="str">
            <v>BDB-000117</v>
          </cell>
          <cell r="D195" t="str">
            <v>PVN-003148</v>
          </cell>
          <cell r="E195" t="str">
            <v>OrthoLite X-35-Hybrid SEEDPEARL/12-0703TPX Hybrid Flat Sheet 0.145D 25+/-4 Asker C 1.1M 2M 4.5mm</v>
          </cell>
          <cell r="F195">
            <v>10</v>
          </cell>
        </row>
        <row r="196">
          <cell r="B196" t="str">
            <v>F-2025-12-630</v>
          </cell>
          <cell r="C196" t="str">
            <v>BDB-000057</v>
          </cell>
          <cell r="D196" t="str">
            <v>PVN-000825</v>
          </cell>
          <cell r="E196" t="str">
            <v>OrthoLite Ultra YELLOW/13-0858TPX Flat Sheet 0.085D 25+/-4 Asker C 1.1M 2M 12mm</v>
          </cell>
          <cell r="F196">
            <v>6</v>
          </cell>
        </row>
        <row r="197">
          <cell r="B197" t="str">
            <v>L-2026-01-11</v>
          </cell>
          <cell r="C197" t="str">
            <v>BDB-000131</v>
          </cell>
          <cell r="D197" t="str">
            <v>PVN-002424</v>
          </cell>
          <cell r="E197" t="str">
            <v>OrthoLite Regular-Nike AIR BLUE/16-4134TPX 0.11D 15+/-4 Asker C 1.1M 2M 3.5mm</v>
          </cell>
          <cell r="F197">
            <v>1</v>
          </cell>
        </row>
        <row r="198">
          <cell r="B198" t="str">
            <v>L-2026-01-12</v>
          </cell>
          <cell r="C198" t="str">
            <v>BDB-000131</v>
          </cell>
          <cell r="D198" t="str">
            <v>PVN-001635</v>
          </cell>
          <cell r="E198" t="str">
            <v>OrthoLite Regular-Nike AIR BLUE/16-4134TPX 0.11D 15+/-4 Asker C 1.1M 2M 10mm</v>
          </cell>
          <cell r="F198">
            <v>1</v>
          </cell>
        </row>
        <row r="199">
          <cell r="B199" t="str">
            <v>L-2026-01-13</v>
          </cell>
          <cell r="C199" t="str">
            <v>BDB-000221</v>
          </cell>
          <cell r="D199" t="str">
            <v>PVN-004123</v>
          </cell>
          <cell r="E199" t="str">
            <v>OrthoLite X-40-Hybrid-Nike SEEDPEARL/12-0703TPX Hybrid Flat Sheet 0.16D 25+/-4 Asker C 1.1M 1.7M 3mm</v>
          </cell>
          <cell r="F199">
            <v>1</v>
          </cell>
        </row>
        <row r="200">
          <cell r="B200" t="str">
            <v>L-2026-01-14</v>
          </cell>
          <cell r="C200" t="str">
            <v>BDB-000221</v>
          </cell>
          <cell r="D200" t="str">
            <v>PVN-004124</v>
          </cell>
          <cell r="E200" t="str">
            <v>OrthoLite X-40-Hybrid-Nike SEEDPEARL/12-0703TPX 0.16D 25+/-4 Asker C 1.1M 1.7M 10mm</v>
          </cell>
          <cell r="F200">
            <v>1</v>
          </cell>
        </row>
        <row r="201">
          <cell r="B201" t="str">
            <v>S-2025-12-107</v>
          </cell>
          <cell r="C201" t="str">
            <v>BDB-000212</v>
          </cell>
          <cell r="D201" t="str">
            <v>PVN-003530</v>
          </cell>
          <cell r="E201" t="str">
            <v>OrthoLite X-25-Hybrid SEEDPEARL/12-0703TPX Hybrid Flat Sheet 0.12D 20+/-4 Asker C 1.1M 2M 8.2mm</v>
          </cell>
          <cell r="F201">
            <v>2</v>
          </cell>
        </row>
        <row r="202">
          <cell r="B202" t="str">
            <v>S-2025-12-110</v>
          </cell>
          <cell r="C202" t="str">
            <v>BDB-000076</v>
          </cell>
          <cell r="D202" t="str">
            <v>PVN-004119</v>
          </cell>
          <cell r="E202" t="str">
            <v>OrthoLite X-25 BILLIARD/16-5427TPX Flat Sheet 0.12D 20+/-4 Asker C 1.1M 2M 6.5mm</v>
          </cell>
          <cell r="F202">
            <v>1</v>
          </cell>
        </row>
        <row r="203">
          <cell r="B203" t="str">
            <v>S-2025-12-119</v>
          </cell>
          <cell r="C203" t="str">
            <v>BDB-000348</v>
          </cell>
          <cell r="D203" t="str">
            <v>PVN-004210</v>
          </cell>
          <cell r="E203" t="str">
            <v>OrthoLite IMPERIAL SEEDPEARL/12-0703TPX Flat Sheet 0.22D 25+/-4 Asker C 1.1M 1.47M 5mm</v>
          </cell>
          <cell r="F203">
            <v>4</v>
          </cell>
        </row>
        <row r="204">
          <cell r="B204" t="str">
            <v>S-2025-12-128</v>
          </cell>
          <cell r="C204" t="str">
            <v>BDB-000352</v>
          </cell>
          <cell r="D204" t="str">
            <v>PVN-004281</v>
          </cell>
          <cell r="E204" t="str">
            <v>OrthoLite Float-Hybrid SEEDPEARL/12-0703TPX Hybrid Flat Sheet 0.12D 21+/-4 Asker C 1.1M 2M 4.5mm</v>
          </cell>
          <cell r="F204">
            <v>2</v>
          </cell>
        </row>
        <row r="205">
          <cell r="B205" t="str">
            <v>S-2025-12-131</v>
          </cell>
          <cell r="C205" t="str">
            <v>BDB-000131</v>
          </cell>
          <cell r="D205" t="str">
            <v>PVN-001565</v>
          </cell>
          <cell r="E205" t="str">
            <v>OrthoLite Regular-Nike AIR BLUE/16-4134TPX 0.11D 15+/-4 Asker C 1.1M 2M 4mm</v>
          </cell>
          <cell r="F205">
            <v>2</v>
          </cell>
        </row>
        <row r="206">
          <cell r="B206" t="str">
            <v>S-2025-12-132</v>
          </cell>
          <cell r="C206" t="str">
            <v>BDB-000116</v>
          </cell>
          <cell r="D206" t="str">
            <v>PVN-002530</v>
          </cell>
          <cell r="E206" t="str">
            <v>OrthoLite Regular-Hybrid SEEDPEARL/12-0703TPX Hybrid 0.13D 25+/-4 Asker C 1.1M 2M 3mm</v>
          </cell>
          <cell r="F206">
            <v>1</v>
          </cell>
        </row>
        <row r="207">
          <cell r="B207" t="str">
            <v>S-2025-12-133</v>
          </cell>
          <cell r="C207" t="str">
            <v>BDB-000116</v>
          </cell>
          <cell r="D207" t="str">
            <v>PVN-002710</v>
          </cell>
          <cell r="E207" t="str">
            <v>OrthoLite Regular-Hybrid SEEDPEARL/12-0703TPX Hybrid 0.13D 25+/-4 Asker C 1.1M 2M 5mm</v>
          </cell>
          <cell r="F207">
            <v>1</v>
          </cell>
        </row>
        <row r="208">
          <cell r="B208" t="str">
            <v>S-2026-01-01</v>
          </cell>
          <cell r="C208" t="str">
            <v>BDB-000321</v>
          </cell>
          <cell r="D208" t="str">
            <v>PVN-004092</v>
          </cell>
          <cell r="E208" t="str">
            <v>OrthoLite Float BLUE ATOLL/16-4535TPX Flat Sheet 0.12D 21+/-4 Asker C 1.1M 2M 14.5mm</v>
          </cell>
          <cell r="F208">
            <v>4</v>
          </cell>
        </row>
        <row r="209">
          <cell r="B209" t="str">
            <v>S-2026-01-06</v>
          </cell>
          <cell r="C209" t="str">
            <v>BDB-000057</v>
          </cell>
          <cell r="D209" t="str">
            <v>PVN-000825</v>
          </cell>
          <cell r="E209" t="str">
            <v>UltraLite OrthoLite YELLOW/13-0858TPX Flat Sheet 0.085D 25+/-4 Asker C 1.1M 2M 12mm</v>
          </cell>
          <cell r="F209">
            <v>4</v>
          </cell>
        </row>
        <row r="210">
          <cell r="B210" t="str">
            <v>S-2026-01-07</v>
          </cell>
          <cell r="C210" t="str">
            <v>BDB-000011</v>
          </cell>
          <cell r="D210" t="str">
            <v>PVN-000121</v>
          </cell>
          <cell r="E210" t="str">
            <v>OrthoLite Regular AIR BLUE/16-4134TPX 0.13D 35+/-4 Asker C 1.1M 2M 12mm</v>
          </cell>
          <cell r="F210">
            <v>8</v>
          </cell>
        </row>
        <row r="211">
          <cell r="B211" t="str">
            <v>S-2026-01-20</v>
          </cell>
          <cell r="C211" t="str">
            <v>BDB-000116</v>
          </cell>
          <cell r="D211" t="str">
            <v>PVN-004074</v>
          </cell>
          <cell r="E211" t="str">
            <v>OrthoLite Regular-Hybrid SEEDPEARL/12-0703TPX Hybrid Flat Sheet 0.13D 25+/-4 Asker C 1.1M 2M 2mm</v>
          </cell>
          <cell r="F211">
            <v>1</v>
          </cell>
        </row>
        <row r="212">
          <cell r="B212" t="str">
            <v>F-2025-11-344</v>
          </cell>
          <cell r="C212" t="str">
            <v>BDB-000113</v>
          </cell>
          <cell r="D212" t="str">
            <v>PVN-002465</v>
          </cell>
          <cell r="E212" t="str">
            <v>OrthoLite Regular-Hybrid SEEDPEARL/12-0703TPX Hybrid Flat Sheet 0.11D 25+/-4 Asker C 1.1M 2M 5mm</v>
          </cell>
          <cell r="F212">
            <v>108</v>
          </cell>
        </row>
        <row r="213">
          <cell r="B213" t="str">
            <v>F-2025-12-194</v>
          </cell>
          <cell r="C213" t="str">
            <v>BDB-000123</v>
          </cell>
          <cell r="D213" t="str">
            <v>PVN-002539</v>
          </cell>
          <cell r="E213" t="str">
            <v>OrthoLite Ultra-Hybrid SEEDPEARL/12-0703TPX Hybrid Flat Sheet 0.085D 25+/-4 Asker C 1.1M 2M 5mm</v>
          </cell>
          <cell r="F213">
            <v>14</v>
          </cell>
        </row>
        <row r="214">
          <cell r="B214" t="str">
            <v>F-2025-12-341</v>
          </cell>
          <cell r="C214" t="str">
            <v>BDB-000339</v>
          </cell>
          <cell r="D214" t="str">
            <v>PVN-004178</v>
          </cell>
          <cell r="E214" t="str">
            <v>OrthoLite Float NEUTRAL GRAY/17-4402TPX Flat Sheet 0.12D 21+/-4 Asker C 1.1M 2M 5.5mm</v>
          </cell>
          <cell r="F214">
            <v>12</v>
          </cell>
        </row>
        <row r="215">
          <cell r="B215" t="str">
            <v>F-2025-12-358</v>
          </cell>
          <cell r="C215" t="str">
            <v>BDB-000348</v>
          </cell>
          <cell r="D215" t="str">
            <v>PVN-004195</v>
          </cell>
          <cell r="E215" t="str">
            <v>OrthoLite IMPERIAL SEEDPEARL/12-0703TPX Flat Sheet 0.22D 25+/-4 Asker C 1.1M 1.47M 4mm</v>
          </cell>
          <cell r="F215">
            <v>28</v>
          </cell>
        </row>
        <row r="216">
          <cell r="B216" t="str">
            <v>F-2025-12-382</v>
          </cell>
          <cell r="C216" t="str">
            <v>BDB-000348</v>
          </cell>
          <cell r="D216" t="str">
            <v>PVN-004195</v>
          </cell>
          <cell r="E216" t="str">
            <v>OrthoLite IMPERIAL SEEDPEARL/12-0703TPX Flat Sheet 0.22D 25+/-4 Asker C 1.1M 1.47M 4mm</v>
          </cell>
          <cell r="F216">
            <v>23</v>
          </cell>
        </row>
        <row r="217">
          <cell r="B217" t="str">
            <v>F-2025-12-389</v>
          </cell>
          <cell r="C217" t="str">
            <v>BDB-000348</v>
          </cell>
          <cell r="D217" t="str">
            <v>PVN-004210</v>
          </cell>
          <cell r="E217" t="str">
            <v>OrthoLite IMPERIAL SEEDPEARL/12-0703TPX Flat Sheet 0.22D 25+/-4 Asker C 1.1M 1.47M 5mm</v>
          </cell>
          <cell r="F217">
            <v>158</v>
          </cell>
        </row>
        <row r="218">
          <cell r="B218" t="str">
            <v>F-2025-12-395</v>
          </cell>
          <cell r="C218" t="str">
            <v>BDB-000255</v>
          </cell>
          <cell r="D218" t="str">
            <v>PVN-003730</v>
          </cell>
          <cell r="E218" t="str">
            <v>OrthoLite Regular GREY/17-1501TPX Flat Sheet 0.15D 45+/-4 Asker C 1.1M 1.7M 2mm</v>
          </cell>
          <cell r="F218">
            <v>2</v>
          </cell>
        </row>
        <row r="219">
          <cell r="B219" t="str">
            <v>F-2025-12-434</v>
          </cell>
          <cell r="C219" t="str">
            <v>BDB-000123</v>
          </cell>
          <cell r="D219" t="str">
            <v>PVN-003299</v>
          </cell>
          <cell r="E219" t="str">
            <v>OrthoLite Ultra-Hybrid SEEDPEARL/12-0703TPX Hybrid 0.085D 25+/-4 Asker C 1.1M 2M 3mm</v>
          </cell>
          <cell r="F219">
            <v>62</v>
          </cell>
        </row>
        <row r="220">
          <cell r="B220" t="str">
            <v>F-2025-12-438</v>
          </cell>
          <cell r="C220" t="str">
            <v>BDB-000348</v>
          </cell>
          <cell r="D220" t="str">
            <v>PVN-004210</v>
          </cell>
          <cell r="E220" t="str">
            <v>OrthoLite IMPERIAL SEEDPEARL/12-0703TPX Flat Sheet 0.22D 25+/-4 Asker C 1.1M 1.47M 5mm</v>
          </cell>
          <cell r="F220">
            <v>1</v>
          </cell>
        </row>
        <row r="221">
          <cell r="B221" t="str">
            <v>F-2025-12-443</v>
          </cell>
          <cell r="C221" t="str">
            <v>BDB-000055</v>
          </cell>
          <cell r="D221" t="str">
            <v>PVN-003326</v>
          </cell>
          <cell r="E221" t="str">
            <v>OrthoLite X-40 TRUE BLUE/19-4057TPX Flat Sheet 0.16D 35+/-4 Asker C 1.1M 1.7M 14mm</v>
          </cell>
          <cell r="F221">
            <v>36</v>
          </cell>
        </row>
        <row r="222">
          <cell r="B222" t="str">
            <v>F-2025-12-447</v>
          </cell>
          <cell r="C222" t="str">
            <v>BDB-000055</v>
          </cell>
          <cell r="D222" t="str">
            <v>PVN-003387</v>
          </cell>
          <cell r="E222" t="str">
            <v>OrthoLite X-40 TRUE BLUE/19-4057TPX Flat Sheet 0.16D 35+/-4 Asker C 1.1M 1.7M 13.5mm</v>
          </cell>
          <cell r="F222">
            <v>22</v>
          </cell>
        </row>
        <row r="223">
          <cell r="B223" t="str">
            <v>F-2025-12-456</v>
          </cell>
          <cell r="C223" t="str">
            <v>BDB-000123</v>
          </cell>
          <cell r="D223" t="str">
            <v>PVN-003299</v>
          </cell>
          <cell r="E223" t="str">
            <v>OrthoLite Ultra-Hybrid SEEDPEARL/12-0703TPX Hybrid 0.085D 25+/-4 Asker C 1.1M 2M 3mm</v>
          </cell>
          <cell r="F223">
            <v>44</v>
          </cell>
        </row>
        <row r="224">
          <cell r="B224" t="str">
            <v>F-2025-12-457</v>
          </cell>
          <cell r="C224" t="str">
            <v>BDB-000123</v>
          </cell>
          <cell r="D224" t="str">
            <v>PVN-003299</v>
          </cell>
          <cell r="E224" t="str">
            <v>OrthoLite Ultra-Hybrid SEEDPEARL/12-0703TPX Hybrid 0.085D 25+/-4 Asker C 1.1M 2M 3mm</v>
          </cell>
          <cell r="F224">
            <v>115</v>
          </cell>
        </row>
        <row r="225">
          <cell r="B225" t="str">
            <v>F-2025-12-462</v>
          </cell>
          <cell r="C225" t="str">
            <v>BDB-000348</v>
          </cell>
          <cell r="D225" t="str">
            <v>PVN-004210</v>
          </cell>
          <cell r="E225" t="str">
            <v>OrthoLite IMPERIAL SEEDPEARL/12-0703TPX Flat Sheet 0.22D 25+/-4 Asker C 1.1M 1.47M 5mm</v>
          </cell>
          <cell r="F225">
            <v>60</v>
          </cell>
        </row>
        <row r="226">
          <cell r="B226" t="str">
            <v>F-2025-12-468</v>
          </cell>
          <cell r="C226" t="str">
            <v>BDB-000076</v>
          </cell>
          <cell r="D226" t="str">
            <v>PVN-003745</v>
          </cell>
          <cell r="E226" t="str">
            <v>OrthoLite X-25 BILLIARD/16-5427TPX Flat Sheet 0.12D 20+/-4 Asker C 1.1M 2M 16mm</v>
          </cell>
          <cell r="F226">
            <v>63</v>
          </cell>
        </row>
        <row r="227">
          <cell r="B227" t="str">
            <v>F-2025-12-475</v>
          </cell>
          <cell r="C227" t="str">
            <v>BDB-000077</v>
          </cell>
          <cell r="D227" t="str">
            <v>PVN-004147</v>
          </cell>
          <cell r="E227" t="str">
            <v>OrthoLite X-25 SEEDPEARL/12-0703TPX Flat Sheet 0.12D 20+/-4 Asker C 1.1M 2M 5.5mm</v>
          </cell>
          <cell r="F227">
            <v>22</v>
          </cell>
        </row>
        <row r="228">
          <cell r="B228" t="str">
            <v>F-2025-12-499</v>
          </cell>
          <cell r="C228" t="str">
            <v>BDB-000055</v>
          </cell>
          <cell r="D228" t="str">
            <v>PVN-003326</v>
          </cell>
          <cell r="E228" t="str">
            <v>OrthoLite X-40 TRUE BLUE/19-4057TPX Flat Sheet 0.16D 35+/-4 Asker C 1.1M 1.7M 14mm</v>
          </cell>
          <cell r="F228">
            <v>5</v>
          </cell>
        </row>
        <row r="229">
          <cell r="B229" t="str">
            <v>F-2025-12-500</v>
          </cell>
          <cell r="C229" t="str">
            <v>BDB-000055</v>
          </cell>
          <cell r="D229" t="str">
            <v>PVN-003387</v>
          </cell>
          <cell r="E229" t="str">
            <v>OrthoLite X-40 TRUE BLUE/19-4057TPX Flat Sheet 0.16D 35+/-4 Asker C 1.1M 1.7M 13.5mm</v>
          </cell>
          <cell r="F229">
            <v>1</v>
          </cell>
        </row>
        <row r="230">
          <cell r="B230" t="str">
            <v>F-2025-12-509</v>
          </cell>
          <cell r="C230" t="str">
            <v>BDB-000123</v>
          </cell>
          <cell r="D230" t="str">
            <v>PVN-003298</v>
          </cell>
          <cell r="E230" t="str">
            <v>OrthoLite Ultra-Hybrid SEEDPEARL/12-0703TPX Hybrid 0.085D 25+/-4 Asker C 1.1M 2M 4mm</v>
          </cell>
          <cell r="F230">
            <v>163</v>
          </cell>
        </row>
        <row r="231">
          <cell r="B231" t="str">
            <v>F-2025-12-515</v>
          </cell>
          <cell r="C231" t="str">
            <v>BDB-000123</v>
          </cell>
          <cell r="D231" t="str">
            <v>PVN-003299</v>
          </cell>
          <cell r="E231" t="str">
            <v>OrthoLite Ultra-Hybrid SEEDPEARL/12-0703TPX Hybrid 0.085D 25+/-4 Asker C 1.1M 2M 3mm</v>
          </cell>
          <cell r="F231">
            <v>44</v>
          </cell>
        </row>
        <row r="232">
          <cell r="B232" t="str">
            <v>F-2025-12-516</v>
          </cell>
          <cell r="C232" t="str">
            <v>BDB-000123</v>
          </cell>
          <cell r="D232" t="str">
            <v>PVN-003299</v>
          </cell>
          <cell r="E232" t="str">
            <v>OrthoLite Ultra-Hybrid SEEDPEARL/12-0703TPX Hybrid 0.085D 25+/-4 Asker C 1.1M 2M 3mm</v>
          </cell>
          <cell r="F232">
            <v>153</v>
          </cell>
        </row>
        <row r="233">
          <cell r="B233" t="str">
            <v>F-2025-12-599</v>
          </cell>
          <cell r="C233" t="str">
            <v>BDB-000278</v>
          </cell>
          <cell r="D233" t="str">
            <v>PVN-004214</v>
          </cell>
          <cell r="E233" t="str">
            <v>OrthoLite X-40 SEEDPEARL/12-0703TPX Flat Sheet 0.16D 35+/-4 Asker C 1.1M 1.7M 3.2mm</v>
          </cell>
          <cell r="F233">
            <v>7</v>
          </cell>
        </row>
        <row r="234">
          <cell r="B234" t="str">
            <v>S-2025-12-117</v>
          </cell>
          <cell r="C234" t="str">
            <v>BDB-000348</v>
          </cell>
          <cell r="D234" t="str">
            <v>PVN-004241</v>
          </cell>
          <cell r="E234" t="str">
            <v>OrthoLite IMPERIAL SEEDPEARL/12-0703TPX Flat Sheet 0.22D 25+/-4 Asker C 1.1M 1.47M 3.5mm</v>
          </cell>
          <cell r="F234">
            <v>3</v>
          </cell>
        </row>
        <row r="235">
          <cell r="B235" t="str">
            <v>S-2026-01-09</v>
          </cell>
          <cell r="C235" t="str">
            <v>BDB-000153</v>
          </cell>
          <cell r="D235" t="str">
            <v>PVN-004282</v>
          </cell>
          <cell r="E235" t="str">
            <v>OrthoLite X-35-Nike AMAZON/18-6024TPX Flat Sheet 0.145D 25+/-4 Asker C 1.1M 2M 2mm</v>
          </cell>
          <cell r="F235">
            <v>1</v>
          </cell>
        </row>
        <row r="236">
          <cell r="B236" t="str">
            <v>S-2026-01-10</v>
          </cell>
          <cell r="C236" t="str">
            <v>BDB-000153</v>
          </cell>
          <cell r="D236" t="str">
            <v>PVN-004283</v>
          </cell>
          <cell r="E236" t="str">
            <v>OrthoLite X-35-Nike AMAZON/18-6024TPX Flat Sheet 0.145D 25+/-4 Asker C 1.1M 2M 4mm</v>
          </cell>
          <cell r="F236">
            <v>1</v>
          </cell>
        </row>
        <row r="237">
          <cell r="B237" t="str">
            <v>S-2026-01-19</v>
          </cell>
          <cell r="C237" t="str">
            <v>BDB-000226</v>
          </cell>
          <cell r="D237" t="str">
            <v>PVN-004052</v>
          </cell>
          <cell r="E237" t="str">
            <v>OrthoLite Regular GREY/17-1501TPX Flat Sheet 0.16D 51+/-4 Asker C 1.1M 1.7M 9.5mm</v>
          </cell>
          <cell r="F237">
            <v>3</v>
          </cell>
        </row>
        <row r="238">
          <cell r="B238" t="str">
            <v>F-2025-09-354</v>
          </cell>
          <cell r="C238" t="str">
            <v>BDB-000175</v>
          </cell>
          <cell r="D238" t="str">
            <v>PVN-002966</v>
          </cell>
          <cell r="E238" t="str">
            <v>OrthoLite Ultra-Hybrid-Nike SEEDPEARL/12-0703TPX Hybrid 0.085D 25+/-4 Asker C 1.1M 2M 4mm</v>
          </cell>
          <cell r="F238">
            <v>16</v>
          </cell>
        </row>
        <row r="239">
          <cell r="B239" t="str">
            <v>F-2025-10-119-2</v>
          </cell>
          <cell r="C239" t="str">
            <v>BDB-000107</v>
          </cell>
          <cell r="D239" t="str">
            <v>PVN-003482</v>
          </cell>
          <cell r="E239" t="str">
            <v>OrthoLite Eco LT-Hybrid SEEDPEARL/12-0703TPX Hybrid 0.11D 25+/-4 Asker C 1.1M 1.47M 4mm</v>
          </cell>
          <cell r="F239">
            <v>15</v>
          </cell>
        </row>
        <row r="240">
          <cell r="B240" t="str">
            <v>F-2025-10-223-1</v>
          </cell>
          <cell r="C240" t="str">
            <v>BDB-000162</v>
          </cell>
          <cell r="D240" t="str">
            <v>PVN-001566</v>
          </cell>
          <cell r="E240" t="str">
            <v>OrthoLite Ultra-Nike SEEDPEARL/12-0703TPX 0.085D 25+/-4 Asker C 1.1M 2M 4mm</v>
          </cell>
          <cell r="F240">
            <v>52</v>
          </cell>
        </row>
        <row r="241">
          <cell r="B241" t="str">
            <v>F-2025-12-223</v>
          </cell>
          <cell r="C241" t="str">
            <v>BDB-000097</v>
          </cell>
          <cell r="D241" t="str">
            <v>PVN-002478</v>
          </cell>
          <cell r="E241" t="str">
            <v>OrthoLite Eco LT-Hybrid SEEDPEARL/12-0703TPX Hybrid 0.11D 25+/-4 Asker C 1.1M 2M 4mm</v>
          </cell>
          <cell r="F241">
            <v>48</v>
          </cell>
        </row>
        <row r="242">
          <cell r="B242" t="str">
            <v>F-2025-12-361</v>
          </cell>
          <cell r="C242" t="str">
            <v>BDB-000154</v>
          </cell>
          <cell r="D242" t="str">
            <v>PVN-003347</v>
          </cell>
          <cell r="E242" t="str">
            <v>OrthoLite X-40-Nike TRUE BLUE/19-4057TPX Flat Sheet 0.16D 35+/-4 Asker C 1.1M 1.7M 4mm</v>
          </cell>
          <cell r="F242">
            <v>6</v>
          </cell>
        </row>
        <row r="243">
          <cell r="B243" t="str">
            <v>F-2025-12-373</v>
          </cell>
          <cell r="C243" t="str">
            <v>BDB-000346</v>
          </cell>
          <cell r="D243" t="str">
            <v>PVN-004188</v>
          </cell>
          <cell r="E243" t="str">
            <v>OrthoLite Float NEUTRAL GRAY/17-4402TPX Flat Sheet 0.12D 21+/-4 Asker C 1.1M 1.47M 5.5mm</v>
          </cell>
          <cell r="F243">
            <v>4</v>
          </cell>
        </row>
        <row r="244">
          <cell r="B244" t="str">
            <v>F-2025-12-373</v>
          </cell>
          <cell r="C244" t="str">
            <v>BDB-000346</v>
          </cell>
          <cell r="D244" t="str">
            <v>PVN-004188</v>
          </cell>
          <cell r="E244" t="str">
            <v>OrthoLite Float NEUTRAL GRAY/17-4402TPX Flat Sheet 0.12D 21+/-4 Asker C 1.1M 1.47M 5.5mm</v>
          </cell>
          <cell r="F244">
            <v>6</v>
          </cell>
        </row>
        <row r="245">
          <cell r="B245" t="str">
            <v>F-2025-12-410</v>
          </cell>
          <cell r="C245" t="str">
            <v>BDB-000131</v>
          </cell>
          <cell r="D245" t="str">
            <v>PVN-001565</v>
          </cell>
          <cell r="E245" t="str">
            <v>OrthoLite Regular-Nike AIR BLUE/16-4134TPX 0.11D 15+/-4 Asker C 1.1M 2M 4mm</v>
          </cell>
          <cell r="F245">
            <v>29</v>
          </cell>
        </row>
        <row r="246">
          <cell r="B246" t="str">
            <v>F-2025-12-437</v>
          </cell>
          <cell r="C246" t="str">
            <v>BDB-000286</v>
          </cell>
          <cell r="D246" t="str">
            <v>PVN-003864</v>
          </cell>
          <cell r="E246" t="str">
            <v>OrthoLite Regular-Hybrid SEEDPEARL/12-0703TPX Hybrid Flat Sheet 0.13D 25+/-4 Asker C 1.1M 1.7M 3mm</v>
          </cell>
          <cell r="F246">
            <v>4</v>
          </cell>
        </row>
        <row r="247">
          <cell r="B247" t="str">
            <v>F-2025-12-441</v>
          </cell>
          <cell r="C247" t="str">
            <v>BDB-000212</v>
          </cell>
          <cell r="D247" t="str">
            <v>PVN-003460</v>
          </cell>
          <cell r="E247" t="str">
            <v>OrthoLite X-25-Hybrid SEEDPEARL/12-0703TPX Hybrid Flat Sheet 0.12D 20+/-4 Asker C 1.1M 2M 5.5mm</v>
          </cell>
          <cell r="F247">
            <v>19</v>
          </cell>
        </row>
        <row r="248">
          <cell r="B248" t="str">
            <v>F-2025-12-447</v>
          </cell>
          <cell r="C248" t="str">
            <v>BDB-000055</v>
          </cell>
          <cell r="D248" t="str">
            <v>PVN-003387</v>
          </cell>
          <cell r="E248" t="str">
            <v>OrthoLite X-40 TRUE BLUE/19-4057TPX Flat Sheet 0.16D 35+/-4 Asker C 1.1M 1.7M 13.5mm</v>
          </cell>
          <cell r="F248">
            <v>1</v>
          </cell>
        </row>
        <row r="249">
          <cell r="B249" t="str">
            <v>F-2025-12-462</v>
          </cell>
          <cell r="C249" t="str">
            <v>BDB-000348</v>
          </cell>
          <cell r="D249" t="str">
            <v>PVN-004210</v>
          </cell>
          <cell r="E249" t="str">
            <v>OrthoLite IMPERIAL SEEDPEARL/12-0703TPX Flat Sheet 0.22D 25+/-4 Asker C 1.1M 1.47M 5mm</v>
          </cell>
          <cell r="F249">
            <v>48</v>
          </cell>
        </row>
        <row r="250">
          <cell r="B250" t="str">
            <v>F-2025-12-478</v>
          </cell>
          <cell r="C250" t="str">
            <v>BDB-000117</v>
          </cell>
          <cell r="D250" t="str">
            <v>PVN-003234</v>
          </cell>
          <cell r="E250" t="str">
            <v>OrthoLite X-35-Hybrid SEEDPEARL/12-0703TPX Hybrid Flat Sheet 0.145D 25+/-4 Asker C 1.1M 2M 5.5mm</v>
          </cell>
          <cell r="F250">
            <v>21</v>
          </cell>
        </row>
        <row r="251">
          <cell r="B251" t="str">
            <v>F-2025-12-479</v>
          </cell>
          <cell r="C251" t="str">
            <v>BDB-000212</v>
          </cell>
          <cell r="D251" t="str">
            <v>PVN-003458</v>
          </cell>
          <cell r="E251" t="str">
            <v>OrthoLite X-25-Hybrid SEEDPEARL/12-0703TPX Hybrid Flat Sheet 0.12D 20+/-4 Asker C 1.1M 2M 4mm</v>
          </cell>
          <cell r="F251">
            <v>5</v>
          </cell>
        </row>
        <row r="252">
          <cell r="B252" t="str">
            <v>F-2025-12-482</v>
          </cell>
          <cell r="C252" t="str">
            <v>BDB-000113</v>
          </cell>
          <cell r="D252" t="str">
            <v>PVN-003796</v>
          </cell>
          <cell r="E252" t="str">
            <v>OrthoLite Regular-Hybrid SEEDPEARL/12-0703TPX Hybrid Flat Sheet 0.11D 25+/-4 Asker C 1.1M 2M 3.5mm</v>
          </cell>
          <cell r="F252">
            <v>3</v>
          </cell>
        </row>
        <row r="253">
          <cell r="B253" t="str">
            <v>F-2025-12-488</v>
          </cell>
          <cell r="C253" t="str">
            <v>BDB-000348</v>
          </cell>
          <cell r="D253" t="str">
            <v>PVN-004210</v>
          </cell>
          <cell r="E253" t="str">
            <v>OrthoLite IMPERIAL SEEDPEARL/12-0703TPX Flat Sheet 0.22D 25+/-4 Asker C 1.1M 1.47M 5mm</v>
          </cell>
          <cell r="F253">
            <v>41</v>
          </cell>
        </row>
        <row r="254">
          <cell r="B254" t="str">
            <v>F-2025-12-50-1</v>
          </cell>
          <cell r="C254" t="str">
            <v>BDB-000157</v>
          </cell>
          <cell r="D254" t="str">
            <v>PVN-003573</v>
          </cell>
          <cell r="E254" t="str">
            <v>OrthoLite X-35-Hybrid-Nike SEEDPEARL/12-0703TPX Hybrid 0.145D 25+/-4 Asker C 1.1M 2M 4.2mm</v>
          </cell>
          <cell r="F254">
            <v>31</v>
          </cell>
        </row>
        <row r="255">
          <cell r="B255" t="str">
            <v>F-2025-12-507</v>
          </cell>
          <cell r="C255" t="str">
            <v>BDB-000123</v>
          </cell>
          <cell r="D255" t="str">
            <v>PVN-003298</v>
          </cell>
          <cell r="E255" t="str">
            <v>OrthoLite Ultra-Hybrid SEEDPEARL/12-0703TPX Hybrid 0.085D 25+/-4 Asker C 1.1M 2M 4mm</v>
          </cell>
          <cell r="F255">
            <v>108</v>
          </cell>
        </row>
        <row r="256">
          <cell r="B256" t="str">
            <v>F-2025-12-509</v>
          </cell>
          <cell r="C256" t="str">
            <v>BDB-000123</v>
          </cell>
          <cell r="D256" t="str">
            <v>PVN-003298</v>
          </cell>
          <cell r="E256" t="str">
            <v>OrthoLite Ultra-Hybrid SEEDPEARL/12-0703TPX Hybrid 0.085D 25+/-4 Asker C 1.1M 2M 4mm</v>
          </cell>
          <cell r="F256">
            <v>37</v>
          </cell>
        </row>
        <row r="257">
          <cell r="B257" t="str">
            <v>F-2025-12-51</v>
          </cell>
          <cell r="C257" t="str">
            <v>BDB-000157</v>
          </cell>
          <cell r="D257" t="str">
            <v>PVN-003573</v>
          </cell>
          <cell r="E257" t="str">
            <v>OrthoLite X-35-Hybrid-Nike SEEDPEARL/12-0703TPX Hybrid 0.145D 25+/-4 Asker C 1.1M 2M 4.2mm</v>
          </cell>
          <cell r="F257">
            <v>38</v>
          </cell>
        </row>
        <row r="258">
          <cell r="B258" t="str">
            <v>F-2025-12-518</v>
          </cell>
          <cell r="C258" t="str">
            <v>BDB-000123</v>
          </cell>
          <cell r="D258" t="str">
            <v>PVN-003299</v>
          </cell>
          <cell r="E258" t="str">
            <v>OrthoLite Ultra-Hybrid SEEDPEARL/12-0703TPX Hybrid 0.085D 25+/-4 Asker C 1.1M 2M 3mm</v>
          </cell>
          <cell r="F258">
            <v>153</v>
          </cell>
        </row>
        <row r="259">
          <cell r="B259" t="str">
            <v>F-2025-12-546</v>
          </cell>
          <cell r="C259" t="str">
            <v>BDB-000117</v>
          </cell>
          <cell r="D259" t="str">
            <v>PVN-003596</v>
          </cell>
          <cell r="E259" t="str">
            <v>OrthoLite X-35-Hybrid SEEDPEARL/12-0703TPX Hybrid Flat Sheet 0.145D 25+/-4 Asker C 1.1M 2M 3mm</v>
          </cell>
          <cell r="F259">
            <v>3</v>
          </cell>
        </row>
        <row r="260">
          <cell r="B260" t="str">
            <v>F-2025-12-56-2</v>
          </cell>
          <cell r="C260" t="str">
            <v>BDB-000011</v>
          </cell>
          <cell r="D260" t="str">
            <v>PVN-000258</v>
          </cell>
          <cell r="E260" t="str">
            <v>OrthoLite Regular AIR BLUE/16-4134TPX Flat Sheet 0.13D 35+/-4 Asker C 1.1M 2M 2.5mm</v>
          </cell>
          <cell r="F260">
            <v>2</v>
          </cell>
        </row>
        <row r="261">
          <cell r="B261" t="str">
            <v>F-2025-12-583</v>
          </cell>
          <cell r="C261" t="str">
            <v>BDB-000164</v>
          </cell>
          <cell r="D261" t="str">
            <v>PVN-001618</v>
          </cell>
          <cell r="E261" t="str">
            <v>OrthoLite Ultra-Nike GREY/17-1501TPX Flat Sheet 0.085D 25+/-4 Asker C 1.1M 2M 4mm</v>
          </cell>
          <cell r="F261">
            <v>1</v>
          </cell>
        </row>
        <row r="262">
          <cell r="B262" t="str">
            <v>F-2025-12-586</v>
          </cell>
          <cell r="C262" t="str">
            <v>BDB-000213</v>
          </cell>
          <cell r="D262" t="str">
            <v>PVN-003752</v>
          </cell>
          <cell r="E262" t="str">
            <v>OrthoLite X-25-Hybrid SEEDPEARL/12-0703TPX Hybrid Flat Sheet 0.12D 20+/-4 Asker C 1.1M 1.47M 4.5mm</v>
          </cell>
          <cell r="F262">
            <v>5</v>
          </cell>
        </row>
        <row r="263">
          <cell r="B263" t="str">
            <v>F-2025-12-587</v>
          </cell>
          <cell r="C263" t="str">
            <v>BDB-000212</v>
          </cell>
          <cell r="D263" t="str">
            <v>PVN-003458</v>
          </cell>
          <cell r="E263" t="str">
            <v>OrthoLite X-25-Hybrid SEEDPEARL/12-0703TPX Hybrid Flat Sheet 0.12D 20+/-4 Asker C 1.1M 2M 4mm</v>
          </cell>
          <cell r="F263">
            <v>2</v>
          </cell>
        </row>
        <row r="264">
          <cell r="B264" t="str">
            <v>F-2025-12-601</v>
          </cell>
          <cell r="C264" t="str">
            <v>BDB-000011</v>
          </cell>
          <cell r="D264" t="str">
            <v>PVN-000242</v>
          </cell>
          <cell r="E264" t="str">
            <v>OrthoLite Regular AIR BLUE/16-4134TPX Flat Sheet 0.13D 35+/-4 Asker C 1.1M 2M 2mm</v>
          </cell>
          <cell r="F264">
            <v>36</v>
          </cell>
        </row>
        <row r="265">
          <cell r="B265" t="str">
            <v>F-2025-12-616</v>
          </cell>
          <cell r="C265" t="str">
            <v>BDB-000117</v>
          </cell>
          <cell r="D265" t="str">
            <v>PVN-003234</v>
          </cell>
          <cell r="E265" t="str">
            <v>OrthoLite X-35-Hybrid SEEDPEARL/12-0703TPX Hybrid Flat Sheet 0.145D 25+/-4 Asker C 1.1M 2M 5.5mm</v>
          </cell>
          <cell r="F265">
            <v>1</v>
          </cell>
        </row>
        <row r="266">
          <cell r="B266" t="str">
            <v>F-2025-12-618</v>
          </cell>
          <cell r="C266" t="str">
            <v>BDB-000097</v>
          </cell>
          <cell r="D266" t="str">
            <v>PVN-003671</v>
          </cell>
          <cell r="E266" t="str">
            <v>OrthoLite Eco LT-Hybrid SEEDPEARL/12-0703TPX Hybrid Flat Sheet 0.11D 25+/-4 Asker C 1.1M 2M 13mm</v>
          </cell>
          <cell r="F266">
            <v>65</v>
          </cell>
        </row>
        <row r="267">
          <cell r="B267" t="str">
            <v>F-2025-12-631</v>
          </cell>
          <cell r="C267" t="str">
            <v>BDB-000317</v>
          </cell>
          <cell r="D267" t="str">
            <v>PVN-004076</v>
          </cell>
          <cell r="E267" t="str">
            <v>OrthoLite Regular NEUTRAL GRAY/17-4402TPX Flat Sheet 0.13D 15+/-4 Asker C 1.1M 2M 24mm</v>
          </cell>
          <cell r="F267">
            <v>16</v>
          </cell>
        </row>
        <row r="268">
          <cell r="B268" t="str">
            <v>F-2026-01-01</v>
          </cell>
          <cell r="C268" t="str">
            <v>BDB-000011</v>
          </cell>
          <cell r="D268" t="str">
            <v>PVN-000242</v>
          </cell>
          <cell r="E268" t="str">
            <v>OrthoLite Regular AIR BLUE/16-4134TPX Flat Sheet 0.13D 35+/-4 Asker C 1.1M 2M 2mm</v>
          </cell>
          <cell r="F268">
            <v>2</v>
          </cell>
        </row>
        <row r="269">
          <cell r="B269" t="str">
            <v>F-2026-01-12</v>
          </cell>
          <cell r="C269" t="str">
            <v>BDB-000200</v>
          </cell>
          <cell r="D269" t="str">
            <v>PVN-003418</v>
          </cell>
          <cell r="E269" t="str">
            <v>OrthoLite Ultra SEEDPEARL/12-0703TPX Flat Sheet 0.085D 78-90 Asker F 1.1M 2M 5mm</v>
          </cell>
          <cell r="F269">
            <v>2</v>
          </cell>
        </row>
        <row r="270">
          <cell r="B270" t="str">
            <v>F-2026-01-20</v>
          </cell>
          <cell r="C270" t="str">
            <v>BDB-000317</v>
          </cell>
          <cell r="D270" t="str">
            <v>PVN-004076</v>
          </cell>
          <cell r="E270" t="str">
            <v>OrthoLite Regular NEUTRAL GRAY/17-4402TPX Flat Sheet 0.13D 15+/-4 Asker C 1.1M 2M 24mm</v>
          </cell>
          <cell r="F270">
            <v>9</v>
          </cell>
        </row>
        <row r="271">
          <cell r="B271" t="str">
            <v>F-2026-01-30</v>
          </cell>
          <cell r="C271" t="str">
            <v>BDB-000123</v>
          </cell>
          <cell r="D271" t="str">
            <v>PVN-004024</v>
          </cell>
          <cell r="E271" t="str">
            <v>OrthoLite Ultra-Hybrid SEEDPEARL/12-0703TPX Hybrid Flat Sheet 0.085D 25+/-4 Asker C 1.1M 2M 5.2mm</v>
          </cell>
          <cell r="F271">
            <v>7</v>
          </cell>
        </row>
        <row r="272">
          <cell r="B272" t="str">
            <v>S-2026-01-42</v>
          </cell>
          <cell r="C272" t="str">
            <v>BDB-000123</v>
          </cell>
          <cell r="D272" t="str">
            <v>PVN-003298</v>
          </cell>
          <cell r="E272" t="str">
            <v>OrthoLite Ultra-Hybrid SEEDPEARL/12-0703TPX Hybrid Flat Sheet 0.085D 25+/-4 Asker C 1.1M 2M 4mm</v>
          </cell>
          <cell r="F272">
            <v>12</v>
          </cell>
        </row>
        <row r="273">
          <cell r="B273" t="str">
            <v>S-2026-01-43</v>
          </cell>
          <cell r="C273" t="str">
            <v>BDB-000051</v>
          </cell>
          <cell r="D273" t="str">
            <v>PVN-003323</v>
          </cell>
          <cell r="E273" t="str">
            <v>OrthoLite X-40 TRUE BLUE/19-4057TPX Flat Sheet 0.16D 25+/-4 Asker C 1.1M 1.7M 3mm</v>
          </cell>
          <cell r="F273">
            <v>1</v>
          </cell>
        </row>
        <row r="274">
          <cell r="B274" t="str">
            <v>F-2025-10-223-1</v>
          </cell>
          <cell r="C274" t="str">
            <v>BDB-000162</v>
          </cell>
          <cell r="D274" t="str">
            <v>PVN-001566</v>
          </cell>
          <cell r="E274" t="str">
            <v>OrthoLite Ultra-Nike SEEDPEARL/12-0703TPX 0.085D 25+/-4 Asker C 1.1M 2M 4mm</v>
          </cell>
          <cell r="F274">
            <v>4</v>
          </cell>
        </row>
        <row r="275">
          <cell r="B275" t="str">
            <v>F-2025-10-234</v>
          </cell>
          <cell r="C275" t="str">
            <v>BDB-000160</v>
          </cell>
          <cell r="D275" t="str">
            <v>PVN-001562</v>
          </cell>
          <cell r="E275" t="str">
            <v>OrthoLite Ultra-Nike LIME GREEN/14-0452TPX 0.085D 25+/-4 Asker C 1.1M 2M 4mm</v>
          </cell>
          <cell r="F275">
            <v>72</v>
          </cell>
        </row>
        <row r="276">
          <cell r="B276" t="str">
            <v>F-2025-10-263</v>
          </cell>
          <cell r="C276" t="str">
            <v>BDB-000259</v>
          </cell>
          <cell r="D276" t="str">
            <v>PVN-003684</v>
          </cell>
          <cell r="E276" t="str">
            <v>OrthoLite Nike PP002 GLACIER GRAY/14-4102TPX Flat Sheet 0.145D 25+/-4 asker C 1.1M 2M 4.2mm</v>
          </cell>
          <cell r="F276">
            <v>61</v>
          </cell>
        </row>
        <row r="277">
          <cell r="B277" t="str">
            <v>F-2025-11-332-2</v>
          </cell>
          <cell r="C277" t="str">
            <v>BDB-000113</v>
          </cell>
          <cell r="D277" t="str">
            <v>PVN-003414</v>
          </cell>
          <cell r="E277" t="str">
            <v>OrthoLite Regular-Hybrid SEEDPEARL/12-0703TPX Hybrid Flat Sheet 0.11D 25+/-4 Asker C 1.1M 2M 12mm</v>
          </cell>
          <cell r="F277">
            <v>174</v>
          </cell>
        </row>
        <row r="278">
          <cell r="B278" t="str">
            <v>F-2025-11-336-2</v>
          </cell>
          <cell r="C278" t="str">
            <v>BDB-000234</v>
          </cell>
          <cell r="D278" t="str">
            <v>PVN-003581</v>
          </cell>
          <cell r="E278" t="str">
            <v>OrthoLite X-30-Hybrid BROWN SUGAR/17-1134TPX Hybrid Flat Sheet 0.13D 25+/-4 Asker C 1.1M 2M 12mm</v>
          </cell>
          <cell r="F278">
            <v>44</v>
          </cell>
        </row>
        <row r="279">
          <cell r="B279" t="str">
            <v>F-2025-11-346</v>
          </cell>
          <cell r="C279" t="str">
            <v>BDB-000235</v>
          </cell>
          <cell r="D279" t="str">
            <v>PVN-003576</v>
          </cell>
          <cell r="E279" t="str">
            <v>OrthoLite X-55-Hybrid FOSSIL/17-0909TPX Hybrid Flat Sheet 0.16D 25+/-4 Asker C 1.1M 1.7M 12mm</v>
          </cell>
          <cell r="F279">
            <v>7</v>
          </cell>
        </row>
        <row r="280">
          <cell r="B280" t="str">
            <v>F-2025-12-223</v>
          </cell>
          <cell r="C280" t="str">
            <v>BDB-000097</v>
          </cell>
          <cell r="D280" t="str">
            <v>PVN-002478</v>
          </cell>
          <cell r="E280" t="str">
            <v>OrthoLite Eco LT-Hybrid SEEDPEARL/12-0703TPX Hybrid 0.11D 25+/-4 Asker C 1.1M 2M 4mm</v>
          </cell>
          <cell r="F280">
            <v>52</v>
          </cell>
        </row>
        <row r="281">
          <cell r="B281" t="str">
            <v>F-2025-12-23</v>
          </cell>
          <cell r="C281" t="str">
            <v>BDB-000165</v>
          </cell>
          <cell r="D281" t="str">
            <v>PVN-002053</v>
          </cell>
          <cell r="E281" t="str">
            <v>OrthoLite Ultra-Nike LIME GREEN/14-0452TPX Flat Sheet 0.085D 15+/-4 Asker C 1.1M 2M 5mm</v>
          </cell>
          <cell r="F281">
            <v>36</v>
          </cell>
        </row>
        <row r="282">
          <cell r="B282" t="str">
            <v>F-2025-12-28</v>
          </cell>
          <cell r="C282" t="str">
            <v>BDB-000175</v>
          </cell>
          <cell r="D282" t="str">
            <v>PVN-002966</v>
          </cell>
          <cell r="E282" t="str">
            <v>OrthoLite Ultra-Hybrid-Nike SEEDPEARL/12-0703TPX Hybrid 0.085D 25+/-4 Asker C 1.1M 2M 4mm</v>
          </cell>
          <cell r="F282">
            <v>38</v>
          </cell>
        </row>
        <row r="283">
          <cell r="B283" t="str">
            <v>F-2025-12-32</v>
          </cell>
          <cell r="C283" t="str">
            <v>BDB-000125</v>
          </cell>
          <cell r="D283" t="str">
            <v>PVN-002413</v>
          </cell>
          <cell r="E283" t="str">
            <v>OrthoLite Regular-Nike AIR BLUE/16-4134TPX 0.11D 25+/-4 Asker C 1.1M 2M 4.2mm</v>
          </cell>
          <cell r="F283">
            <v>76</v>
          </cell>
        </row>
        <row r="284">
          <cell r="B284" t="str">
            <v>F-2025-12-330</v>
          </cell>
          <cell r="C284" t="str">
            <v>BDB-000076</v>
          </cell>
          <cell r="D284" t="str">
            <v>PVN-003448</v>
          </cell>
          <cell r="E284" t="str">
            <v>OrthoLite X-25 BILLIARD/16-5427TPX Flat Sheet 0.12D 20+/-4 Asker C 1.1M 2M 6.2mm</v>
          </cell>
          <cell r="F284">
            <v>64</v>
          </cell>
        </row>
        <row r="285">
          <cell r="B285" t="str">
            <v>F-2025-12-342</v>
          </cell>
          <cell r="C285" t="str">
            <v>BDB-000339</v>
          </cell>
          <cell r="D285" t="str">
            <v>PVN-004178</v>
          </cell>
          <cell r="E285" t="str">
            <v>OrthoLite Float NEUTRAL GRAY/17-4402TPX Flat Sheet 0.12D 21+/-4 Asker C 1.1M 2M 5.5mm</v>
          </cell>
          <cell r="F285">
            <v>33</v>
          </cell>
        </row>
        <row r="286">
          <cell r="B286" t="str">
            <v>F-2025-12-36</v>
          </cell>
          <cell r="C286" t="str">
            <v>BDB-000156</v>
          </cell>
          <cell r="D286" t="str">
            <v>PVN-003243</v>
          </cell>
          <cell r="E286" t="str">
            <v>OrthoLite X-35-Hybrid-Nike AMAZON/18-6024TPX Hybrid 0.145D 25+/-4 Asker C 1.1M 2M 5.2mm</v>
          </cell>
          <cell r="F286">
            <v>39</v>
          </cell>
        </row>
        <row r="287">
          <cell r="B287" t="str">
            <v>F-2025-12-365</v>
          </cell>
          <cell r="C287" t="str">
            <v>BDB-000076</v>
          </cell>
          <cell r="D287" t="str">
            <v>PVN-003448</v>
          </cell>
          <cell r="E287" t="str">
            <v>OrthoLite X-25 BILLIARD/16-5427TPX Flat Sheet 0.12D 20+/-4 Asker C 1.1M 2M 6.2mm</v>
          </cell>
          <cell r="F287">
            <v>5</v>
          </cell>
        </row>
        <row r="288">
          <cell r="B288" t="str">
            <v>F-2025-12-37</v>
          </cell>
          <cell r="C288" t="str">
            <v>BDB-000156</v>
          </cell>
          <cell r="D288" t="str">
            <v>PVN-003243</v>
          </cell>
          <cell r="E288" t="str">
            <v>OrthoLite X-35-Hybrid-Nike AMAZON/18-6024TPX Hybrid 0.145D 25+/-4 Asker C 1.1M 2M 5.2mm</v>
          </cell>
          <cell r="F288">
            <v>24</v>
          </cell>
        </row>
        <row r="289">
          <cell r="B289" t="str">
            <v>F-2025-12-385</v>
          </cell>
          <cell r="C289" t="str">
            <v>BDB-000058</v>
          </cell>
          <cell r="D289" t="str">
            <v>PVN-001277</v>
          </cell>
          <cell r="E289" t="str">
            <v>OrthoLite Ultra GREEN/16-5932TPX Flat Sheet 0.085D 25+/-4 Asker C 1.1M 2M 4mm</v>
          </cell>
          <cell r="F289">
            <v>9</v>
          </cell>
        </row>
        <row r="290">
          <cell r="B290" t="str">
            <v>F-2025-12-389</v>
          </cell>
          <cell r="C290" t="str">
            <v>BDB-000348</v>
          </cell>
          <cell r="D290" t="str">
            <v>PVN-004210</v>
          </cell>
          <cell r="E290" t="str">
            <v>OrthoLite IMPERIAL SEEDPEARL/12-0703TPX Flat Sheet 0.22D 25+/-4 Asker C 1.1M 1.47M 5mm</v>
          </cell>
          <cell r="F290">
            <v>3</v>
          </cell>
        </row>
        <row r="291">
          <cell r="B291" t="str">
            <v>F-2025-12-42</v>
          </cell>
          <cell r="C291" t="str">
            <v>BDB-000175</v>
          </cell>
          <cell r="D291" t="str">
            <v>PVN-002875</v>
          </cell>
          <cell r="E291" t="str">
            <v>OrthoLite Ultra-Hybrid-Nike SEEDPEARL/12-0703TPX Hybrid 0.085D 25+/-4 Asker C 1.1M 2M 3mm</v>
          </cell>
          <cell r="F291">
            <v>22</v>
          </cell>
        </row>
        <row r="292">
          <cell r="B292" t="str">
            <v>F-2025-12-431</v>
          </cell>
          <cell r="C292" t="str">
            <v>BDB-000058</v>
          </cell>
          <cell r="D292" t="str">
            <v>PVN-001277</v>
          </cell>
          <cell r="E292" t="str">
            <v>OrthoLite Ultra GREEN/16-5932TPX Flat Sheet 0.085D 25+/-4 Asker C 1.1M 2M 4mm</v>
          </cell>
          <cell r="F292">
            <v>3</v>
          </cell>
        </row>
        <row r="293">
          <cell r="B293" t="str">
            <v>F-2025-12-435</v>
          </cell>
          <cell r="C293" t="str">
            <v>BDB-000154</v>
          </cell>
          <cell r="D293" t="str">
            <v>PVN-003347</v>
          </cell>
          <cell r="E293" t="str">
            <v>OrthoLite X-40-Nike TRUE BLUE/19-4057TPX Flat Sheet 0.16D 35+/-4 Asker C 1.1M 1.7M 4mm</v>
          </cell>
          <cell r="F293">
            <v>20</v>
          </cell>
        </row>
        <row r="294">
          <cell r="B294" t="str">
            <v>F-2025-12-439</v>
          </cell>
          <cell r="C294" t="str">
            <v>BDB-000209</v>
          </cell>
          <cell r="D294" t="str">
            <v>PVN-003537</v>
          </cell>
          <cell r="E294" t="str">
            <v>OrthoLite HybridPlus-Recycled MINT GREEN/11-4805TPX Hybrid Flat Sheet 0.12D 25+/-4 Asker C 1.1M 2M 4.5mm</v>
          </cell>
          <cell r="F294">
            <v>5</v>
          </cell>
        </row>
        <row r="295">
          <cell r="B295" t="str">
            <v>F-2025-12-440</v>
          </cell>
          <cell r="C295" t="str">
            <v>BDB-000076</v>
          </cell>
          <cell r="D295" t="str">
            <v>PVN-003448</v>
          </cell>
          <cell r="E295" t="str">
            <v>OrthoLite X-25 BILLIARD/16-5427TPX Flat Sheet 0.12D 20+/-4 Asker C 1.1M 2M 6.2mm</v>
          </cell>
          <cell r="F295">
            <v>29</v>
          </cell>
        </row>
        <row r="296">
          <cell r="B296" t="str">
            <v>F-2025-12-449</v>
          </cell>
          <cell r="C296" t="str">
            <v>BDB-000348</v>
          </cell>
          <cell r="D296" t="str">
            <v>PVN-004195</v>
          </cell>
          <cell r="E296" t="str">
            <v>OrthoLite IMPERIAL SEEDPEARL/12-0703TPX Flat Sheet 0.22D 25+/-4 Asker C 1.1M 1.47M 4mm</v>
          </cell>
          <cell r="F296">
            <v>47</v>
          </cell>
        </row>
        <row r="297">
          <cell r="B297" t="str">
            <v>F-2025-12-457</v>
          </cell>
          <cell r="C297" t="str">
            <v>BDB-000123</v>
          </cell>
          <cell r="D297" t="str">
            <v>PVN-003299</v>
          </cell>
          <cell r="E297" t="str">
            <v>OrthoLite Ultra-Hybrid SEEDPEARL/12-0703TPX Hybrid 0.085D 25+/-4 Asker C 1.1M 2M 3mm</v>
          </cell>
          <cell r="F297">
            <v>13</v>
          </cell>
        </row>
        <row r="298">
          <cell r="B298" t="str">
            <v>F-2025-12-465</v>
          </cell>
          <cell r="C298" t="str">
            <v>BDB-000149</v>
          </cell>
          <cell r="D298" t="str">
            <v>PVN-002827</v>
          </cell>
          <cell r="E298" t="str">
            <v>OrthoLite Regular-Hybrid-Nike SEEDPEARL/12-0703TPX Hybrid Flat Sheet 0.11D 25+/-4 Asker C 1.1M 2M 5mm</v>
          </cell>
          <cell r="F298">
            <v>1</v>
          </cell>
        </row>
        <row r="299">
          <cell r="B299" t="str">
            <v>F-2025-12-470</v>
          </cell>
          <cell r="C299" t="str">
            <v>BDB-000076</v>
          </cell>
          <cell r="D299" t="str">
            <v>PVN-003448</v>
          </cell>
          <cell r="E299" t="str">
            <v>OrthoLite X-25 BILLIARD/16-5427TPX Flat Sheet 0.12D 20+/-4 Asker C 1.1M 2M 6.2mm</v>
          </cell>
          <cell r="F299">
            <v>32</v>
          </cell>
        </row>
        <row r="300">
          <cell r="B300" t="str">
            <v>F-2025-12-473</v>
          </cell>
          <cell r="C300" t="str">
            <v>BDB-000149</v>
          </cell>
          <cell r="D300" t="str">
            <v>PVN-002773</v>
          </cell>
          <cell r="E300" t="str">
            <v>OrthoLite Regular-Hybrid-Nike SEEDPEARL/12-0703TPX Hybrid Flat Sheet 0.11D 25+/-4 Asker C 1.1M 2M 4mm</v>
          </cell>
          <cell r="F300">
            <v>3</v>
          </cell>
        </row>
        <row r="301">
          <cell r="B301" t="str">
            <v>F-2025-12-476</v>
          </cell>
          <cell r="C301" t="str">
            <v>BDB-000332</v>
          </cell>
          <cell r="D301" t="str">
            <v>PVN-004146</v>
          </cell>
          <cell r="E301" t="str">
            <v>OrthoLite X-25 CASTLEROCK/18-0201TPX Flat Sheet 0.12D 20+/-4 Asker C 1.1M 2M 5.5mm</v>
          </cell>
          <cell r="F301">
            <v>16</v>
          </cell>
        </row>
        <row r="302">
          <cell r="B302" t="str">
            <v>F-2025-12-481</v>
          </cell>
          <cell r="C302" t="str">
            <v>BDB-000339</v>
          </cell>
          <cell r="D302" t="str">
            <v>PVN-004223</v>
          </cell>
          <cell r="E302" t="str">
            <v>OrthoLite Float NEUTRAL GRAY/17-4402TPX Flat Sheet 0.12D 21+/-4 Asker C 1.1M 2M 5mm</v>
          </cell>
          <cell r="F302">
            <v>9</v>
          </cell>
        </row>
        <row r="303">
          <cell r="B303" t="str">
            <v>F-2025-12-487</v>
          </cell>
          <cell r="C303" t="str">
            <v>BDB-000154</v>
          </cell>
          <cell r="D303" t="str">
            <v>PVN-003347</v>
          </cell>
          <cell r="E303" t="str">
            <v>OrthoLite X-40-Nike TRUE BLUE/19-4057TPX Flat Sheet 0.16D 35+/-4 Asker C 1.1M 1.7M 4mm</v>
          </cell>
          <cell r="F303">
            <v>38</v>
          </cell>
        </row>
        <row r="304">
          <cell r="B304" t="str">
            <v>F-2025-12-502</v>
          </cell>
          <cell r="C304" t="str">
            <v>BDB-000175</v>
          </cell>
          <cell r="D304" t="str">
            <v>PVN-003018</v>
          </cell>
          <cell r="E304" t="str">
            <v>OrthoLite Ultra-Hybrid-Nike SEEDPEARL/12-0703TPX Hybrid Flat Sheet 0.085D 25+/-4 Asker C 1.1M 2M 2mm</v>
          </cell>
          <cell r="F304">
            <v>2</v>
          </cell>
        </row>
        <row r="305">
          <cell r="B305" t="str">
            <v>F-2025-12-515</v>
          </cell>
          <cell r="C305" t="str">
            <v>BDB-000123</v>
          </cell>
          <cell r="D305" t="str">
            <v>PVN-003299</v>
          </cell>
          <cell r="E305" t="str">
            <v>OrthoLite Ultra-Hybrid SEEDPEARL/12-0703TPX Hybrid 0.085D 25+/-4 Asker C 1.1M 2M 3mm</v>
          </cell>
          <cell r="F305">
            <v>12</v>
          </cell>
        </row>
        <row r="306">
          <cell r="B306" t="str">
            <v>F-2025-12-516</v>
          </cell>
          <cell r="C306" t="str">
            <v>BDB-000123</v>
          </cell>
          <cell r="D306" t="str">
            <v>PVN-003299</v>
          </cell>
          <cell r="E306" t="str">
            <v>OrthoLite Ultra-Hybrid SEEDPEARL/12-0703TPX Hybrid 0.085D 25+/-4 Asker C 1.1M 2M 3mm</v>
          </cell>
          <cell r="F306">
            <v>19</v>
          </cell>
        </row>
        <row r="307">
          <cell r="B307" t="str">
            <v>F-2025-12-53-1</v>
          </cell>
          <cell r="C307" t="str">
            <v>BDB-000129</v>
          </cell>
          <cell r="D307" t="str">
            <v>PVN-001550</v>
          </cell>
          <cell r="E307" t="str">
            <v>OrthoLite Regular-Nike AIR BLUE/16-4134TPX 0.11D 25+/-4 Asker C 1.1M 1.7M 2mm</v>
          </cell>
          <cell r="F307">
            <v>29</v>
          </cell>
        </row>
        <row r="308">
          <cell r="B308" t="str">
            <v>F-2025-12-543</v>
          </cell>
          <cell r="C308" t="str">
            <v>BDB-000348</v>
          </cell>
          <cell r="D308" t="str">
            <v>PVN-004195</v>
          </cell>
          <cell r="E308" t="str">
            <v>OrthoLite IMPERIAL SEEDPEARL/12-0703TPX Flat Sheet 0.22D 25+/-4 Asker C 1.1M 1.47M 4mm</v>
          </cell>
          <cell r="F308">
            <v>1</v>
          </cell>
        </row>
        <row r="309">
          <cell r="B309" t="str">
            <v>F-2025-12-566</v>
          </cell>
          <cell r="C309" t="str">
            <v>BDB-000105</v>
          </cell>
          <cell r="D309" t="str">
            <v>PVN-003127</v>
          </cell>
          <cell r="E309" t="str">
            <v>OrthoLite Eco LT-Hybrid AIR BLUE/16-4134TPX Hybrid Flat Sheet 0.13D 35+/-4 Asker C 1.1M 2M 3mm</v>
          </cell>
          <cell r="F309">
            <v>2</v>
          </cell>
        </row>
        <row r="310">
          <cell r="B310" t="str">
            <v>F-2025-12-592</v>
          </cell>
          <cell r="C310" t="str">
            <v>BDB-000113</v>
          </cell>
          <cell r="D310" t="str">
            <v>PVN-002699</v>
          </cell>
          <cell r="E310" t="str">
            <v>OrthoLite Regular-Hybrid SEEDPEARL/12-0703TPX Hybrid Flat Sheet 0.11D 25+/-4 Asker C 1.1M 2M 4.5mm</v>
          </cell>
          <cell r="F310">
            <v>4</v>
          </cell>
        </row>
        <row r="311">
          <cell r="B311" t="str">
            <v>F-2025-12-604</v>
          </cell>
          <cell r="C311" t="str">
            <v>BDB-000154</v>
          </cell>
          <cell r="D311" t="str">
            <v>PVN-003347</v>
          </cell>
          <cell r="E311" t="str">
            <v>OrthoLite X-40-Nike TRUE BLUE/19-4057TPX Flat Sheet 0.16D 35+/-4 Asker C 1.1M 1.7M 4mm</v>
          </cell>
          <cell r="F311">
            <v>8</v>
          </cell>
        </row>
        <row r="312">
          <cell r="B312" t="str">
            <v>F-2025-12-606</v>
          </cell>
          <cell r="C312" t="str">
            <v>BDB-000305</v>
          </cell>
          <cell r="D312" t="str">
            <v>PVN-004000</v>
          </cell>
          <cell r="E312" t="str">
            <v>OrthoLite X-35-Nike YELLOW/13-0858TPX Flat Sheet 0.145D 25+/-4 Asker C 1.1M 2M 5.5mm</v>
          </cell>
          <cell r="F312">
            <v>9</v>
          </cell>
        </row>
        <row r="313">
          <cell r="B313" t="str">
            <v>F-2025-12-631</v>
          </cell>
          <cell r="C313" t="str">
            <v>BDB-000317</v>
          </cell>
          <cell r="D313" t="str">
            <v>PVN-004076</v>
          </cell>
          <cell r="E313" t="str">
            <v>OrthoLite Regular NEUTRAL GRAY/17-4402TPX Flat Sheet 0.13D 15+/-4 Asker C 1.1M 2M 24mm</v>
          </cell>
          <cell r="F313">
            <v>20</v>
          </cell>
        </row>
        <row r="314">
          <cell r="B314" t="str">
            <v>F-2025-12-632</v>
          </cell>
          <cell r="C314" t="str">
            <v>BDB-000325</v>
          </cell>
          <cell r="D314" t="str">
            <v>PVN-004115</v>
          </cell>
          <cell r="E314" t="str">
            <v>OrthoLite X-40 TRUE BLUE/19-4057TPX Flat Sheet 0.16D 35+/-4 Asker C 1.1M 2M 4mm</v>
          </cell>
          <cell r="F314">
            <v>10</v>
          </cell>
        </row>
        <row r="315">
          <cell r="B315" t="str">
            <v>F-2025-12-636</v>
          </cell>
          <cell r="C315" t="str">
            <v>BDB-000313</v>
          </cell>
          <cell r="D315" t="str">
            <v>PVN-004061</v>
          </cell>
          <cell r="E315" t="str">
            <v>OrthoLite X-55 RED/19-1764TPX Flat Sheet 0.16D 25+/-4 Asker C 1.1M 1.47M 18mm</v>
          </cell>
          <cell r="F315">
            <v>50</v>
          </cell>
        </row>
        <row r="316">
          <cell r="B316" t="str">
            <v>F-2026-01-21</v>
          </cell>
          <cell r="C316" t="str">
            <v>BDB-000325</v>
          </cell>
          <cell r="D316" t="str">
            <v>PVN-004115</v>
          </cell>
          <cell r="E316" t="str">
            <v>OrthoLite X-40 TRUE BLUE/19-4057TPX Flat Sheet 0.16D 35+/-4 Asker C 1.1M 2M 4mm</v>
          </cell>
          <cell r="F316">
            <v>2</v>
          </cell>
        </row>
        <row r="317">
          <cell r="B317" t="str">
            <v>F-2026-01-26</v>
          </cell>
          <cell r="C317" t="str">
            <v>BDB-000125</v>
          </cell>
          <cell r="D317" t="str">
            <v>PVN-001412</v>
          </cell>
          <cell r="E317" t="str">
            <v>OrthoLite Regular-Nike AIR BLUE/16-4134TPX Flat Sheet 0.11D 25+/-4 Asker C 1.1M 2M 5mm</v>
          </cell>
          <cell r="F317">
            <v>12</v>
          </cell>
        </row>
        <row r="318">
          <cell r="B318" t="str">
            <v>F-2026-01-29</v>
          </cell>
          <cell r="C318" t="str">
            <v>BDB-000026</v>
          </cell>
          <cell r="D318" t="str">
            <v>PVN-000369</v>
          </cell>
          <cell r="E318" t="str">
            <v>OrthoLite Regular YELLOW/13-0858TPX Flat Sheet 0.13D 35+/-4 Asker C 1.1M 2M 2mm</v>
          </cell>
          <cell r="F318">
            <v>3</v>
          </cell>
        </row>
        <row r="319">
          <cell r="B319" t="str">
            <v>F-2026-01-37</v>
          </cell>
          <cell r="C319" t="str">
            <v>BDB-000076</v>
          </cell>
          <cell r="D319" t="str">
            <v>PVN-003341</v>
          </cell>
          <cell r="E319" t="str">
            <v>OrthoLite X-25 BILLIARD/16-5427TPX Flat Sheet 0.12D 20+/-4 Asker C 1.1M 2M 6mm</v>
          </cell>
          <cell r="F319">
            <v>4</v>
          </cell>
        </row>
        <row r="320">
          <cell r="B320" t="str">
            <v>F-2025-10-234</v>
          </cell>
          <cell r="C320" t="str">
            <v>BDB-000160</v>
          </cell>
          <cell r="D320" t="str">
            <v>PVN-001562</v>
          </cell>
          <cell r="E320" t="str">
            <v>OrthoLite Ultra-Nike LIME GREEN/14-0452TPX 0.085D 25+/-4 Asker C 1.1M 2M 4mm</v>
          </cell>
          <cell r="F320">
            <v>7</v>
          </cell>
        </row>
        <row r="321">
          <cell r="B321" t="str">
            <v>F-2025-10-240</v>
          </cell>
          <cell r="C321" t="str">
            <v>BDB-000125</v>
          </cell>
          <cell r="D321" t="str">
            <v>PVN-002413</v>
          </cell>
          <cell r="E321" t="str">
            <v>OrthoLite Regular-Nike AIR BLUE/16-4134TPX 0.11D 25+/-4 Asker C 1.1M 2M 4.2mm</v>
          </cell>
          <cell r="F321">
            <v>26</v>
          </cell>
        </row>
        <row r="322">
          <cell r="B322" t="str">
            <v>F-2025-10-249</v>
          </cell>
          <cell r="C322" t="str">
            <v>BDB-000161</v>
          </cell>
          <cell r="D322" t="str">
            <v>PVN-001560</v>
          </cell>
          <cell r="E322" t="str">
            <v>OrthoLite Ultra-Nike FOSSIL/17-0909TPX 0.085D 25+/-4 Asker C 1.1M 2M 4mm</v>
          </cell>
          <cell r="F322">
            <v>29</v>
          </cell>
        </row>
        <row r="323">
          <cell r="B323" t="str">
            <v>F-2025-11-332-2</v>
          </cell>
          <cell r="C323" t="str">
            <v>BDB-000113</v>
          </cell>
          <cell r="D323" t="str">
            <v>PVN-003414</v>
          </cell>
          <cell r="E323" t="str">
            <v>OrthoLite Regular-Hybrid SEEDPEARL/12-0703TPX Hybrid Flat Sheet 0.11D 25+/-4 Asker C 1.1M 2M 12mm</v>
          </cell>
          <cell r="F323">
            <v>25</v>
          </cell>
        </row>
        <row r="324">
          <cell r="B324" t="str">
            <v>F-2025-11-344</v>
          </cell>
          <cell r="C324" t="str">
            <v>BDB-000113</v>
          </cell>
          <cell r="D324" t="str">
            <v>PVN-002465</v>
          </cell>
          <cell r="E324" t="str">
            <v>OrthoLite Regular-Hybrid SEEDPEARL/12-0703TPX Hybrid Flat Sheet 0.11D 25+/-4 Asker C 1.1M 2M 5mm</v>
          </cell>
          <cell r="F324">
            <v>25</v>
          </cell>
        </row>
        <row r="325">
          <cell r="B325" t="str">
            <v>F-2025-11-346</v>
          </cell>
          <cell r="C325" t="str">
            <v>BDB-000235</v>
          </cell>
          <cell r="D325" t="str">
            <v>PVN-003576</v>
          </cell>
          <cell r="E325" t="str">
            <v>OrthoLite X-55-Hybrid FOSSIL/17-0909TPX Hybrid Flat Sheet 0.16D 25+/-4 Asker C 1.1M 1.7M 12mm</v>
          </cell>
          <cell r="F325">
            <v>77</v>
          </cell>
        </row>
        <row r="326">
          <cell r="B326" t="str">
            <v>F-2025-12-229-2</v>
          </cell>
          <cell r="C326" t="str">
            <v>BDB-000217</v>
          </cell>
          <cell r="D326" t="str">
            <v>PVN-003539</v>
          </cell>
          <cell r="E326" t="str">
            <v>OrthoLite X-40-Hybrid SEEDPEARL/12-0703TPX Hybrid Flat Sheet 0.16D 35+/-4 Asker C 1.1M 1.7M 6.2mm</v>
          </cell>
          <cell r="F326">
            <v>78</v>
          </cell>
        </row>
        <row r="327">
          <cell r="B327" t="str">
            <v>F-2025-12-314</v>
          </cell>
          <cell r="C327" t="str">
            <v>BDB-000347</v>
          </cell>
          <cell r="D327" t="str">
            <v>PVN-004192</v>
          </cell>
          <cell r="E327" t="str">
            <v>OrthoLite X-55-Hybrid SEEDPEARL/12-0703TPX Hybrid 0.16D 25+/-4 Asker C 1.1M 2M 12mm</v>
          </cell>
          <cell r="F327">
            <v>34</v>
          </cell>
        </row>
        <row r="328">
          <cell r="B328" t="str">
            <v>F-2025-12-416</v>
          </cell>
          <cell r="C328" t="str">
            <v>BDB-000175</v>
          </cell>
          <cell r="D328" t="str">
            <v>PVN-002875</v>
          </cell>
          <cell r="E328" t="str">
            <v>OrthoLite Ultra-Hybrid-Nike SEEDPEARL/12-0703TPX Hybrid 0.085D 25+/-4 Asker C 1.1M 2M 3mm</v>
          </cell>
          <cell r="F328">
            <v>24</v>
          </cell>
        </row>
        <row r="329">
          <cell r="B329" t="str">
            <v>F-2025-12-425</v>
          </cell>
          <cell r="C329" t="str">
            <v>BDB-000339</v>
          </cell>
          <cell r="D329" t="str">
            <v>PVN-004178</v>
          </cell>
          <cell r="E329" t="str">
            <v>OrthoLite Float NEUTRAL GRAY/17-4402TPX Flat Sheet 0.12D 21+/-4 Asker C 1.1M 2M 5.5mm</v>
          </cell>
          <cell r="F329">
            <v>20</v>
          </cell>
        </row>
        <row r="330">
          <cell r="B330" t="str">
            <v>F-2025-12-454-1</v>
          </cell>
          <cell r="C330" t="str">
            <v>BDB-000058</v>
          </cell>
          <cell r="D330" t="str">
            <v>PVN-001319</v>
          </cell>
          <cell r="E330" t="str">
            <v>OrthoLite Ultra GREEN/16-5932TPX 0.085D 25+/-4 Asker C 1.1M 2M 5mm</v>
          </cell>
          <cell r="F330">
            <v>71</v>
          </cell>
        </row>
        <row r="331">
          <cell r="B331" t="str">
            <v>F-2025-12-469</v>
          </cell>
          <cell r="C331" t="str">
            <v>BDB-000076</v>
          </cell>
          <cell r="D331" t="str">
            <v>PVN-003745</v>
          </cell>
          <cell r="E331" t="str">
            <v>OrthoLite X-25 BILLIARD/16-5427TPX Flat Sheet 0.12D 20+/-4 Asker C 1.1M 2M 16mm</v>
          </cell>
          <cell r="F331">
            <v>26</v>
          </cell>
        </row>
        <row r="332">
          <cell r="B332" t="str">
            <v>F-2025-12-475</v>
          </cell>
          <cell r="C332" t="str">
            <v>BDB-000077</v>
          </cell>
          <cell r="D332" t="str">
            <v>PVN-004147</v>
          </cell>
          <cell r="E332" t="str">
            <v>OrthoLite X-25 SEEDPEARL/12-0703TPX Flat Sheet 0.12D 20+/-4 Asker C 1.1M 2M 5.5mm</v>
          </cell>
          <cell r="F332">
            <v>9</v>
          </cell>
        </row>
        <row r="333">
          <cell r="B333" t="str">
            <v>F-2025-12-485-2</v>
          </cell>
          <cell r="C333" t="str">
            <v>BDB-000067</v>
          </cell>
          <cell r="D333" t="str">
            <v>PVN-001415</v>
          </cell>
          <cell r="E333" t="str">
            <v>OrthoLite Ultra SEEDPEARL/12-0703TPX Flat Sheet 0.085D 25+/-4 Asker C 1.1M 2M 4mm</v>
          </cell>
          <cell r="F333">
            <v>9</v>
          </cell>
        </row>
        <row r="334">
          <cell r="B334" t="str">
            <v>F-2025-12-489</v>
          </cell>
          <cell r="C334" t="str">
            <v>BDB-000157</v>
          </cell>
          <cell r="D334" t="str">
            <v>PVN-003642</v>
          </cell>
          <cell r="E334" t="str">
            <v>OrthoLite X-35-Hybrid-Nike SEEDPEARL/12-0703TPX Hybrid Flat Sheet 0.145D 25+/-4 Asker C 1.1M 2M 6.2mm</v>
          </cell>
          <cell r="F334">
            <v>1</v>
          </cell>
        </row>
        <row r="335">
          <cell r="B335" t="str">
            <v>F-2025-12-492</v>
          </cell>
          <cell r="C335" t="str">
            <v>BDB-000149</v>
          </cell>
          <cell r="D335" t="str">
            <v>PVN-002773</v>
          </cell>
          <cell r="E335" t="str">
            <v>OrthoLite Regular-Hybrid-Nike SEEDPEARL/12-0703TPX Hybrid Flat Sheet 0.11D 25+/-4 Asker C 1.1M 2M 4mm</v>
          </cell>
          <cell r="F335">
            <v>11</v>
          </cell>
        </row>
        <row r="336">
          <cell r="B336" t="str">
            <v>F-2025-12-495</v>
          </cell>
          <cell r="C336" t="str">
            <v>BDB-000164</v>
          </cell>
          <cell r="D336" t="str">
            <v>PVN-001618</v>
          </cell>
          <cell r="E336" t="str">
            <v>OrthoLite Ultra-Nike GREY/17-1501TPX Flat Sheet 0.085D 25+/-4 Asker C 1.1M 2M 4mm</v>
          </cell>
          <cell r="F336">
            <v>7</v>
          </cell>
        </row>
        <row r="337">
          <cell r="B337" t="str">
            <v>F-2025-12-504</v>
          </cell>
          <cell r="C337" t="str">
            <v>BDB-000083</v>
          </cell>
          <cell r="D337" t="str">
            <v>PVN-000930</v>
          </cell>
          <cell r="E337" t="str">
            <v>OrthoLite Eco LT 300C(ADIDAS BLUEBIRD) Flat Sheet 0.11D 25+/-4 Asker C 1.1M 2M 3mm</v>
          </cell>
          <cell r="F337">
            <v>12</v>
          </cell>
        </row>
        <row r="338">
          <cell r="B338" t="str">
            <v>F-2025-12-507</v>
          </cell>
          <cell r="C338" t="str">
            <v>BDB-000123</v>
          </cell>
          <cell r="D338" t="str">
            <v>PVN-003298</v>
          </cell>
          <cell r="E338" t="str">
            <v>OrthoLite Ultra-Hybrid SEEDPEARL/12-0703TPX Hybrid 0.085D 25+/-4 Asker C 1.1M 2M 4mm</v>
          </cell>
          <cell r="F338">
            <v>92</v>
          </cell>
        </row>
        <row r="339">
          <cell r="B339" t="str">
            <v>F-2025-12-508</v>
          </cell>
          <cell r="C339" t="str">
            <v>BDB-000123</v>
          </cell>
          <cell r="D339" t="str">
            <v>PVN-003298</v>
          </cell>
          <cell r="E339" t="str">
            <v>OrthoLite Ultra-Hybrid SEEDPEARL/12-0703TPX Hybrid 0.085D 25+/-4 Asker C 1.1M 2M 4mm</v>
          </cell>
          <cell r="F339">
            <v>93</v>
          </cell>
        </row>
        <row r="340">
          <cell r="B340" t="str">
            <v>F-2025-12-519</v>
          </cell>
          <cell r="C340" t="str">
            <v>BDB-000123</v>
          </cell>
          <cell r="D340" t="str">
            <v>PVN-003299</v>
          </cell>
          <cell r="E340" t="str">
            <v>OrthoLite Ultra-Hybrid SEEDPEARL/12-0703TPX Hybrid 0.085D 25+/-4 Asker C 1.1M 2M 3mm</v>
          </cell>
          <cell r="F340">
            <v>153</v>
          </cell>
        </row>
        <row r="341">
          <cell r="B341" t="str">
            <v>F-2025-12-540</v>
          </cell>
          <cell r="C341" t="str">
            <v>BDB-000348</v>
          </cell>
          <cell r="D341" t="str">
            <v>PVN-004195</v>
          </cell>
          <cell r="E341" t="str">
            <v>OrthoLite IMPERIAL SEEDPEARL/12-0703TPX Flat Sheet 0.22D 25+/-4 Asker C 1.1M 1.47M 4mm</v>
          </cell>
          <cell r="F341">
            <v>29</v>
          </cell>
        </row>
        <row r="342">
          <cell r="B342" t="str">
            <v>F-2025-12-541</v>
          </cell>
          <cell r="C342" t="str">
            <v>BDB-000348</v>
          </cell>
          <cell r="D342" t="str">
            <v>PVN-004195</v>
          </cell>
          <cell r="E342" t="str">
            <v>OrthoLite IMPERIAL SEEDPEARL/12-0703TPX Flat Sheet 0.22D 25+/-4 Asker C 1.1M 1.47M 4mm</v>
          </cell>
          <cell r="F342">
            <v>29</v>
          </cell>
        </row>
        <row r="343">
          <cell r="B343" t="str">
            <v>F-2025-12-548</v>
          </cell>
          <cell r="C343" t="str">
            <v>BDB-000067</v>
          </cell>
          <cell r="D343" t="str">
            <v>PVN-001394</v>
          </cell>
          <cell r="E343" t="str">
            <v>OrthoLite Ultra SEEDPEARL/12-0703TPX Flat Sheet 0.085D 25+/-4 Asker C 1.1M 2M 5mm</v>
          </cell>
          <cell r="F343">
            <v>6</v>
          </cell>
        </row>
        <row r="344">
          <cell r="B344" t="str">
            <v>F-2025-12-555</v>
          </cell>
          <cell r="C344" t="str">
            <v>BDB-000077</v>
          </cell>
          <cell r="D344" t="str">
            <v>PVN-004147</v>
          </cell>
          <cell r="E344" t="str">
            <v>OrthoLite X-25 SEEDPEARL/12-0703TPX Flat Sheet 0.12D 20+/-4 Asker C 1.1M 2M 5.5mm</v>
          </cell>
          <cell r="F344">
            <v>14</v>
          </cell>
        </row>
        <row r="345">
          <cell r="B345" t="str">
            <v>F-2025-12-576</v>
          </cell>
          <cell r="C345" t="str">
            <v>BDB-000175</v>
          </cell>
          <cell r="D345" t="str">
            <v>PVN-002876</v>
          </cell>
          <cell r="E345" t="str">
            <v>OrthoLite Ultra-Hybrid-Nike SEEDPEARL/12-0703TPX Hybrid Flat Sheet 0.085D 25+/-4 Asker C 1.1M 2M 5mm</v>
          </cell>
          <cell r="F345">
            <v>1</v>
          </cell>
        </row>
        <row r="346">
          <cell r="B346" t="str">
            <v>F-2025-12-589</v>
          </cell>
          <cell r="C346" t="str">
            <v>BDB-000039</v>
          </cell>
          <cell r="D346" t="str">
            <v>PVN-002019</v>
          </cell>
          <cell r="E346" t="str">
            <v>OrthoLite Regular NEUTRAL GRAY/17-4402TPX Flat Sheet 0.11D 25+/-4 Asker C 1.1M 2M 13mm</v>
          </cell>
          <cell r="F346">
            <v>47</v>
          </cell>
        </row>
        <row r="347">
          <cell r="B347" t="str">
            <v>F-2025-12-590</v>
          </cell>
          <cell r="C347" t="str">
            <v>BDB-000318</v>
          </cell>
          <cell r="D347" t="str">
            <v>PVN-004077</v>
          </cell>
          <cell r="E347" t="str">
            <v>OrthoLite X-55 RED/19-1764TPX Flat Sheet 0.16D 25+/-4 Asker C 1.1M 2M 5.2mm</v>
          </cell>
          <cell r="F347">
            <v>8</v>
          </cell>
        </row>
        <row r="348">
          <cell r="B348" t="str">
            <v>F-2025-12-598</v>
          </cell>
          <cell r="C348" t="str">
            <v>BDB-000076</v>
          </cell>
          <cell r="D348" t="str">
            <v>PVN-004075</v>
          </cell>
          <cell r="E348" t="str">
            <v>OrthoLite X-25 BILLIARD/16-5427TPX Flat Sheet 0.12D 20+/-4 Asker C 1.1M 2M 17mm</v>
          </cell>
          <cell r="F348">
            <v>4</v>
          </cell>
        </row>
        <row r="349">
          <cell r="B349" t="str">
            <v>F-2025-12-614</v>
          </cell>
          <cell r="C349" t="str">
            <v>BDB-000217</v>
          </cell>
          <cell r="D349" t="str">
            <v>PVN-003483</v>
          </cell>
          <cell r="E349" t="str">
            <v>OrthoLite X-40-Hybrid SEEDPEARL/12-0703TPX Hybrid Flat Sheet 0.16D 35+/-4 Asker C 1.1M 1.7M 12mm</v>
          </cell>
          <cell r="F349">
            <v>13</v>
          </cell>
        </row>
        <row r="350">
          <cell r="B350" t="str">
            <v>F-2025-12-617</v>
          </cell>
          <cell r="C350" t="str">
            <v>BDB-000039</v>
          </cell>
          <cell r="D350" t="str">
            <v>PVN-002019</v>
          </cell>
          <cell r="E350" t="str">
            <v>OrthoLite Regular NEUTRAL GRAY/17-4402TPX Flat Sheet 0.11D 25+/-4 Asker C 1.1M 2M 13mm</v>
          </cell>
          <cell r="F350">
            <v>54</v>
          </cell>
        </row>
        <row r="351">
          <cell r="B351" t="str">
            <v>F-2025-12-618</v>
          </cell>
          <cell r="C351" t="str">
            <v>BDB-000097</v>
          </cell>
          <cell r="D351" t="str">
            <v>PVN-003671</v>
          </cell>
          <cell r="E351" t="str">
            <v>OrthoLite Eco LT-Hybrid SEEDPEARL/12-0703TPX Hybrid Flat Sheet 0.11D 25+/-4 Asker C 1.1M 2M 13mm</v>
          </cell>
          <cell r="F351">
            <v>10</v>
          </cell>
        </row>
        <row r="352">
          <cell r="B352" t="str">
            <v>F-2025-12-622</v>
          </cell>
          <cell r="C352" t="str">
            <v>BDB-000348</v>
          </cell>
          <cell r="D352" t="str">
            <v>PVN-004195</v>
          </cell>
          <cell r="E352" t="str">
            <v>OrthoLite IMPERIAL SEEDPEARL/12-0703TPX Flat Sheet 0.22D 25+/-4 Asker C 1.1M 1.47M 4mm</v>
          </cell>
          <cell r="F352">
            <v>2</v>
          </cell>
        </row>
        <row r="353">
          <cell r="B353" t="str">
            <v>F-2025-12-623</v>
          </cell>
          <cell r="C353" t="str">
            <v>BDB-000056</v>
          </cell>
          <cell r="D353" t="str">
            <v>PVN-001983</v>
          </cell>
          <cell r="E353" t="str">
            <v>OrthoLite X-40 SEEDPEARL/12-0703TPX Flat Sheet 0.16D 25+/-4 Asker C 1.1M 1.7M 5mm</v>
          </cell>
          <cell r="F353">
            <v>1</v>
          </cell>
        </row>
        <row r="354">
          <cell r="B354" t="str">
            <v>F-2026-01-17</v>
          </cell>
          <cell r="C354" t="str">
            <v>BDB-000083</v>
          </cell>
          <cell r="D354" t="str">
            <v>PVN-003969</v>
          </cell>
          <cell r="E354" t="str">
            <v>OrthoLite Eco LT 300C(ADIDAS BLUEBIRD) Flat Sheet 0.11D 25+/-4 Asker C 1.1M 2M 12mm</v>
          </cell>
          <cell r="F354">
            <v>13</v>
          </cell>
        </row>
        <row r="355">
          <cell r="B355" t="str">
            <v>F-2026-01-28</v>
          </cell>
          <cell r="C355" t="str">
            <v>BDB-000212</v>
          </cell>
          <cell r="D355" t="str">
            <v>PVN-003460</v>
          </cell>
          <cell r="E355" t="str">
            <v>OrthoLite X-25-Hybrid SEEDPEARL/12-0703TPX Hybrid Flat Sheet 0.12D 20+/-4 Asker C 1.1M 2M 5.5mm</v>
          </cell>
          <cell r="F355">
            <v>1</v>
          </cell>
        </row>
        <row r="356">
          <cell r="B356" t="str">
            <v>F-2026-01-40</v>
          </cell>
          <cell r="C356" t="str">
            <v>BDB-000057</v>
          </cell>
          <cell r="D356" t="str">
            <v>PVN-000925</v>
          </cell>
          <cell r="E356" t="str">
            <v>OrthoLite Ultra YELLOW/13-0858TPX Flat Sheet 0.085D 25+/-4 Asker C 1.1M 2M 5mm</v>
          </cell>
          <cell r="F356">
            <v>38</v>
          </cell>
        </row>
        <row r="357">
          <cell r="B357" t="str">
            <v>F-2026-01-43</v>
          </cell>
          <cell r="C357" t="str">
            <v>BDB-000057</v>
          </cell>
          <cell r="D357" t="str">
            <v>PVN-000925</v>
          </cell>
          <cell r="E357" t="str">
            <v>OrthoLite Ultra YELLOW/13-0858TPX Flat Sheet 0.085D 25+/-4 Asker C 1.1M 2M 5mm</v>
          </cell>
          <cell r="F357">
            <v>1</v>
          </cell>
        </row>
        <row r="358">
          <cell r="B358" t="str">
            <v>L-2026-01-22</v>
          </cell>
          <cell r="C358" t="str">
            <v>BDB-000362</v>
          </cell>
          <cell r="D358" t="str">
            <v>PVN-004259</v>
          </cell>
          <cell r="E358" t="str">
            <v>OrthoLite X-60-Hybrid SEEDPEARL/12-0703TPX Hybrid Flat Sheet 0.19D 28+/-4 Asker C 1.1M 1.7M 12mm</v>
          </cell>
          <cell r="F358">
            <v>1</v>
          </cell>
        </row>
        <row r="359">
          <cell r="B359" t="str">
            <v>OIN-2026.01.03-01</v>
          </cell>
          <cell r="C359" t="str">
            <v>BDB-000300</v>
          </cell>
          <cell r="D359" t="str">
            <v>PVN-004267</v>
          </cell>
          <cell r="E359" t="str">
            <v>[116-12954] Ultra Nike 25+/-4 Asker C 0.085D Seedpearl 12-0703 Tpx 1.10M X 1.70M 47mm</v>
          </cell>
          <cell r="F359">
            <v>4</v>
          </cell>
        </row>
        <row r="360">
          <cell r="B360" t="str">
            <v>OIN-2026.01.05-01</v>
          </cell>
          <cell r="C360" t="str">
            <v>BDB-000300</v>
          </cell>
          <cell r="D360" t="str">
            <v>PVN-004267</v>
          </cell>
          <cell r="E360" t="str">
            <v>[116-12954] Ultra Nike 25+/-4 Asker C 0.085D Seedpearl 12-0703 Tpx 1.10M X 1.70M 47mm</v>
          </cell>
          <cell r="F360">
            <v>15</v>
          </cell>
        </row>
        <row r="361">
          <cell r="B361" t="str">
            <v>OIN-2026.01.05-02</v>
          </cell>
          <cell r="C361" t="str">
            <v>BDB-000164</v>
          </cell>
          <cell r="D361" t="str">
            <v>PVN-004253</v>
          </cell>
          <cell r="E361" t="str">
            <v>[116-12728] Ultra Nike 25+/-4 Asker C 0.085D Grey 17-1501 Tpx 1.10M X 2.00M 47mm</v>
          </cell>
          <cell r="F361">
            <v>4</v>
          </cell>
        </row>
        <row r="362">
          <cell r="B362" t="str">
            <v>F-2025-11-334-2</v>
          </cell>
          <cell r="C362" t="str">
            <v>BDB-000113</v>
          </cell>
          <cell r="D362" t="str">
            <v>PVN-003414</v>
          </cell>
          <cell r="E362" t="str">
            <v>OrthoLite Regular-Hybrid SEEDPEARL/12-0703TPX Hybrid Flat Sheet 0.11D 25+/-4 Asker C 1.1M 2M 12mm</v>
          </cell>
          <cell r="F362">
            <v>108</v>
          </cell>
        </row>
        <row r="363">
          <cell r="B363" t="str">
            <v>F-2025-11-343</v>
          </cell>
          <cell r="C363" t="str">
            <v>BDB-000113</v>
          </cell>
          <cell r="D363" t="str">
            <v>PVN-002465</v>
          </cell>
          <cell r="E363" t="str">
            <v>OrthoLite Regular-Hybrid SEEDPEARL/12-0703TPX Hybrid Flat Sheet 0.11D 25+/-4 Asker C 1.1M 2M 5mm</v>
          </cell>
          <cell r="F363">
            <v>108</v>
          </cell>
        </row>
        <row r="364">
          <cell r="B364" t="str">
            <v>F-2025-12-193</v>
          </cell>
          <cell r="C364" t="str">
            <v>BDB-000123</v>
          </cell>
          <cell r="D364" t="str">
            <v>PVN-002539</v>
          </cell>
          <cell r="E364" t="str">
            <v>OrthoLite Ultra-Hybrid SEEDPEARL/12-0703TPX Hybrid Flat Sheet 0.085D 25+/-4 Asker C 1.1M 2M 5mm</v>
          </cell>
          <cell r="F364">
            <v>36</v>
          </cell>
        </row>
        <row r="365">
          <cell r="B365" t="str">
            <v>F-2025-12-223</v>
          </cell>
          <cell r="C365" t="str">
            <v>BDB-000097</v>
          </cell>
          <cell r="D365" t="str">
            <v>PVN-002478</v>
          </cell>
          <cell r="E365" t="str">
            <v>OrthoLite Eco LT-Hybrid SEEDPEARL/12-0703TPX Hybrid 0.11D 25+/-4 Asker C 1.1M 2M 4mm</v>
          </cell>
          <cell r="F365">
            <v>9</v>
          </cell>
        </row>
        <row r="366">
          <cell r="B366" t="str">
            <v>F-2025-12-308</v>
          </cell>
          <cell r="C366" t="str">
            <v>BDB-000123</v>
          </cell>
          <cell r="D366" t="str">
            <v>PVN-003298</v>
          </cell>
          <cell r="E366" t="str">
            <v>OrthoLite Ultra-Hybrid SEEDPEARL/12-0703TPX Hybrid 0.085D 25+/-4 Asker C 1.1M 2M 4mm</v>
          </cell>
          <cell r="F366">
            <v>121</v>
          </cell>
        </row>
        <row r="367">
          <cell r="B367" t="str">
            <v>F-2025-12-370</v>
          </cell>
          <cell r="C367" t="str">
            <v>BDB-000339</v>
          </cell>
          <cell r="D367" t="str">
            <v>PVN-004178</v>
          </cell>
          <cell r="E367" t="str">
            <v>OrthoLite Float NEUTRAL GRAY/17-4402TPX Flat Sheet 0.12D 21+/-4 Asker C 1.1M 2M 5.5mm</v>
          </cell>
          <cell r="F367">
            <v>40</v>
          </cell>
        </row>
        <row r="368">
          <cell r="B368" t="str">
            <v>F-2025-12-374</v>
          </cell>
          <cell r="C368" t="str">
            <v>BDB-000346</v>
          </cell>
          <cell r="D368" t="str">
            <v>PVN-004188</v>
          </cell>
          <cell r="E368" t="str">
            <v>OrthoLite Float NEUTRAL GRAY/17-4402TPX Flat Sheet 0.12D 21+/-4 Asker C 1.1M 1.47M 5.5mm</v>
          </cell>
          <cell r="F368">
            <v>73</v>
          </cell>
        </row>
        <row r="369">
          <cell r="B369" t="str">
            <v>F-2025-12-425</v>
          </cell>
          <cell r="C369" t="str">
            <v>BDB-000339</v>
          </cell>
          <cell r="D369" t="str">
            <v>PVN-004178</v>
          </cell>
          <cell r="E369" t="str">
            <v>OrthoLite Float NEUTRAL GRAY/17-4402TPX Flat Sheet 0.12D 21+/-4 Asker C 1.1M 2M 5.5mm</v>
          </cell>
          <cell r="F369">
            <v>20</v>
          </cell>
        </row>
        <row r="370">
          <cell r="B370" t="str">
            <v>F-2025-12-426</v>
          </cell>
          <cell r="C370" t="str">
            <v>BDB-000339</v>
          </cell>
          <cell r="D370" t="str">
            <v>PVN-004178</v>
          </cell>
          <cell r="E370" t="str">
            <v>OrthoLite Float NEUTRAL GRAY/17-4402TPX Flat Sheet 0.12D 21+/-4 Asker C 1.1M 2M 5.5mm</v>
          </cell>
          <cell r="F370">
            <v>40</v>
          </cell>
        </row>
        <row r="371">
          <cell r="B371" t="str">
            <v>F-2025-12-435</v>
          </cell>
          <cell r="C371" t="str">
            <v>BDB-000154</v>
          </cell>
          <cell r="D371" t="str">
            <v>PVN-003347</v>
          </cell>
          <cell r="E371" t="str">
            <v>OrthoLite X-40-Nike TRUE BLUE/19-4057TPX Flat Sheet 0.16D 35+/-4 Asker C 1.1M 1.7M 4mm</v>
          </cell>
          <cell r="F371">
            <v>9</v>
          </cell>
        </row>
        <row r="372">
          <cell r="B372" t="str">
            <v>F-2025-12-439</v>
          </cell>
          <cell r="C372" t="str">
            <v>BDB-000209</v>
          </cell>
          <cell r="D372" t="str">
            <v>PVN-003537</v>
          </cell>
          <cell r="E372" t="str">
            <v>OrthoLite HybridPlus-Recycled MINT GREEN/11-4805TPX Hybrid Flat Sheet 0.12D 25+/-4 Asker C 1.1M 2M 4.5mm</v>
          </cell>
          <cell r="F372">
            <v>39</v>
          </cell>
        </row>
        <row r="373">
          <cell r="B373" t="str">
            <v>F-2025-12-448</v>
          </cell>
          <cell r="C373" t="str">
            <v>BDB-000363</v>
          </cell>
          <cell r="D373" t="str">
            <v>PVN-004260</v>
          </cell>
          <cell r="E373" t="str">
            <v>OrthoLite HybridPlus-Recycled MINT GREEN/11-4805TPX Hybrid Flat Sheet 0.12D 35+/-4 Asker C 1.1M 2M 5.5mm</v>
          </cell>
          <cell r="F373">
            <v>6</v>
          </cell>
        </row>
        <row r="374">
          <cell r="B374" t="str">
            <v>F-2025-12-476</v>
          </cell>
          <cell r="C374" t="str">
            <v>BDB-000332</v>
          </cell>
          <cell r="D374" t="str">
            <v>PVN-004146</v>
          </cell>
          <cell r="E374" t="str">
            <v>OrthoLite X-25 CASTLEROCK/18-0201TPX Flat Sheet 0.12D 20+/-4 Asker C 1.1M 2M 5.5mm</v>
          </cell>
          <cell r="F374">
            <v>2</v>
          </cell>
        </row>
        <row r="375">
          <cell r="B375" t="str">
            <v>F-2025-12-496</v>
          </cell>
          <cell r="C375" t="str">
            <v>BDB-000346</v>
          </cell>
          <cell r="D375" t="str">
            <v>PVN-004188</v>
          </cell>
          <cell r="E375" t="str">
            <v>OrthoLite Float NEUTRAL GRAY/17-4402TPX Flat Sheet 0.12D 21+/-4 Asker C 1.1M 1.47M 5.5mm</v>
          </cell>
          <cell r="F375">
            <v>2</v>
          </cell>
        </row>
        <row r="376">
          <cell r="B376" t="str">
            <v>F-2025-12-508</v>
          </cell>
          <cell r="C376" t="str">
            <v>BDB-000123</v>
          </cell>
          <cell r="D376" t="str">
            <v>PVN-003298</v>
          </cell>
          <cell r="E376" t="str">
            <v>OrthoLite Ultra-Hybrid SEEDPEARL/12-0703TPX Hybrid 0.085D 25+/-4 Asker C 1.1M 2M 4mm</v>
          </cell>
          <cell r="F376">
            <v>107</v>
          </cell>
        </row>
        <row r="377">
          <cell r="B377" t="str">
            <v>F-2025-12-531</v>
          </cell>
          <cell r="C377" t="str">
            <v>BDB-000123</v>
          </cell>
          <cell r="D377" t="str">
            <v>PVN-003300</v>
          </cell>
          <cell r="E377" t="str">
            <v>OrthoLite Ultra-Hybrid SEEDPEARL/12-0703TPX Hybrid Flat Sheet 0.085D 25+/-4 Asker C 1.1M 2M 2mm</v>
          </cell>
          <cell r="F377">
            <v>8</v>
          </cell>
        </row>
        <row r="378">
          <cell r="B378" t="str">
            <v>F-2025-12-532</v>
          </cell>
          <cell r="C378" t="str">
            <v>BDB-000123</v>
          </cell>
          <cell r="D378" t="str">
            <v>PVN-003300</v>
          </cell>
          <cell r="E378" t="str">
            <v>OrthoLite Ultra-Hybrid SEEDPEARL/12-0703TPX Hybrid Flat Sheet 0.085D 25+/-4 Asker C 1.1M 2M 2mm</v>
          </cell>
          <cell r="F378">
            <v>8</v>
          </cell>
        </row>
        <row r="379">
          <cell r="B379" t="str">
            <v>F-2025-12-549</v>
          </cell>
          <cell r="C379" t="str">
            <v>BDB-000054</v>
          </cell>
          <cell r="D379" t="str">
            <v>PVN-003895</v>
          </cell>
          <cell r="E379" t="str">
            <v>OrthoLite X-40 RED/19-1764TPX Flat Sheet 0.16D 25+/-4 Asker C 1.1M 1.7M 5mm</v>
          </cell>
          <cell r="F379">
            <v>2</v>
          </cell>
        </row>
        <row r="380">
          <cell r="B380" t="str">
            <v>F-2025-12-550</v>
          </cell>
          <cell r="C380" t="str">
            <v>BDB-000011</v>
          </cell>
          <cell r="D380" t="str">
            <v>PVN-000121</v>
          </cell>
          <cell r="E380" t="str">
            <v>OrthoLite Regular AIR BLUE/16-4134TPX Flat Sheet 0.13D 35+/-4 Asker C 1.1M 2M 12mm</v>
          </cell>
          <cell r="F380">
            <v>10</v>
          </cell>
        </row>
        <row r="381">
          <cell r="B381" t="str">
            <v>F-2025-12-558</v>
          </cell>
          <cell r="C381" t="str">
            <v>BDB-000332</v>
          </cell>
          <cell r="D381" t="str">
            <v>PVN-004146</v>
          </cell>
          <cell r="E381" t="str">
            <v>OrthoLite X-25 CASTLEROCK/18-0201TPX Flat Sheet 0.12D 20+/-4 Asker C 1.1M 2M 5.5mm</v>
          </cell>
          <cell r="F381">
            <v>33</v>
          </cell>
        </row>
        <row r="382">
          <cell r="B382" t="str">
            <v>F-2025-12-569</v>
          </cell>
          <cell r="C382" t="str">
            <v>BDB-000054</v>
          </cell>
          <cell r="D382" t="str">
            <v>PVN-003895</v>
          </cell>
          <cell r="E382" t="str">
            <v>OrthoLite X-40 RED/19-1764TPX Flat Sheet 0.16D 25+/-4 Asker C 1.1M 1.7M 5mm</v>
          </cell>
          <cell r="F382">
            <v>2</v>
          </cell>
        </row>
        <row r="383">
          <cell r="B383" t="str">
            <v>F-2025-12-579</v>
          </cell>
          <cell r="C383" t="str">
            <v>BDB-000324</v>
          </cell>
          <cell r="D383" t="str">
            <v>PVN-004110</v>
          </cell>
          <cell r="E383" t="str">
            <v>OrthoLite X-40 TRUE BLUE/19-4057TPX Flat Sheet 0.16D 25+/-4 Asker C 1.1M 2M 14.5mm</v>
          </cell>
          <cell r="F383">
            <v>20</v>
          </cell>
        </row>
        <row r="384">
          <cell r="B384" t="str">
            <v>F-2025-12-593</v>
          </cell>
          <cell r="C384" t="str">
            <v>BDB-000319</v>
          </cell>
          <cell r="D384" t="str">
            <v>PVN-004247</v>
          </cell>
          <cell r="E384" t="str">
            <v>OrthoLite X-40-Hybrid-Nike SEEDPEARL/12-0703TPX Hybrid Flat Sheet 0.16D 25+/-4 Asker C 1.1M 2M 4.2mm</v>
          </cell>
          <cell r="F384">
            <v>3</v>
          </cell>
        </row>
        <row r="385">
          <cell r="B385" t="str">
            <v>F-2025-12-597</v>
          </cell>
          <cell r="C385" t="str">
            <v>BDB-000275</v>
          </cell>
          <cell r="D385" t="str">
            <v>PVN-003797</v>
          </cell>
          <cell r="E385" t="str">
            <v>OrthoLite Regular RED/19-1764TPX Flat Sheet 0.15D 45+/-4 Asker C 1.1M 1.7M 3mm</v>
          </cell>
          <cell r="F385">
            <v>2</v>
          </cell>
        </row>
        <row r="386">
          <cell r="B386" t="str">
            <v>F-2025-12-633</v>
          </cell>
          <cell r="C386" t="str">
            <v>BDB-000145</v>
          </cell>
          <cell r="D386" t="str">
            <v>PVN-002811</v>
          </cell>
          <cell r="E386" t="str">
            <v>OrthoLite Regular-Hybrid-Nike YELLOW/13-0858TPX Hybrid Flat Sheet 0.11D 25+/-4 Asker C 1.1M 1.7M 2mm</v>
          </cell>
          <cell r="F386">
            <v>2</v>
          </cell>
        </row>
        <row r="387">
          <cell r="B387" t="str">
            <v>F-2025-12-69</v>
          </cell>
          <cell r="C387" t="str">
            <v>BDB-000123</v>
          </cell>
          <cell r="D387" t="str">
            <v>PVN-002973</v>
          </cell>
          <cell r="E387" t="str">
            <v>OrthoLite Ultra-Hybrid SEEDPEARL/12-0703TPX Hybrid 0.085D 25+/-4 Asker C 1.1M 2M 4.5mm</v>
          </cell>
          <cell r="F387">
            <v>34</v>
          </cell>
        </row>
        <row r="388">
          <cell r="B388" t="str">
            <v>F-2026-01-57</v>
          </cell>
          <cell r="C388" t="str">
            <v>BDB-000339</v>
          </cell>
          <cell r="D388" t="str">
            <v>PVN-004223</v>
          </cell>
          <cell r="E388" t="str">
            <v>OrthoLite Float NEUTRAL GRAY/17-4402TPX Flat Sheet 0.12D 21+/-4 Asker C 1.1M 2M 5mm</v>
          </cell>
          <cell r="F388">
            <v>13</v>
          </cell>
        </row>
        <row r="389">
          <cell r="B389" t="str">
            <v>F-2026-01-58</v>
          </cell>
          <cell r="C389" t="str">
            <v>BDB-000346</v>
          </cell>
          <cell r="D389" t="str">
            <v>PVN-004226</v>
          </cell>
          <cell r="E389" t="str">
            <v>OrthoLite Float NEUTRAL GRAY/17-4402TPX Flat Sheet 0.12D 21+/-4 Asker C 1.1M 1.47M 5mm</v>
          </cell>
          <cell r="F389">
            <v>1</v>
          </cell>
        </row>
        <row r="390">
          <cell r="B390" t="str">
            <v>OIN-2026.01.01-03</v>
          </cell>
          <cell r="C390" t="str">
            <v>BDB-000200</v>
          </cell>
          <cell r="D390" t="str">
            <v>PVN-003420</v>
          </cell>
          <cell r="E390" t="str">
            <v>[116-471] Ultra 78 - 90 Asker F 0.085D Seedpearl 12-0703 Tpx 1.10M X 2.00M 6mm</v>
          </cell>
          <cell r="F390">
            <v>22</v>
          </cell>
        </row>
        <row r="391">
          <cell r="B391" t="str">
            <v>S-2026-01-28</v>
          </cell>
          <cell r="C391" t="str">
            <v>BDB-000209</v>
          </cell>
          <cell r="D391" t="str">
            <v>PVN-003461</v>
          </cell>
          <cell r="E391" t="str">
            <v>OrthoLite HybridPlus-Recycled MINT GREEN/11-4805TPX Hybrid Flat Sheet 0.12D 25+/-4 Asker C 1.1M 2M 11mm</v>
          </cell>
          <cell r="F391">
            <v>4</v>
          </cell>
        </row>
        <row r="392">
          <cell r="B392" t="str">
            <v>S-2026-01-29</v>
          </cell>
          <cell r="C392" t="str">
            <v>BDB-000051</v>
          </cell>
          <cell r="D392" t="str">
            <v>PVN-003319</v>
          </cell>
          <cell r="E392" t="str">
            <v>OrthoLite X-40 TRUE BLUE/19-4057TPX Flat Sheet 0.16D 25+/-4 Asker C 1.1M 1.7M 12mm</v>
          </cell>
          <cell r="F392">
            <v>7</v>
          </cell>
        </row>
        <row r="393">
          <cell r="B393" t="str">
            <v>S-2026-01-44</v>
          </cell>
          <cell r="C393" t="str">
            <v>BDB-000011</v>
          </cell>
          <cell r="D393" t="str">
            <v>PVN-003965</v>
          </cell>
          <cell r="E393" t="str">
            <v>OrthoLite Regular AIR BLUE/16-4134TPX Flat Sheet 0.13D 35+/-4 Asker C 1.1M 2M 2mm</v>
          </cell>
          <cell r="F393">
            <v>1</v>
          </cell>
        </row>
        <row r="394">
          <cell r="B394" t="str">
            <v>S-2026-01-45</v>
          </cell>
          <cell r="C394" t="str">
            <v>BDB-000011</v>
          </cell>
          <cell r="D394" t="str">
            <v>PVN-004128</v>
          </cell>
          <cell r="E394" t="str">
            <v>OrthoLite Regular AIR BLUE/16-4134TPX Flat Sheet 0.13D 35+/-4 Asker C 1.1M 2M 3mm</v>
          </cell>
          <cell r="F394">
            <v>1</v>
          </cell>
        </row>
        <row r="395">
          <cell r="B395" t="str">
            <v>F-2025-10-251</v>
          </cell>
          <cell r="C395" t="str">
            <v>BDB-000161</v>
          </cell>
          <cell r="D395" t="str">
            <v>PVN-001560</v>
          </cell>
          <cell r="E395" t="str">
            <v>OrthoLite Ultra-Nike FOSSIL/17-0909TPX 0.085D 25+/-4 Asker C 1.1M 2M 4mm</v>
          </cell>
          <cell r="F395">
            <v>29</v>
          </cell>
        </row>
        <row r="396">
          <cell r="B396" t="str">
            <v>F-2025-12-308</v>
          </cell>
          <cell r="C396" t="str">
            <v>BDB-000123</v>
          </cell>
          <cell r="D396" t="str">
            <v>PVN-003298</v>
          </cell>
          <cell r="E396" t="str">
            <v>OrthoLite Ultra-Hybrid SEEDPEARL/12-0703TPX Hybrid 0.085D 25+/-4 Asker C 1.1M 2M 4mm</v>
          </cell>
          <cell r="F396">
            <v>79</v>
          </cell>
        </row>
        <row r="397">
          <cell r="B397" t="str">
            <v>F-2025-12-309</v>
          </cell>
          <cell r="C397" t="str">
            <v>BDB-000123</v>
          </cell>
          <cell r="D397" t="str">
            <v>PVN-003298</v>
          </cell>
          <cell r="E397" t="str">
            <v>OrthoLite Ultra-Hybrid SEEDPEARL/12-0703TPX Hybrid 0.085D 25+/-4 Asker C 1.1M 2M 4mm</v>
          </cell>
          <cell r="F397">
            <v>58</v>
          </cell>
        </row>
        <row r="398">
          <cell r="B398" t="str">
            <v>F-2025-12-311</v>
          </cell>
          <cell r="C398" t="str">
            <v>BDB-000217</v>
          </cell>
          <cell r="D398" t="str">
            <v>PVN-003539</v>
          </cell>
          <cell r="E398" t="str">
            <v>OrthoLite X-40-Hybrid SEEDPEARL/12-0703TPX Hybrid Flat Sheet 0.16D 35+/-4 Asker C 1.1M 1.7M 6.2mm</v>
          </cell>
          <cell r="F398">
            <v>46</v>
          </cell>
        </row>
        <row r="399">
          <cell r="B399" t="str">
            <v>F-2025-12-314</v>
          </cell>
          <cell r="C399" t="str">
            <v>BDB-000347</v>
          </cell>
          <cell r="D399" t="str">
            <v>PVN-004192</v>
          </cell>
          <cell r="E399" t="str">
            <v>OrthoLite X-55-Hybrid SEEDPEARL/12-0703TPX Hybrid 0.16D 25+/-4 Asker C 1.1M 2M 12mm</v>
          </cell>
          <cell r="F399">
            <v>93</v>
          </cell>
        </row>
        <row r="400">
          <cell r="B400" t="str">
            <v>F-2025-12-391</v>
          </cell>
          <cell r="C400" t="str">
            <v>BDB-000209</v>
          </cell>
          <cell r="D400" t="str">
            <v>PVN-003537</v>
          </cell>
          <cell r="E400" t="str">
            <v>OrthoLite HybridPlus-Recycled MINT GREEN/11-4805TPX Hybrid Flat Sheet 0.12D 25+/-4 Asker C 1.1M 2M 4.5mm</v>
          </cell>
          <cell r="F400">
            <v>11</v>
          </cell>
        </row>
        <row r="401">
          <cell r="B401" t="str">
            <v>F-2025-12-411</v>
          </cell>
          <cell r="C401" t="str">
            <v>BDB-000131</v>
          </cell>
          <cell r="D401" t="str">
            <v>PVN-001565</v>
          </cell>
          <cell r="E401" t="str">
            <v>OrthoLite Regular-Nike AIR BLUE/16-4134TPX 0.11D 15+/-4 Asker C 1.1M 2M 4mm</v>
          </cell>
          <cell r="F401">
            <v>24</v>
          </cell>
        </row>
        <row r="402">
          <cell r="B402" t="str">
            <v>F-2025-12-454-1</v>
          </cell>
          <cell r="C402" t="str">
            <v>BDB-000058</v>
          </cell>
          <cell r="D402" t="str">
            <v>PVN-001319</v>
          </cell>
          <cell r="E402" t="str">
            <v>OrthoLite Ultra GREEN/16-5932TPX 0.085D 25+/-4 Asker C 1.1M 2M 5mm</v>
          </cell>
          <cell r="F402">
            <v>4</v>
          </cell>
        </row>
        <row r="403">
          <cell r="B403" t="str">
            <v>F-2025-12-454-2</v>
          </cell>
          <cell r="C403" t="str">
            <v>BDB-000058</v>
          </cell>
          <cell r="D403" t="str">
            <v>PVN-001319</v>
          </cell>
          <cell r="E403" t="str">
            <v>OrthoLite Ultra GREEN/16-5932TPX 0.085D 25+/-4 Asker C 1.1M 2M 5mm</v>
          </cell>
          <cell r="F403">
            <v>36</v>
          </cell>
        </row>
        <row r="404">
          <cell r="B404" t="str">
            <v>F-2025-12-490</v>
          </cell>
          <cell r="C404" t="str">
            <v>BDB-000218</v>
          </cell>
          <cell r="D404" t="str">
            <v>PVN-003488</v>
          </cell>
          <cell r="E404" t="str">
            <v>OrthoLite Ultra-Nike SEEDPEARL/12-0703TPX Flat Sheet 0.085D 5-10 Asker C 1.1M 2M 4mm</v>
          </cell>
          <cell r="F404">
            <v>9</v>
          </cell>
        </row>
        <row r="405">
          <cell r="B405" t="str">
            <v>F-2025-12-494</v>
          </cell>
          <cell r="C405" t="str">
            <v>BDB-000332</v>
          </cell>
          <cell r="D405" t="str">
            <v>PVN-004146</v>
          </cell>
          <cell r="E405" t="str">
            <v>OrthoLite X-25 CASTLEROCK/18-0201TPX Flat Sheet 0.12D 20+/-4 Asker C 1.1M 2M 5.5mm</v>
          </cell>
          <cell r="F405">
            <v>2</v>
          </cell>
        </row>
        <row r="406">
          <cell r="B406" t="str">
            <v>F-2025-12-497</v>
          </cell>
          <cell r="C406" t="str">
            <v>BDB-000273</v>
          </cell>
          <cell r="D406" t="str">
            <v>PVN-004138</v>
          </cell>
          <cell r="E406" t="str">
            <v>OrthoLite X-40-Hybrid SEEDPEARL/12-0703TPX Hybrid Flat Sheet 0.16D 25+/-4 Asker C 1.1M 2M 5.5mm</v>
          </cell>
          <cell r="F406">
            <v>40</v>
          </cell>
        </row>
        <row r="407">
          <cell r="B407" t="str">
            <v>F-2025-12-501</v>
          </cell>
          <cell r="C407" t="str">
            <v>BDB-000011</v>
          </cell>
          <cell r="D407" t="str">
            <v>PVN-000127</v>
          </cell>
          <cell r="E407" t="str">
            <v>OrthoLite Regular AIR BLUE/16-4134TPX Flat Sheet 0.13D 35+/-4 Asker C 1.1M 2M 5mm (OIN-RM)</v>
          </cell>
          <cell r="F407">
            <v>4</v>
          </cell>
        </row>
        <row r="408">
          <cell r="B408" t="str">
            <v>F-2025-12-504</v>
          </cell>
          <cell r="C408" t="str">
            <v>BDB-000083</v>
          </cell>
          <cell r="D408" t="str">
            <v>PVN-000930</v>
          </cell>
          <cell r="E408" t="str">
            <v>OrthoLite Eco LT 300C(ADIDAS BLUEBIRD) Flat Sheet 0.11D 25+/-4 Asker C 1.1M 2M 3mm</v>
          </cell>
          <cell r="F408">
            <v>3</v>
          </cell>
        </row>
        <row r="409">
          <cell r="B409" t="str">
            <v>F-2025-12-505</v>
          </cell>
          <cell r="C409" t="str">
            <v>BDB-000083</v>
          </cell>
          <cell r="D409" t="str">
            <v>PVN-000930</v>
          </cell>
          <cell r="E409" t="str">
            <v>OrthoLite Eco LT 300C(ADIDAS BLUEBIRD) Flat Sheet 0.11D 25+/-4 Asker C 1.1M 2M 3mm</v>
          </cell>
          <cell r="F409">
            <v>14</v>
          </cell>
        </row>
        <row r="410">
          <cell r="B410" t="str">
            <v>F-2025-12-506</v>
          </cell>
          <cell r="C410" t="str">
            <v>BDB-000058</v>
          </cell>
          <cell r="D410" t="str">
            <v>PVN-001319</v>
          </cell>
          <cell r="E410" t="str">
            <v>OrthoLite Ultra GREEN/16-5932TPX 0.085D 25+/-4 Asker C 1.1M 2M 5mm</v>
          </cell>
          <cell r="F410">
            <v>54</v>
          </cell>
        </row>
        <row r="411">
          <cell r="B411" t="str">
            <v>F-2025-12-510</v>
          </cell>
          <cell r="C411" t="str">
            <v>BDB-000123</v>
          </cell>
          <cell r="D411" t="str">
            <v>PVN-003298</v>
          </cell>
          <cell r="E411" t="str">
            <v>OrthoLite Ultra-Hybrid SEEDPEARL/12-0703TPX Hybrid 0.085D 25+/-4 Asker C 1.1M 2M 4mm</v>
          </cell>
          <cell r="F411">
            <v>200</v>
          </cell>
        </row>
        <row r="412">
          <cell r="B412" t="str">
            <v>F-2025-12-518</v>
          </cell>
          <cell r="C412" t="str">
            <v>BDB-000123</v>
          </cell>
          <cell r="D412" t="str">
            <v>PVN-003299</v>
          </cell>
          <cell r="E412" t="str">
            <v>OrthoLite Ultra-Hybrid SEEDPEARL/12-0703TPX Hybrid 0.085D 25+/-4 Asker C 1.1M 2M 3mm</v>
          </cell>
          <cell r="F412">
            <v>10</v>
          </cell>
        </row>
        <row r="413">
          <cell r="B413" t="str">
            <v>F-2025-12-544</v>
          </cell>
          <cell r="C413" t="str">
            <v>BDB-000016</v>
          </cell>
          <cell r="D413" t="str">
            <v>PVN-000458</v>
          </cell>
          <cell r="E413" t="str">
            <v>OrthoLite Regular GREEN/16-5932TPX Flat Sheet 0.13D 35+/-4 Asker C 1.1M 2M 3mm</v>
          </cell>
          <cell r="F413">
            <v>27</v>
          </cell>
        </row>
        <row r="414">
          <cell r="B414" t="str">
            <v>F-2025-12-556</v>
          </cell>
          <cell r="C414" t="str">
            <v>BDB-000067</v>
          </cell>
          <cell r="D414" t="str">
            <v>PVN-003691</v>
          </cell>
          <cell r="E414" t="str">
            <v>OrthoLite Ultra SEEDPEARL/12-0703TPX Flat Sheet 0.085D 25+/-4 Asker C 1.1M 2M 5.2mm</v>
          </cell>
          <cell r="F414">
            <v>3</v>
          </cell>
        </row>
        <row r="415">
          <cell r="B415" t="str">
            <v>F-2025-12-559</v>
          </cell>
          <cell r="C415" t="str">
            <v>BDB-000273</v>
          </cell>
          <cell r="D415" t="str">
            <v>PVN-004138</v>
          </cell>
          <cell r="E415" t="str">
            <v>OrthoLite X-40-Hybrid SEEDPEARL/12-0703TPX Hybrid Flat Sheet 0.16D 25+/-4 Asker C 1.1M 2M 5.5mm</v>
          </cell>
          <cell r="F415">
            <v>7</v>
          </cell>
        </row>
        <row r="416">
          <cell r="B416" t="str">
            <v>F-2025-12-564</v>
          </cell>
          <cell r="C416" t="str">
            <v>BDB-000011</v>
          </cell>
          <cell r="D416" t="str">
            <v>PVN-000258</v>
          </cell>
          <cell r="E416" t="str">
            <v>OrthoLite Regular AIR BLUE/16-4134TPX Flat Sheet 0.13D 35+/-4 Asker C 1.1M 2M 2.5mm</v>
          </cell>
          <cell r="F416">
            <v>22</v>
          </cell>
        </row>
        <row r="417">
          <cell r="B417" t="str">
            <v>F-2025-12-568</v>
          </cell>
          <cell r="C417" t="str">
            <v>BDB-000157</v>
          </cell>
          <cell r="D417" t="str">
            <v>PVN-003642</v>
          </cell>
          <cell r="E417" t="str">
            <v>OrthoLite X-35-Hybrid-Nike SEEDPEARL/12-0703TPX Hybrid Flat Sheet 0.145D 25+/-4 Asker C 1.1M 2M 6.2mm</v>
          </cell>
          <cell r="F417">
            <v>8</v>
          </cell>
        </row>
        <row r="418">
          <cell r="B418" t="str">
            <v>F-2025-12-571</v>
          </cell>
          <cell r="C418" t="str">
            <v>BDB-000149</v>
          </cell>
          <cell r="D418" t="str">
            <v>PVN-002827</v>
          </cell>
          <cell r="E418" t="str">
            <v>OrthoLite Regular-Hybrid-Nike SEEDPEARL/12-0703TPX Hybrid Flat Sheet 0.11D 25+/-4 Asker C 1.1M 2M 5mm</v>
          </cell>
          <cell r="F418">
            <v>8</v>
          </cell>
        </row>
        <row r="419">
          <cell r="B419" t="str">
            <v>F-2025-12-573</v>
          </cell>
          <cell r="C419" t="str">
            <v>BDB-000008</v>
          </cell>
          <cell r="D419" t="str">
            <v>PVN-000505</v>
          </cell>
          <cell r="E419" t="str">
            <v>OrthoLite Regular LIME GREEN/14-0452TPX Flat Sheet 0.11D 25+/-4 Asker C 1.1M 2M 12mm</v>
          </cell>
          <cell r="F419">
            <v>72</v>
          </cell>
        </row>
        <row r="420">
          <cell r="B420" t="str">
            <v>F-2025-12-582</v>
          </cell>
          <cell r="C420" t="str">
            <v>BDB-000217</v>
          </cell>
          <cell r="D420" t="str">
            <v>PVN-003483</v>
          </cell>
          <cell r="E420" t="str">
            <v>OrthoLite X-40-Hybrid SEEDPEARL/12-0703TPX Hybrid Flat Sheet 0.16D 35+/-4 Asker C 1.1M 1.7M 12mm</v>
          </cell>
          <cell r="F420">
            <v>57</v>
          </cell>
        </row>
        <row r="421">
          <cell r="B421" t="str">
            <v>F-2025-12-596</v>
          </cell>
          <cell r="C421" t="str">
            <v>BDB-000235</v>
          </cell>
          <cell r="D421" t="str">
            <v>PVN-003577</v>
          </cell>
          <cell r="E421" t="str">
            <v>OrthoLite X-55-Hybrid FOSSIL/17-0909TPX Hybrid Flat Sheet 0.16D 25+/-4 Asker C 1.1M 1.7M 10mm</v>
          </cell>
          <cell r="F421">
            <v>4</v>
          </cell>
        </row>
        <row r="422">
          <cell r="B422" t="str">
            <v>F-2025-12-602</v>
          </cell>
          <cell r="C422" t="str">
            <v>BDB-000011</v>
          </cell>
          <cell r="D422" t="str">
            <v>PVN-000258</v>
          </cell>
          <cell r="E422" t="str">
            <v>OrthoLite Regular AIR BLUE/16-4134TPX Flat Sheet 0.13D 35+/-4 Asker C 1.1M 2M 2.5mm</v>
          </cell>
          <cell r="F422">
            <v>29</v>
          </cell>
        </row>
        <row r="423">
          <cell r="B423" t="str">
            <v>F-2025-12-606</v>
          </cell>
          <cell r="C423" t="str">
            <v>BDB-000305</v>
          </cell>
          <cell r="D423" t="str">
            <v>PVN-004000</v>
          </cell>
          <cell r="E423" t="str">
            <v>OrthoLite X-35-Nike YELLOW/13-0858TPX Flat Sheet 0.145D 25+/-4 Asker C 1.1M 2M 5.5mm</v>
          </cell>
          <cell r="F423">
            <v>1</v>
          </cell>
        </row>
        <row r="424">
          <cell r="B424" t="str">
            <v>F-2025-12-607</v>
          </cell>
          <cell r="C424" t="str">
            <v>BDB-000149</v>
          </cell>
          <cell r="D424" t="str">
            <v>PVN-002827</v>
          </cell>
          <cell r="E424" t="str">
            <v>OrthoLite Regular-Hybrid-Nike SEEDPEARL/12-0703TPX Hybrid Flat Sheet 0.11D 25+/-4 Asker C 1.1M 2M 5mm</v>
          </cell>
          <cell r="F424">
            <v>1</v>
          </cell>
        </row>
        <row r="425">
          <cell r="B425" t="str">
            <v>F-2025-12-631</v>
          </cell>
          <cell r="C425" t="str">
            <v>BDB-000317</v>
          </cell>
          <cell r="D425" t="str">
            <v>PVN-004076</v>
          </cell>
          <cell r="E425" t="str">
            <v>OrthoLite Regular NEUTRAL GRAY/17-4402TPX Flat Sheet 0.13D 15+/-4 Asker C 1.1M 2M 24mm</v>
          </cell>
          <cell r="F425">
            <v>2</v>
          </cell>
        </row>
        <row r="426">
          <cell r="B426" t="str">
            <v>F-2026-01-08</v>
          </cell>
          <cell r="C426" t="str">
            <v>BDB-000058</v>
          </cell>
          <cell r="D426" t="str">
            <v>PVN-001277</v>
          </cell>
          <cell r="E426" t="str">
            <v>OrthoLite Ultra GREEN/16-5932TPX Flat Sheet 0.085D 25+/-4 Asker C 1.1M 2M 4mm</v>
          </cell>
          <cell r="F426">
            <v>3</v>
          </cell>
        </row>
        <row r="427">
          <cell r="B427" t="str">
            <v>F-2026-01-66</v>
          </cell>
          <cell r="C427" t="str">
            <v>BDB-000058</v>
          </cell>
          <cell r="D427" t="str">
            <v>PVN-001277</v>
          </cell>
          <cell r="E427" t="str">
            <v>OrthoLite Ultra GREEN/16-5932TPX Flat Sheet 0.085D 25+/-4 Asker C 1.1M 2M 4mm</v>
          </cell>
          <cell r="F427">
            <v>14</v>
          </cell>
        </row>
        <row r="428">
          <cell r="B428" t="str">
            <v>OIN-2026.01.01-01</v>
          </cell>
          <cell r="C428" t="str">
            <v>BDB-000001</v>
          </cell>
          <cell r="D428" t="str">
            <v>PVN-003935</v>
          </cell>
          <cell r="E428" t="str">
            <v>[116-205] Regular 15+/-4 Asker C 0.11D Burnt Sienna 17-1544 Tpx 1.10M X 2.00M 47mm</v>
          </cell>
          <cell r="F428">
            <v>2</v>
          </cell>
        </row>
        <row r="429">
          <cell r="B429" t="str">
            <v>OIN-2026.01.01-02</v>
          </cell>
          <cell r="C429" t="str">
            <v>BDB-000025</v>
          </cell>
          <cell r="D429" t="str">
            <v>PVN-003785</v>
          </cell>
          <cell r="E429" t="str">
            <v>[116-247] Regular 25+/-4 Asker C 0.11D Green 16-5932 Tpx 1.10M X 2.00M 47mm</v>
          </cell>
          <cell r="F429">
            <v>2</v>
          </cell>
        </row>
        <row r="430">
          <cell r="B430" t="str">
            <v>S-2025-12-129</v>
          </cell>
          <cell r="C430" t="str">
            <v>BDB-000335</v>
          </cell>
          <cell r="D430" t="str">
            <v>PVN-004166</v>
          </cell>
          <cell r="E430" t="str">
            <v>OrthoLite Regular SEEDPEARL/12-0703TPX Flat Sheet 0.16D 51+/-4 Asker C 1.1M 1.7M 9.5mm</v>
          </cell>
          <cell r="F430">
            <v>3</v>
          </cell>
        </row>
        <row r="431">
          <cell r="B431" t="str">
            <v>S-2026-01-08</v>
          </cell>
          <cell r="C431" t="str">
            <v>BDB-000008</v>
          </cell>
          <cell r="D431" t="str">
            <v>PVN-000505</v>
          </cell>
          <cell r="E431" t="str">
            <v>OrthoLite Regular LIME GREEN/14-0452TPX 0.11D 25+/-4 Asker C 1.1M 2M 12mm</v>
          </cell>
          <cell r="F431">
            <v>4</v>
          </cell>
        </row>
        <row r="432">
          <cell r="B432" t="str">
            <v>S-2026-01-23</v>
          </cell>
          <cell r="C432" t="str">
            <v>BDB-000154</v>
          </cell>
          <cell r="D432" t="str">
            <v>PVN-003347</v>
          </cell>
          <cell r="E432" t="str">
            <v>OrthoLite X-40-Nike TRUE BLUE/19-4057TPX Flat Sheet 0.16D 35+/-4 Asker C 1.1M 1.7M 4mm</v>
          </cell>
          <cell r="F432">
            <v>1</v>
          </cell>
        </row>
        <row r="433">
          <cell r="B433" t="str">
            <v>S-2026-01-27</v>
          </cell>
          <cell r="C433" t="str">
            <v>BDB-000335</v>
          </cell>
          <cell r="D433" t="str">
            <v>PVN-004166</v>
          </cell>
          <cell r="E433" t="str">
            <v>OrthoLite Regular SEEDPEARL/12-0703TPX Flat Sheet 0.16D 51+/-4 Asker C 1.1M 1.7M 9.5mm</v>
          </cell>
          <cell r="F433">
            <v>3</v>
          </cell>
        </row>
        <row r="434">
          <cell r="B434" t="str">
            <v>F-2025-10-240</v>
          </cell>
          <cell r="C434" t="str">
            <v>BDB-000125</v>
          </cell>
          <cell r="D434" t="str">
            <v>PVN-002413</v>
          </cell>
          <cell r="E434" t="str">
            <v>OrthoLite Regular-Nike AIR BLUE/16-4134TPX 0.11D 25+/-4 Asker C 1.1M 2M 4.2mm</v>
          </cell>
          <cell r="F434">
            <v>48</v>
          </cell>
        </row>
        <row r="435">
          <cell r="B435" t="str">
            <v>F-2025-10-249</v>
          </cell>
          <cell r="C435" t="str">
            <v>BDB-000161</v>
          </cell>
          <cell r="D435" t="str">
            <v>PVN-001560</v>
          </cell>
          <cell r="E435" t="str">
            <v>OrthoLite Ultra-Nike FOSSIL/17-0909TPX 0.085D 25+/-4 Asker C 1.1M 2M 4mm</v>
          </cell>
          <cell r="F435">
            <v>5</v>
          </cell>
        </row>
        <row r="436">
          <cell r="B436" t="str">
            <v>F-2025-11-334-1</v>
          </cell>
          <cell r="C436" t="str">
            <v>BDB-000113</v>
          </cell>
          <cell r="D436" t="str">
            <v>PVN-003414</v>
          </cell>
          <cell r="E436" t="str">
            <v>OrthoLite Regular-Hybrid SEEDPEARL/12-0703TPX Hybrid Flat Sheet 0.11D 25+/-4 Asker C 1.1M 2M 12mm</v>
          </cell>
          <cell r="F436">
            <v>174</v>
          </cell>
        </row>
        <row r="437">
          <cell r="B437" t="str">
            <v>F-2025-11-334-2</v>
          </cell>
          <cell r="C437" t="str">
            <v>BDB-000113</v>
          </cell>
          <cell r="D437" t="str">
            <v>PVN-003414</v>
          </cell>
          <cell r="E437" t="str">
            <v>OrthoLite Regular-Hybrid SEEDPEARL/12-0703TPX Hybrid Flat Sheet 0.11D 25+/-4 Asker C 1.1M 2M 12mm</v>
          </cell>
          <cell r="F437">
            <v>66</v>
          </cell>
        </row>
        <row r="438">
          <cell r="B438" t="str">
            <v>F-2025-11-336-3</v>
          </cell>
          <cell r="C438" t="str">
            <v>BDB-000234</v>
          </cell>
          <cell r="D438" t="str">
            <v>PVN-003581</v>
          </cell>
          <cell r="E438" t="str">
            <v>OrthoLite X-30-Hybrid BROWN SUGAR/17-1134TPX Hybrid Flat Sheet 0.13D 25+/-4 Asker C 1.1M 2M 12mm</v>
          </cell>
          <cell r="F438">
            <v>44</v>
          </cell>
        </row>
        <row r="439">
          <cell r="B439" t="str">
            <v>F-2025-11-343</v>
          </cell>
          <cell r="C439" t="str">
            <v>BDB-000113</v>
          </cell>
          <cell r="D439" t="str">
            <v>PVN-002465</v>
          </cell>
          <cell r="E439" t="str">
            <v>OrthoLite Regular-Hybrid SEEDPEARL/12-0703TPX Hybrid Flat Sheet 0.11D 25+/-4 Asker C 1.1M 2M 5mm</v>
          </cell>
          <cell r="F439">
            <v>6</v>
          </cell>
        </row>
        <row r="440">
          <cell r="B440" t="str">
            <v>F-2025-12-23</v>
          </cell>
          <cell r="C440" t="str">
            <v>BDB-000165</v>
          </cell>
          <cell r="D440" t="str">
            <v>PVN-002053</v>
          </cell>
          <cell r="E440" t="str">
            <v>OrthoLite Ultra-Nike LIME GREEN/14-0452TPX Flat Sheet 0.085D 15+/-4 Asker C 1.1M 2M 5mm</v>
          </cell>
          <cell r="F440">
            <v>5</v>
          </cell>
        </row>
        <row r="441">
          <cell r="B441" t="str">
            <v>F-2025-12-411</v>
          </cell>
          <cell r="C441" t="str">
            <v>BDB-000131</v>
          </cell>
          <cell r="D441" t="str">
            <v>PVN-001565</v>
          </cell>
          <cell r="E441" t="str">
            <v>OrthoLite Regular-Nike AIR BLUE/16-4134TPX 0.11D 15+/-4 Asker C 1.1M 2M 4mm</v>
          </cell>
          <cell r="F441">
            <v>5</v>
          </cell>
        </row>
        <row r="442">
          <cell r="B442" t="str">
            <v>F-2025-12-425</v>
          </cell>
          <cell r="C442" t="str">
            <v>BDB-000339</v>
          </cell>
          <cell r="D442" t="str">
            <v>PVN-004178</v>
          </cell>
          <cell r="E442" t="str">
            <v>OrthoLite Float NEUTRAL GRAY/17-4402TPX Flat Sheet 0.12D 21+/-4 Asker C 1.1M 2M 5.5mm</v>
          </cell>
          <cell r="F442">
            <v>2</v>
          </cell>
        </row>
        <row r="443">
          <cell r="B443" t="str">
            <v>F-2025-12-449</v>
          </cell>
          <cell r="C443" t="str">
            <v>BDB-000348</v>
          </cell>
          <cell r="D443" t="str">
            <v>PVN-004195</v>
          </cell>
          <cell r="E443" t="str">
            <v>OrthoLite IMPERIAL SEEDPEARL/12-0703TPX Flat Sheet 0.22D 25+/-4 Asker C 1.1M 1.47M 4mm</v>
          </cell>
          <cell r="F443">
            <v>4</v>
          </cell>
        </row>
        <row r="444">
          <cell r="B444" t="str">
            <v>F-2025-12-469</v>
          </cell>
          <cell r="C444" t="str">
            <v>BDB-000076</v>
          </cell>
          <cell r="D444" t="str">
            <v>PVN-003745</v>
          </cell>
          <cell r="E444" t="str">
            <v>OrthoLite X-25 BILLIARD/16-5427TPX Flat Sheet 0.12D 20+/-4 Asker C 1.1M 2M 16mm</v>
          </cell>
          <cell r="F444">
            <v>28</v>
          </cell>
        </row>
        <row r="445">
          <cell r="B445" t="str">
            <v>F-2025-12-483-2</v>
          </cell>
          <cell r="C445" t="str">
            <v>BDB-000348</v>
          </cell>
          <cell r="D445" t="str">
            <v>PVN-004195</v>
          </cell>
          <cell r="E445" t="str">
            <v>OrthoLite IMPERIAL SEEDPEARL/12-0703TPX Flat Sheet 0.22D 25+/-4 Asker C 1.1M 1.47M 4mm</v>
          </cell>
          <cell r="F445">
            <v>68</v>
          </cell>
        </row>
        <row r="446">
          <cell r="B446" t="str">
            <v>F-2025-12-490</v>
          </cell>
          <cell r="C446" t="str">
            <v>BDB-000218</v>
          </cell>
          <cell r="D446" t="str">
            <v>PVN-003488</v>
          </cell>
          <cell r="E446" t="str">
            <v>OrthoLite Ultra-Nike SEEDPEARL/12-0703TPX Flat Sheet 0.085D 5-10 Asker C 1.1M 2M 4mm</v>
          </cell>
          <cell r="F446">
            <v>2</v>
          </cell>
        </row>
        <row r="447">
          <cell r="B447" t="str">
            <v>F-2025-12-51</v>
          </cell>
          <cell r="C447" t="str">
            <v>BDB-000157</v>
          </cell>
          <cell r="D447" t="str">
            <v>PVN-003573</v>
          </cell>
          <cell r="E447" t="str">
            <v>OrthoLite X-35-Hybrid-Nike SEEDPEARL/12-0703TPX Hybrid 0.145D 25+/-4 Asker C 1.1M 2M 4.2mm</v>
          </cell>
          <cell r="F447">
            <v>4</v>
          </cell>
        </row>
        <row r="448">
          <cell r="B448" t="str">
            <v>F-2025-12-54</v>
          </cell>
          <cell r="C448" t="str">
            <v>BDB-000129</v>
          </cell>
          <cell r="D448" t="str">
            <v>PVN-001550</v>
          </cell>
          <cell r="E448" t="str">
            <v>OrthoLite Regular-Nike AIR BLUE/16-4134TPX 0.11D 25+/-4 Asker C 1.1M 1.7M 2mm</v>
          </cell>
          <cell r="F448">
            <v>51</v>
          </cell>
        </row>
        <row r="449">
          <cell r="B449" t="str">
            <v>F-2025-12-541</v>
          </cell>
          <cell r="C449" t="str">
            <v>BDB-000348</v>
          </cell>
          <cell r="D449" t="str">
            <v>PVN-004195</v>
          </cell>
          <cell r="E449" t="str">
            <v>OrthoLite IMPERIAL SEEDPEARL/12-0703TPX Flat Sheet 0.22D 25+/-4 Asker C 1.1M 1.47M 4mm</v>
          </cell>
          <cell r="F449">
            <v>1</v>
          </cell>
        </row>
        <row r="450">
          <cell r="B450" t="str">
            <v>F-2025-12-547</v>
          </cell>
          <cell r="C450" t="str">
            <v>BDB-000348</v>
          </cell>
          <cell r="D450" t="str">
            <v>PVN-004210</v>
          </cell>
          <cell r="E450" t="str">
            <v>OrthoLite IMPERIAL SEEDPEARL/12-0703TPX Flat Sheet 0.22D 25+/-4 Asker C 1.1M 1.47M 5mm</v>
          </cell>
          <cell r="F450">
            <v>1</v>
          </cell>
        </row>
        <row r="451">
          <cell r="B451" t="str">
            <v>F-2025-12-550</v>
          </cell>
          <cell r="C451" t="str">
            <v>BDB-000011</v>
          </cell>
          <cell r="D451" t="str">
            <v>PVN-000121</v>
          </cell>
          <cell r="E451" t="str">
            <v>OrthoLite Regular AIR BLUE/16-4134TPX Flat Sheet 0.13D 35+/-4 Asker C 1.1M 2M 12mm</v>
          </cell>
          <cell r="F451">
            <v>2</v>
          </cell>
        </row>
        <row r="452">
          <cell r="B452" t="str">
            <v>F-2025-12-564</v>
          </cell>
          <cell r="C452" t="str">
            <v>BDB-000011</v>
          </cell>
          <cell r="D452" t="str">
            <v>PVN-000258</v>
          </cell>
          <cell r="E452" t="str">
            <v>OrthoLite Regular AIR BLUE/16-4134TPX Flat Sheet 0.13D 35+/-4 Asker C 1.1M 2M 2.5mm</v>
          </cell>
          <cell r="F452">
            <v>1</v>
          </cell>
        </row>
        <row r="453">
          <cell r="B453" t="str">
            <v>F-2025-12-570</v>
          </cell>
          <cell r="C453" t="str">
            <v>BDB-000097</v>
          </cell>
          <cell r="D453" t="str">
            <v>PVN-002478</v>
          </cell>
          <cell r="E453" t="str">
            <v>OrthoLite Eco LT-Hybrid SEEDPEARL/12-0703TPX Hybrid Flat Sheet 0.11D 25+/-4 Asker C 1.1M 2M 4mm</v>
          </cell>
          <cell r="F453">
            <v>25</v>
          </cell>
        </row>
        <row r="454">
          <cell r="B454" t="str">
            <v>F-2025-12-58</v>
          </cell>
          <cell r="C454" t="str">
            <v>BDB-000235</v>
          </cell>
          <cell r="D454" t="str">
            <v>PVN-003576</v>
          </cell>
          <cell r="E454" t="str">
            <v>OrthoLite X-55-Hybrid FOSSIL/17-0909TPX Hybrid Flat Sheet 0.16D 25+/-4 Asker C 1.1M 1.7M 12mm</v>
          </cell>
          <cell r="F454">
            <v>199</v>
          </cell>
        </row>
        <row r="455">
          <cell r="B455" t="str">
            <v>F-2025-12-588</v>
          </cell>
          <cell r="C455" t="str">
            <v>BDB-000234</v>
          </cell>
          <cell r="D455" t="str">
            <v>PVN-003575</v>
          </cell>
          <cell r="E455" t="str">
            <v>OrthoLite X-30-Hybrid BROWN SUGAR/17-1134TPX Hybrid Flat Sheet 0.13D 25+/-4 Asker C 1.1M 2M 10mm</v>
          </cell>
          <cell r="F455">
            <v>11</v>
          </cell>
        </row>
        <row r="456">
          <cell r="B456" t="str">
            <v>F-2025-12-595</v>
          </cell>
          <cell r="C456" t="str">
            <v>BDB-000321</v>
          </cell>
          <cell r="D456" t="str">
            <v>PVN-004092</v>
          </cell>
          <cell r="E456" t="str">
            <v>OrthoLite Float BLUE ATOLL/16-4535TPX Flat Sheet 0.12D 21+/-4 Asker C 1.1M 2M 14.5mm</v>
          </cell>
          <cell r="F456">
            <v>8</v>
          </cell>
        </row>
        <row r="457">
          <cell r="B457" t="str">
            <v>F-2025-12-600</v>
          </cell>
          <cell r="C457" t="str">
            <v>BDB-000113</v>
          </cell>
          <cell r="D457" t="str">
            <v>PVN-002501</v>
          </cell>
          <cell r="E457" t="str">
            <v>OrthoLite Regular-Hybrid SEEDPEARL/12-0703TPX Hybrid Flat Sheet 0.11D 25+/-4 Asker C 1.1M 2M 2mm</v>
          </cell>
          <cell r="F457">
            <v>14</v>
          </cell>
        </row>
        <row r="458">
          <cell r="B458" t="str">
            <v>F-2025-12-615</v>
          </cell>
          <cell r="C458" t="str">
            <v>BDB-000123</v>
          </cell>
          <cell r="D458" t="str">
            <v>PVN-004024</v>
          </cell>
          <cell r="E458" t="str">
            <v>OrthoLite Ultra-Hybrid SEEDPEARL/12-0703TPX Hybrid Flat Sheet 0.085D 25+/-4 Asker C 1.1M 2M 5.2mm</v>
          </cell>
          <cell r="F458">
            <v>2</v>
          </cell>
        </row>
        <row r="459">
          <cell r="B459" t="str">
            <v>F-2025-12-619</v>
          </cell>
          <cell r="C459" t="str">
            <v>BDB-000352</v>
          </cell>
          <cell r="D459" t="str">
            <v>PVN-004215</v>
          </cell>
          <cell r="E459" t="str">
            <v>OrthoLite Float-Hybrid SEEDPEARL/12-0703TPX Hybrid Flat Sheet 0.12D 21+/-4 Asker C 1.1M 2M 7.5mm</v>
          </cell>
          <cell r="F459">
            <v>2</v>
          </cell>
        </row>
        <row r="460">
          <cell r="B460" t="str">
            <v>F-2026-01-04</v>
          </cell>
          <cell r="C460" t="str">
            <v>BDB-000348</v>
          </cell>
          <cell r="D460" t="str">
            <v>PVN-004195</v>
          </cell>
          <cell r="E460" t="str">
            <v>OrthoLite IMPERIAL SEEDPEARL/12-0703TPX Flat Sheet 0.22D 25+/-4 Asker C 1.1M 1.47M 4mm</v>
          </cell>
          <cell r="F460">
            <v>27</v>
          </cell>
        </row>
        <row r="461">
          <cell r="B461" t="str">
            <v>F-2026-01-110</v>
          </cell>
          <cell r="C461" t="str">
            <v>BDB-000324</v>
          </cell>
          <cell r="D461" t="str">
            <v>PVN-004110</v>
          </cell>
          <cell r="E461" t="str">
            <v>OrthoLite X-40 TRUE BLUE/19-4057TPX Flat Sheet 0.16D 25+/-4 Asker C 1.1M 2M 14.5mm</v>
          </cell>
          <cell r="F461">
            <v>1</v>
          </cell>
        </row>
        <row r="462">
          <cell r="B462" t="str">
            <v>F-2026-01-40</v>
          </cell>
          <cell r="C462" t="str">
            <v>BDB-000057</v>
          </cell>
          <cell r="D462" t="str">
            <v>PVN-000925</v>
          </cell>
          <cell r="E462" t="str">
            <v>OrthoLite Ultra YELLOW/13-0858TPX Flat Sheet 0.085D 25+/-4 Asker C 1.1M 2M 5mm</v>
          </cell>
          <cell r="F462">
            <v>1</v>
          </cell>
        </row>
        <row r="463">
          <cell r="B463" t="str">
            <v>F-2026-01-47</v>
          </cell>
          <cell r="C463" t="str">
            <v>BDB-000348</v>
          </cell>
          <cell r="D463" t="str">
            <v>PVN-004210</v>
          </cell>
          <cell r="E463" t="str">
            <v>OrthoLite IMPERIAL SEEDPEARL/12-0703TPX Flat Sheet 0.22D 25+/-4 Asker C 1.1M 1.47M 5mm</v>
          </cell>
          <cell r="F463">
            <v>1</v>
          </cell>
        </row>
        <row r="464">
          <cell r="B464" t="str">
            <v>F-2026-01-76</v>
          </cell>
          <cell r="C464" t="str">
            <v>BDB-000346</v>
          </cell>
          <cell r="D464" t="str">
            <v>PVN-004188</v>
          </cell>
          <cell r="E464" t="str">
            <v>OrthoLite Float NEUTRAL GRAY/17-4402TPX Flat Sheet 0.12D 21+/-4 Asker C 1.1M 1.47M 5.5mm</v>
          </cell>
          <cell r="F464">
            <v>1</v>
          </cell>
        </row>
        <row r="465">
          <cell r="B465" t="str">
            <v>bù sản xuất</v>
          </cell>
          <cell r="C465" t="str">
            <v>BDB-000347</v>
          </cell>
          <cell r="D465" t="str">
            <v>PVN-004192</v>
          </cell>
          <cell r="E465" t="str">
            <v>OrthoLite X-55-Hybrid SEEDPEARL/12-0703TPX Hybrid 0.16D 25+/-4 Asker C 1.1M 2M 12mm</v>
          </cell>
          <cell r="F465">
            <v>10</v>
          </cell>
        </row>
        <row r="466">
          <cell r="B466" t="str">
            <v>F-2025-10-120-2</v>
          </cell>
          <cell r="C466" t="str">
            <v>BDB-000107</v>
          </cell>
          <cell r="D466" t="str">
            <v>PVN-003482</v>
          </cell>
          <cell r="E466" t="str">
            <v>OrthoLite Eco LT-Hybrid SEEDPEARL/12-0703TPX Hybrid 0.11D 25+/-4 Asker C 1.1M 1.47M 4mm</v>
          </cell>
          <cell r="F466">
            <v>15</v>
          </cell>
        </row>
        <row r="467">
          <cell r="B467" t="str">
            <v>F-2025-10-223-2</v>
          </cell>
          <cell r="C467" t="str">
            <v>BDB-000162</v>
          </cell>
          <cell r="D467" t="str">
            <v>PVN-001566</v>
          </cell>
          <cell r="E467" t="str">
            <v>OrthoLite Ultra-Nike SEEDPEARL/12-0703TPX 0.085D 25+/-4 Asker C 1.1M 2M 4mm</v>
          </cell>
          <cell r="F467">
            <v>35</v>
          </cell>
        </row>
        <row r="468">
          <cell r="B468" t="str">
            <v>F-2025-10-227</v>
          </cell>
          <cell r="C468" t="str">
            <v>BDB-000162</v>
          </cell>
          <cell r="D468" t="str">
            <v>PVN-001566</v>
          </cell>
          <cell r="E468" t="str">
            <v>OrthoLite Ultra-Nike SEEDPEARL/12-0703TPX 0.085D 25+/-4 Asker C 1.1M 2M 4mm</v>
          </cell>
          <cell r="F468">
            <v>46</v>
          </cell>
        </row>
        <row r="469">
          <cell r="B469" t="str">
            <v>F-2025-10-240</v>
          </cell>
          <cell r="C469" t="str">
            <v>BDB-000125</v>
          </cell>
          <cell r="D469" t="str">
            <v>PVN-002413</v>
          </cell>
          <cell r="E469" t="str">
            <v>OrthoLite Regular-Nike AIR BLUE/16-4134TPX 0.11D 25+/-4 Asker C 1.1M 2M 4.2mm</v>
          </cell>
          <cell r="F469">
            <v>5</v>
          </cell>
        </row>
        <row r="470">
          <cell r="B470" t="str">
            <v>F-2025-10-240</v>
          </cell>
          <cell r="C470" t="str">
            <v>BDB-000125</v>
          </cell>
          <cell r="D470" t="str">
            <v>PVN-002413</v>
          </cell>
          <cell r="E470" t="str">
            <v>OrthoLite Regular-Nike AIR BLUE/16-4134TPX 0.11D 25+/-4 Asker C 1.1M 2M 4.2mm</v>
          </cell>
          <cell r="F470">
            <v>2</v>
          </cell>
        </row>
        <row r="471">
          <cell r="B471" t="str">
            <v>F-2025-11-333</v>
          </cell>
          <cell r="C471" t="str">
            <v>BDB-000113</v>
          </cell>
          <cell r="D471" t="str">
            <v>PVN-003414</v>
          </cell>
          <cell r="E471" t="str">
            <v>OrthoLite Regular-Hybrid SEEDPEARL/12-0703TPX Hybrid Flat Sheet 0.11D 25+/-4 Asker C 1.1M 2M 12mm</v>
          </cell>
          <cell r="F471">
            <v>348</v>
          </cell>
        </row>
        <row r="472">
          <cell r="B472" t="str">
            <v>F-2025-11-334-2</v>
          </cell>
          <cell r="C472" t="str">
            <v>BDB-000113</v>
          </cell>
          <cell r="D472" t="str">
            <v>PVN-003414</v>
          </cell>
          <cell r="E472" t="str">
            <v>OrthoLite Regular-Hybrid SEEDPEARL/12-0703TPX Hybrid Flat Sheet 0.11D 25+/-4 Asker C 1.1M 2M 12mm</v>
          </cell>
          <cell r="F472">
            <v>8</v>
          </cell>
        </row>
        <row r="473">
          <cell r="B473" t="str">
            <v>F-2025-12-314</v>
          </cell>
          <cell r="C473" t="str">
            <v>BDB-000347</v>
          </cell>
          <cell r="D473" t="str">
            <v>PVN-004192</v>
          </cell>
          <cell r="E473" t="str">
            <v>OrthoLite X-55-Hybrid SEEDPEARL/12-0703TPX Hybrid 0.16D 25+/-4 Asker C 1.1M 2M 12mm</v>
          </cell>
          <cell r="F473">
            <v>10</v>
          </cell>
        </row>
        <row r="474">
          <cell r="B474" t="str">
            <v>F-2025-12-463</v>
          </cell>
          <cell r="C474" t="str">
            <v>BDB-000348</v>
          </cell>
          <cell r="D474" t="str">
            <v>PVN-004210</v>
          </cell>
          <cell r="E474" t="str">
            <v>OrthoLite IMPERIAL SEEDPEARL/12-0703TPX Flat Sheet 0.22D 25+/-4 Asker C 1.1M 1.47M 5mm</v>
          </cell>
          <cell r="F474">
            <v>76</v>
          </cell>
        </row>
        <row r="475">
          <cell r="B475" t="str">
            <v>F-2025-12-47</v>
          </cell>
          <cell r="C475" t="str">
            <v>BDB-000125</v>
          </cell>
          <cell r="D475" t="str">
            <v>PVN-001579</v>
          </cell>
          <cell r="E475" t="str">
            <v>OrthoLite Regular-Nike AIR BLUE/16-4134TPX Flat Sheet 0.11D 25+/-4 Asker C 1.1M 2M 4mm</v>
          </cell>
          <cell r="F475">
            <v>15</v>
          </cell>
        </row>
        <row r="476">
          <cell r="B476" t="str">
            <v>F-2025-12-506</v>
          </cell>
          <cell r="C476" t="str">
            <v>BDB-000058</v>
          </cell>
          <cell r="D476" t="str">
            <v>PVN-001319</v>
          </cell>
          <cell r="E476" t="str">
            <v>OrthoLite Ultra GREEN/16-5932TPX 0.085D 25+/-4 Asker C 1.1M 2M 5mm</v>
          </cell>
          <cell r="F476">
            <v>5</v>
          </cell>
        </row>
        <row r="477">
          <cell r="B477" t="str">
            <v>F-2025-12-508</v>
          </cell>
          <cell r="C477" t="str">
            <v>BDB-000123</v>
          </cell>
          <cell r="D477" t="str">
            <v>PVN-003298</v>
          </cell>
          <cell r="E477" t="str">
            <v>OrthoLite Ultra-Hybrid SEEDPEARL/12-0703TPX Hybrid 0.085D 25+/-4 Asker C 1.1M 2M 4mm</v>
          </cell>
          <cell r="F477">
            <v>15</v>
          </cell>
        </row>
        <row r="478">
          <cell r="B478" t="str">
            <v>F-2025-12-510</v>
          </cell>
          <cell r="C478" t="str">
            <v>BDB-000123</v>
          </cell>
          <cell r="D478" t="str">
            <v>PVN-003298</v>
          </cell>
          <cell r="E478" t="str">
            <v>OrthoLite Ultra-Hybrid SEEDPEARL/12-0703TPX Hybrid 0.085D 25+/-4 Asker C 1.1M 2M 4mm</v>
          </cell>
          <cell r="F478">
            <v>21</v>
          </cell>
        </row>
        <row r="479">
          <cell r="B479" t="str">
            <v>F-2025-12-540</v>
          </cell>
          <cell r="C479" t="str">
            <v>BDB-000348</v>
          </cell>
          <cell r="D479" t="str">
            <v>PVN-004195</v>
          </cell>
          <cell r="E479" t="str">
            <v>OrthoLite IMPERIAL SEEDPEARL/12-0703TPX Flat Sheet 0.22D 25+/-4 Asker C 1.1M 1.47M 4mm</v>
          </cell>
          <cell r="F479">
            <v>4</v>
          </cell>
        </row>
        <row r="480">
          <cell r="B480" t="str">
            <v>F-2025-12-572</v>
          </cell>
          <cell r="C480" t="str">
            <v>BDB-000336</v>
          </cell>
          <cell r="D480" t="str">
            <v>PVN-004168</v>
          </cell>
          <cell r="E480" t="str">
            <v>OrthoLite X-40-Nike SEEDPEARL/12-0703TPX Flat Sheet 0.16D 35+/-4 Asker C 1.1M 2M 4.5mm</v>
          </cell>
          <cell r="F480">
            <v>7</v>
          </cell>
        </row>
        <row r="481">
          <cell r="B481" t="str">
            <v>F-2025-12-608</v>
          </cell>
          <cell r="C481" t="str">
            <v>BDB-000083</v>
          </cell>
          <cell r="D481" t="str">
            <v>PVN-003969</v>
          </cell>
          <cell r="E481" t="str">
            <v>OrthoLite Eco LT 300C(ADIDAS BLUEBIRD) Flat Sheet 0.11D 25+/-4 Asker C 1.1M 2M 12mm</v>
          </cell>
          <cell r="F481">
            <v>9</v>
          </cell>
        </row>
        <row r="482">
          <cell r="B482" t="str">
            <v>F-2025-12-609</v>
          </cell>
          <cell r="C482" t="str">
            <v>BDB-000008</v>
          </cell>
          <cell r="D482" t="str">
            <v>PVN-000505</v>
          </cell>
          <cell r="E482" t="str">
            <v>OrthoLite Regular LIME GREEN/14-0452TPX Flat Sheet 0.11D 25+/-4 Asker C 1.1M 2M 12mm</v>
          </cell>
          <cell r="F482">
            <v>101</v>
          </cell>
        </row>
        <row r="483">
          <cell r="B483" t="str">
            <v>F-2025-12-625</v>
          </cell>
          <cell r="C483" t="str">
            <v>BDB-000348</v>
          </cell>
          <cell r="D483" t="str">
            <v>PVN-004210</v>
          </cell>
          <cell r="E483" t="str">
            <v>OrthoLite IMPERIAL SEEDPEARL/12-0703TPX Flat Sheet 0.22D 25+/-4 Asker C 1.1M 1.47M 5mm</v>
          </cell>
          <cell r="F483">
            <v>24</v>
          </cell>
        </row>
        <row r="484">
          <cell r="B484" t="str">
            <v>F-2026-01-02</v>
          </cell>
          <cell r="C484" t="str">
            <v>BDB-000057</v>
          </cell>
          <cell r="D484" t="str">
            <v>PVN-000849</v>
          </cell>
          <cell r="E484" t="str">
            <v>OrthoLite Ultra YELLOW/13-0858TPX Flat Sheet 0.085D 25+/-4 Asker C 1.1M 2M 8mm</v>
          </cell>
          <cell r="F484">
            <v>3</v>
          </cell>
        </row>
        <row r="485">
          <cell r="B485" t="str">
            <v>F-2026-01-03</v>
          </cell>
          <cell r="C485" t="str">
            <v>BDB-000264</v>
          </cell>
          <cell r="D485" t="str">
            <v>PVN-003881</v>
          </cell>
          <cell r="E485" t="str">
            <v>OrthoLite Ultra YELLOW/13-0858TPX Flat Sheet 0.085D 25+/-4 Asker C 1.1M 1.47M 5mm</v>
          </cell>
          <cell r="F485">
            <v>4</v>
          </cell>
        </row>
        <row r="486">
          <cell r="B486" t="str">
            <v>F-2026-01-80</v>
          </cell>
          <cell r="C486" t="str">
            <v>BDB-000004</v>
          </cell>
          <cell r="D486" t="str">
            <v>PVN-000445</v>
          </cell>
          <cell r="E486" t="str">
            <v>OrthoLite Regular GREY/17-1501TPX Flat Sheet 0.11D 25+/-4 Asker C 1.1M 2M 13mm</v>
          </cell>
          <cell r="F486">
            <v>4</v>
          </cell>
        </row>
        <row r="487">
          <cell r="B487" t="str">
            <v>oin-2026.01.06-01</v>
          </cell>
          <cell r="C487" t="str">
            <v>BDB-000164</v>
          </cell>
          <cell r="D487" t="str">
            <v>PVN-004253</v>
          </cell>
          <cell r="E487" t="str">
            <v>[116-12728] Ultra Nike 25+/-4 Asker C 0.085D Grey 17-1501 Tpx 1.10M X 2.00M 47mm</v>
          </cell>
          <cell r="F487">
            <v>9</v>
          </cell>
        </row>
        <row r="488">
          <cell r="B488" t="str">
            <v>S-2026-01-24</v>
          </cell>
          <cell r="C488" t="str">
            <v>BDB-000134</v>
          </cell>
          <cell r="D488" t="str">
            <v>PVN-001664</v>
          </cell>
          <cell r="E488" t="str">
            <v>OrthoLite Regular-Nike YELLOW/13-0858TPX Flat Sheet 0.11D 25+/-4 Asker C 1.1M 1.7M 2mm</v>
          </cell>
          <cell r="F488">
            <v>1</v>
          </cell>
        </row>
        <row r="489">
          <cell r="B489" t="str">
            <v>S-2026-01-25</v>
          </cell>
          <cell r="C489" t="str">
            <v>BDB-000185</v>
          </cell>
          <cell r="D489" t="str">
            <v>PVN-001737</v>
          </cell>
          <cell r="E489" t="str">
            <v>OrthoLite Regular-Nike YELLOW/13-0858TPX Flat Sheet 0.11D 25+/-4 Asker C 1.1M 2M 5mm</v>
          </cell>
          <cell r="F489">
            <v>2</v>
          </cell>
        </row>
        <row r="490">
          <cell r="B490" t="str">
            <v>S-2026-01-26</v>
          </cell>
          <cell r="C490" t="str">
            <v>BDB-000129</v>
          </cell>
          <cell r="D490" t="str">
            <v>PVN-001550</v>
          </cell>
          <cell r="E490" t="str">
            <v>OrthoLite Regular-Nike AIR BLUE/16-4134TPX Flat Sheet 0.11D 25+/-4 Asker C 1.1M 1.7M 2mm</v>
          </cell>
          <cell r="F490">
            <v>1</v>
          </cell>
        </row>
        <row r="491">
          <cell r="B491" t="str">
            <v>S-2026-01-32</v>
          </cell>
          <cell r="C491" t="str">
            <v>BDB-000113</v>
          </cell>
          <cell r="D491" t="str">
            <v>PVN-003414</v>
          </cell>
          <cell r="E491" t="str">
            <v>OrthoLite Regular-Hybrid SEEDPEARL/12-0703TPX Hybrid 0.11D 25+/-4 Asker C 1.1M 2M 12mm</v>
          </cell>
          <cell r="F491">
            <v>14</v>
          </cell>
        </row>
        <row r="492">
          <cell r="B492" t="str">
            <v>S-2026-01-34</v>
          </cell>
          <cell r="C492" t="str">
            <v>BDB-000123</v>
          </cell>
          <cell r="D492" t="str">
            <v>PVN-003298</v>
          </cell>
          <cell r="E492" t="str">
            <v>OrthoLite Ultra-Hybrid SEEDPEARL/12-0703TPX Hybrid 0.085D 25+/-4 Asker C 1.1M 2M 4mm</v>
          </cell>
          <cell r="F492">
            <v>3</v>
          </cell>
        </row>
        <row r="493">
          <cell r="B493" t="str">
            <v>S-2026-01-35</v>
          </cell>
          <cell r="C493" t="str">
            <v>BDB-000057</v>
          </cell>
          <cell r="D493" t="str">
            <v>PVN-000925</v>
          </cell>
          <cell r="E493" t="str">
            <v>OrthoLite Ultra YELLOW/13-0858TPX 0.085D 25+/-4 Asker C 1.1M 2M 5mm</v>
          </cell>
          <cell r="F493">
            <v>1</v>
          </cell>
        </row>
        <row r="494">
          <cell r="B494" t="str">
            <v>S-2026-01-37</v>
          </cell>
          <cell r="C494" t="str">
            <v>BDB-000113</v>
          </cell>
          <cell r="D494" t="str">
            <v>PVN-004084</v>
          </cell>
          <cell r="E494" t="str">
            <v>OrthoLite Regular-Hybrid SEEDPEARL/12-0703TPX Hybrid Flat Sheet 0.11D 25+/-4 Asker C 1.1M 2M 18.5mm</v>
          </cell>
          <cell r="F494">
            <v>3</v>
          </cell>
        </row>
        <row r="495">
          <cell r="B495" t="str">
            <v>S-2026-01-39</v>
          </cell>
          <cell r="C495" t="str">
            <v>BDB-000011</v>
          </cell>
          <cell r="D495" t="str">
            <v>PVN-003965</v>
          </cell>
          <cell r="E495" t="str">
            <v>OrthoLite Regular AIR BLUE/16-4134TPX Flat Sheet 0.13D 35+/-4 Asker C 1.1M 2M 2mm</v>
          </cell>
          <cell r="F495">
            <v>1</v>
          </cell>
        </row>
        <row r="496">
          <cell r="B496" t="str">
            <v>S-2026-01-40</v>
          </cell>
          <cell r="C496" t="str">
            <v>BDB-000011</v>
          </cell>
          <cell r="D496" t="str">
            <v>PVN-000127</v>
          </cell>
          <cell r="E496" t="str">
            <v>OrthoLite Regular AIR BLUE/16-4134TPX 0.13D 35+/-4 Asker C 1.1M 2M 5mm</v>
          </cell>
          <cell r="F496">
            <v>2</v>
          </cell>
        </row>
        <row r="497">
          <cell r="B497" t="str">
            <v>S-2026-01-41</v>
          </cell>
          <cell r="C497" t="str">
            <v>BDB-000113</v>
          </cell>
          <cell r="D497" t="str">
            <v>PVN-003601</v>
          </cell>
          <cell r="E497" t="str">
            <v>OrthoLite Regular-Hybrid SEEDPEARL/12-0703TPX Hybrid Flat Sheet 0.11D 25+/-4 Asker C 1.1M 2M 20mm</v>
          </cell>
          <cell r="F497">
            <v>4</v>
          </cell>
        </row>
        <row r="498">
          <cell r="B498" t="str">
            <v>S-2026-01-52</v>
          </cell>
          <cell r="C498" t="str">
            <v>BDB-000188</v>
          </cell>
          <cell r="D498" t="str">
            <v>PVN-003753</v>
          </cell>
          <cell r="E498" t="str">
            <v>OrthoLite Ultra-Hybrid SEEDPEARL/12-0703TPX Hybrid Flat Sheet 0.085D 25+/-4 Asker C 1.1M 1.47M 3mm</v>
          </cell>
          <cell r="F498">
            <v>1</v>
          </cell>
        </row>
        <row r="499">
          <cell r="B499" t="str">
            <v>S-2026-01-59</v>
          </cell>
          <cell r="C499" t="str">
            <v>BDB-000123</v>
          </cell>
          <cell r="D499" t="str">
            <v>PVN-003299</v>
          </cell>
          <cell r="E499" t="str">
            <v>OrthoLite Ultra-Hybrid SEEDPEARL/12-0703TPX Hybrid Flat Sheet 0.085D 25+/-4 Asker C 1.1M 2M 3mm</v>
          </cell>
          <cell r="F499">
            <v>5</v>
          </cell>
        </row>
        <row r="500">
          <cell r="B500" t="str">
            <v>S-2026-01-60</v>
          </cell>
          <cell r="C500" t="str">
            <v>BDB-000348</v>
          </cell>
          <cell r="D500" t="str">
            <v>PVN-004195</v>
          </cell>
          <cell r="E500" t="str">
            <v>OrthoLite IMPERIAL SEEDPEARL/12-0703TPX Flat Sheet 0.22D 25+/-4 Asker C 1.1M 1.47M 4mm</v>
          </cell>
          <cell r="F500">
            <v>6</v>
          </cell>
        </row>
        <row r="501">
          <cell r="B501" t="str">
            <v>F-2025-11-326</v>
          </cell>
          <cell r="C501" t="str">
            <v>BDB-000235</v>
          </cell>
          <cell r="D501" t="str">
            <v>PVN-003576</v>
          </cell>
          <cell r="E501" t="str">
            <v>OrthoLite X-55-Hybrid FOSSIL/17-0909TPX Hybrid Flat Sheet 0.16D 25+/-4 Asker C 1.1M 1.7M 12mm</v>
          </cell>
          <cell r="F501">
            <v>132</v>
          </cell>
        </row>
        <row r="502">
          <cell r="B502" t="str">
            <v>F-2025-11-421-2</v>
          </cell>
          <cell r="C502" t="str">
            <v>BDB-000123</v>
          </cell>
          <cell r="D502" t="str">
            <v>PVN-002973</v>
          </cell>
          <cell r="E502" t="str">
            <v>OrthoLite Ultra-Hybrid SEEDPEARL/12-0703TPX Hybrid 0.085D 25+/-4 Asker C 1.1M 2M 4.5mm</v>
          </cell>
          <cell r="F502">
            <v>17</v>
          </cell>
        </row>
        <row r="503">
          <cell r="B503" t="str">
            <v>F-2025-12-224</v>
          </cell>
          <cell r="C503" t="str">
            <v>BDB-000097</v>
          </cell>
          <cell r="D503" t="str">
            <v>PVN-002478</v>
          </cell>
          <cell r="E503" t="str">
            <v>OrthoLite Eco LT-Hybrid SEEDPEARL/12-0703TPX Hybrid 0.11D 25+/-4 Asker C 1.1M 2M 4mm</v>
          </cell>
          <cell r="F503">
            <v>89</v>
          </cell>
        </row>
        <row r="504">
          <cell r="B504" t="str">
            <v>F-2025-12-367</v>
          </cell>
          <cell r="C504" t="str">
            <v>BDB-000123</v>
          </cell>
          <cell r="D504" t="str">
            <v>PVN-002539</v>
          </cell>
          <cell r="E504" t="str">
            <v>OrthoLite Ultra-Hybrid SEEDPEARL/12-0703TPX Hybrid Flat Sheet 0.085D 25+/-4 Asker C 1.1M 2M 5mm</v>
          </cell>
          <cell r="F504">
            <v>28</v>
          </cell>
        </row>
        <row r="505">
          <cell r="B505" t="str">
            <v>F-2025-12-402</v>
          </cell>
          <cell r="C505" t="str">
            <v>BDB-000175</v>
          </cell>
          <cell r="D505" t="str">
            <v>PVN-002966</v>
          </cell>
          <cell r="E505" t="str">
            <v>OrthoLite Ultra-Hybrid-Nike SEEDPEARL/12-0703TPX Hybrid 0.085D 25+/-4 Asker C 1.1M 2M 4mm</v>
          </cell>
          <cell r="F505">
            <v>100</v>
          </cell>
        </row>
        <row r="506">
          <cell r="B506" t="str">
            <v>F-2025-12-419</v>
          </cell>
          <cell r="C506" t="str">
            <v>BDB-000157</v>
          </cell>
          <cell r="D506" t="str">
            <v>PVN-003573</v>
          </cell>
          <cell r="E506" t="str">
            <v>OrthoLite X-35-Hybrid-Nike SEEDPEARL/12-0703TPX Hybrid 0.145D 25+/-4 Asker C 1.1M 2M 4.2mm</v>
          </cell>
          <cell r="F506">
            <v>91</v>
          </cell>
        </row>
        <row r="507">
          <cell r="B507" t="str">
            <v>F-2025-12-50-2</v>
          </cell>
          <cell r="C507" t="str">
            <v>BDB-000157</v>
          </cell>
          <cell r="D507" t="str">
            <v>PVN-003573</v>
          </cell>
          <cell r="E507" t="str">
            <v>OrthoLite X-35-Hybrid-Nike SEEDPEARL/12-0703TPX Hybrid 0.145D 25+/-4 Asker C 1.1M 2M 4.2mm</v>
          </cell>
          <cell r="F507">
            <v>61</v>
          </cell>
        </row>
        <row r="508">
          <cell r="B508" t="str">
            <v>F-2025-12-574</v>
          </cell>
          <cell r="C508" t="str">
            <v>BDB-000011</v>
          </cell>
          <cell r="D508" t="str">
            <v>PVN-000121</v>
          </cell>
          <cell r="E508" t="str">
            <v>OrthoLite Regular AIR BLUE/16-4134TPX Flat Sheet 0.13D 35+/-4 Asker C 1.1M 2M 12mm</v>
          </cell>
          <cell r="F508">
            <v>64</v>
          </cell>
        </row>
        <row r="509">
          <cell r="B509" t="str">
            <v>F-2025-12-584</v>
          </cell>
          <cell r="C509" t="str">
            <v>BDB-000340</v>
          </cell>
          <cell r="D509" t="str">
            <v>PVN-004177</v>
          </cell>
          <cell r="E509" t="str">
            <v>OrthoLite Float SEEDPEARL/12-0703TPX Flat Sheet 0.12D 21+/-4 Asker C 1.1M 2M 5.5mm</v>
          </cell>
          <cell r="F509">
            <v>6</v>
          </cell>
        </row>
        <row r="510">
          <cell r="B510" t="str">
            <v>F-2025-12-610</v>
          </cell>
          <cell r="C510" t="str">
            <v>BDB-000011</v>
          </cell>
          <cell r="D510" t="str">
            <v>PVN-000121</v>
          </cell>
          <cell r="E510" t="str">
            <v>OrthoLite Regular AIR BLUE/16-4134TPX Flat Sheet 0.13D 35+/-4 Asker C 1.1M 2M 12mm</v>
          </cell>
          <cell r="F510">
            <v>157</v>
          </cell>
        </row>
        <row r="511">
          <cell r="B511" t="str">
            <v>F-2025-12-620</v>
          </cell>
          <cell r="C511" t="str">
            <v>BDB-000235</v>
          </cell>
          <cell r="D511" t="str">
            <v>PVN-003577</v>
          </cell>
          <cell r="E511" t="str">
            <v>OrthoLite X-55-Hybrid FOSSIL/17-0909TPX Hybrid Flat Sheet 0.16D 25+/-4 Asker C 1.1M 1.7M 10mm</v>
          </cell>
          <cell r="F511">
            <v>39</v>
          </cell>
        </row>
        <row r="512">
          <cell r="B512" t="str">
            <v>F-2025-12-627</v>
          </cell>
          <cell r="C512" t="str">
            <v>BDB-000011</v>
          </cell>
          <cell r="D512" t="str">
            <v>PVN-000121</v>
          </cell>
          <cell r="E512" t="str">
            <v>OrthoLite Regular AIR BLUE/16-4134TPX Flat Sheet 0.13D 35+/-4 Asker C 1.1M 2M 12mm</v>
          </cell>
          <cell r="F512">
            <v>9</v>
          </cell>
        </row>
        <row r="513">
          <cell r="B513" t="str">
            <v>F-2025-12-634</v>
          </cell>
          <cell r="C513" t="str">
            <v>BDB-000117</v>
          </cell>
          <cell r="D513" t="str">
            <v>PVN-003148</v>
          </cell>
          <cell r="E513" t="str">
            <v>OrthoLite X-35-Hybrid SEEDPEARL/12-0703TPX Hybrid Flat Sheet 0.145D 25+/-4 Asker C 1.1M 2M 4.5mm</v>
          </cell>
          <cell r="F513">
            <v>4</v>
          </cell>
        </row>
        <row r="514">
          <cell r="B514" t="str">
            <v>F-2025-12-638</v>
          </cell>
          <cell r="C514" t="str">
            <v>BDB-000321</v>
          </cell>
          <cell r="D514" t="str">
            <v>PVN-004104</v>
          </cell>
          <cell r="E514" t="str">
            <v>OrthoLite Float BLUE ATOLL/16-4535TPX Flat Sheet 0.12D 21+/-4 Asker C 1.1M 2M 5mm</v>
          </cell>
          <cell r="F514">
            <v>10</v>
          </cell>
        </row>
        <row r="515">
          <cell r="B515" t="str">
            <v>F-2025-12-642</v>
          </cell>
          <cell r="C515" t="str">
            <v>BDB-000180</v>
          </cell>
          <cell r="D515" t="str">
            <v>PVN-003236</v>
          </cell>
          <cell r="E515" t="str">
            <v>OrthoLite Eco LT-Hybrid-Converse SEEDPEARL/12-0703TPX Hybrid 0.13D 25+/-4 Asker C 1.1M 2M 5mm</v>
          </cell>
          <cell r="F515">
            <v>36</v>
          </cell>
        </row>
        <row r="516">
          <cell r="B516" t="str">
            <v>F-2025-12-643</v>
          </cell>
          <cell r="C516" t="str">
            <v>BDB-000180</v>
          </cell>
          <cell r="D516" t="str">
            <v>PVN-003236</v>
          </cell>
          <cell r="E516" t="str">
            <v>OrthoLite Eco LT-Hybrid-Converse SEEDPEARL/12-0703TPX Hybrid 0.13D 25+/-4 Asker C 1.1M 2M 5mm</v>
          </cell>
          <cell r="F516">
            <v>36</v>
          </cell>
        </row>
        <row r="517">
          <cell r="B517" t="str">
            <v>F-2026-01-07</v>
          </cell>
          <cell r="C517" t="str">
            <v>BDB-000011</v>
          </cell>
          <cell r="D517" t="str">
            <v>PVN-000258</v>
          </cell>
          <cell r="E517" t="str">
            <v>OrthoLite Regular AIR BLUE/16-4134TPX Flat Sheet 0.13D 35+/-4 Asker C 1.1M 2M 2.5mm</v>
          </cell>
          <cell r="F517">
            <v>6</v>
          </cell>
        </row>
        <row r="518">
          <cell r="B518" t="str">
            <v>F-2026-01-08</v>
          </cell>
          <cell r="C518" t="str">
            <v>BDB-000058</v>
          </cell>
          <cell r="D518" t="str">
            <v>PVN-001277</v>
          </cell>
          <cell r="E518" t="str">
            <v>OrthoLite Ultra GREEN/16-5932TPX Flat Sheet 0.085D 25+/-4 Asker C 1.1M 2M 4mm</v>
          </cell>
          <cell r="F518">
            <v>3</v>
          </cell>
        </row>
        <row r="519">
          <cell r="B519" t="str">
            <v>F-2026-01-111</v>
          </cell>
          <cell r="C519" t="str">
            <v>BDB-000273</v>
          </cell>
          <cell r="D519" t="str">
            <v>PVN-004138</v>
          </cell>
          <cell r="E519" t="str">
            <v>OrthoLite X-40-Hybrid SEEDPEARL/12-0703TPX Hybrid Flat Sheet 0.16D 25+/-4 Asker C 1.1M 2M 5.5mm</v>
          </cell>
          <cell r="F519">
            <v>1</v>
          </cell>
        </row>
        <row r="520">
          <cell r="B520" t="str">
            <v>F-2026-01-19</v>
          </cell>
          <cell r="C520" t="str">
            <v>BDB-000011</v>
          </cell>
          <cell r="D520" t="str">
            <v>PVN-000121</v>
          </cell>
          <cell r="E520" t="str">
            <v>OrthoLite Regular AIR BLUE/16-4134TPX Flat Sheet 0.13D 35+/-4 Asker C 1.1M 2M 12mm</v>
          </cell>
          <cell r="F520">
            <v>45</v>
          </cell>
        </row>
        <row r="521">
          <cell r="B521" t="str">
            <v>F-2026-01-24</v>
          </cell>
          <cell r="C521" t="str">
            <v>BDB-000209</v>
          </cell>
          <cell r="D521" t="str">
            <v>PVN-003537</v>
          </cell>
          <cell r="E521" t="str">
            <v>OrthoLite HybridPlus-Recycled MINT GREEN/11-4805TPX Hybrid Flat Sheet 0.12D 25+/-4 Asker C 1.1M 2M 4.5mm</v>
          </cell>
          <cell r="F521">
            <v>2</v>
          </cell>
        </row>
        <row r="522">
          <cell r="B522" t="str">
            <v>F-2026-01-35</v>
          </cell>
          <cell r="C522" t="str">
            <v>BDB-000040</v>
          </cell>
          <cell r="D522" t="str">
            <v>PVN-000761</v>
          </cell>
          <cell r="E522" t="str">
            <v>OrthoLite Regular AIR BLUE/16-4134TPX Flat Sheet 0.13D 35+/-4 Asker C 1.1M 1.7M 2mm</v>
          </cell>
          <cell r="F522">
            <v>8</v>
          </cell>
        </row>
        <row r="523">
          <cell r="B523" t="str">
            <v>F-2026-01-36</v>
          </cell>
          <cell r="C523" t="str">
            <v>BDB-000126</v>
          </cell>
          <cell r="D523" t="str">
            <v>PVN-002325</v>
          </cell>
          <cell r="E523" t="str">
            <v>OrthoLite Regular-Nike RED/19-1764TPX Flat Sheet 0.11D 25+/-4 Asker C 1.1M 2M 5.2mm</v>
          </cell>
          <cell r="F523">
            <v>13</v>
          </cell>
        </row>
        <row r="524">
          <cell r="B524" t="str">
            <v>F-2026-01-53</v>
          </cell>
          <cell r="C524" t="str">
            <v>BDB-000209</v>
          </cell>
          <cell r="D524" t="str">
            <v>PVN-003537</v>
          </cell>
          <cell r="E524" t="str">
            <v>OrthoLite HybridPlus-Recycled MINT GREEN/11-4805TPX Hybrid Flat Sheet 0.12D 25+/-4 Asker C 1.1M 2M 4.5mm</v>
          </cell>
          <cell r="F524">
            <v>3</v>
          </cell>
        </row>
        <row r="525">
          <cell r="B525" t="str">
            <v>F-2026-01-55</v>
          </cell>
          <cell r="C525" t="str">
            <v>BDB-000117</v>
          </cell>
          <cell r="D525" t="str">
            <v>PVN-003234</v>
          </cell>
          <cell r="E525" t="str">
            <v>OrthoLite X-35-Hybrid SEEDPEARL/12-0703TPX Hybrid Flat Sheet 0.145D 25+/-4 Asker C 1.1M 2M 5.5mm</v>
          </cell>
          <cell r="F525">
            <v>1</v>
          </cell>
        </row>
        <row r="526">
          <cell r="B526" t="str">
            <v>F-2026-01-59</v>
          </cell>
          <cell r="C526" t="str">
            <v>BDB-000097</v>
          </cell>
          <cell r="D526" t="str">
            <v>PVN-003671</v>
          </cell>
          <cell r="E526" t="str">
            <v>OrthoLite Eco LT-Hybrid SEEDPEARL/12-0703TPX Hybrid Flat Sheet 0.11D 25+/-4 Asker C 1.1M 2M 13mm</v>
          </cell>
          <cell r="F526">
            <v>1</v>
          </cell>
        </row>
        <row r="527">
          <cell r="B527" t="str">
            <v>F-2026-01-71</v>
          </cell>
          <cell r="C527" t="str">
            <v>BDB-000235</v>
          </cell>
          <cell r="D527" t="str">
            <v>PVN-003576</v>
          </cell>
          <cell r="E527" t="str">
            <v>OrthoLite X-55-Hybrid FOSSIL/17-0909TPX Hybrid Flat Sheet 0.16D 25+/-4 Asker C 1.1M 1.7M 12mm</v>
          </cell>
          <cell r="F527">
            <v>1</v>
          </cell>
        </row>
        <row r="528">
          <cell r="B528" t="str">
            <v>F-2026-01-74</v>
          </cell>
          <cell r="C528" t="str">
            <v>BDB-000234</v>
          </cell>
          <cell r="D528" t="str">
            <v>PVN-003581</v>
          </cell>
          <cell r="E528" t="str">
            <v>OrthoLite X-30-Hybrid BROWN SUGAR/17-1134TPX Hybrid Flat Sheet 0.13D 25+/-4 Asker C 1.1M 2M 12mm</v>
          </cell>
          <cell r="F528">
            <v>1</v>
          </cell>
        </row>
        <row r="529">
          <cell r="B529" t="str">
            <v>F-2026-01-78</v>
          </cell>
          <cell r="C529" t="str">
            <v>BDB-000097</v>
          </cell>
          <cell r="D529" t="str">
            <v>PVN-003671</v>
          </cell>
          <cell r="E529" t="str">
            <v>OrthoLite Eco LT-Hybrid SEEDPEARL/12-0703TPX Hybrid Flat Sheet 0.11D 25+/-4 Asker C 1.1M 2M 13mm</v>
          </cell>
          <cell r="F529">
            <v>3</v>
          </cell>
        </row>
        <row r="530">
          <cell r="B530" t="str">
            <v>F-2026-01-79</v>
          </cell>
          <cell r="C530" t="str">
            <v>BDB-000076</v>
          </cell>
          <cell r="D530" t="str">
            <v>PVN-004072</v>
          </cell>
          <cell r="E530" t="str">
            <v>OrthoLite X-25 BILLIARD/16-5427TPX Flat Sheet 0.12D 20+/-4 Asker C 1.1M 2M 20mm</v>
          </cell>
          <cell r="F530">
            <v>2</v>
          </cell>
        </row>
        <row r="531">
          <cell r="B531" t="str">
            <v>F-2026-01-91</v>
          </cell>
          <cell r="C531" t="str">
            <v>BDB-000154</v>
          </cell>
          <cell r="D531" t="str">
            <v>PVN-003347</v>
          </cell>
          <cell r="E531" t="str">
            <v>OrthoLite X-40-Nike TRUE BLUE/19-4057TPX Flat Sheet 0.16D 35+/-4 Asker C 1.1M 1.7M 4mm</v>
          </cell>
          <cell r="F531">
            <v>5</v>
          </cell>
        </row>
        <row r="532">
          <cell r="B532" t="str">
            <v>OIN-2026.01.07-01</v>
          </cell>
          <cell r="C532" t="str">
            <v>BDB-000001</v>
          </cell>
          <cell r="D532" t="str">
            <v>PVN-003935</v>
          </cell>
          <cell r="E532" t="str">
            <v>[116-205] Regular 15+/-4 Asker C 0.11D Burnt Sienna 17-1544 Tpx 1.10M X 2.00M 47mm</v>
          </cell>
          <cell r="F532">
            <v>2</v>
          </cell>
        </row>
        <row r="533">
          <cell r="B533" t="str">
            <v>OIN-2026.01.07-02</v>
          </cell>
          <cell r="C533" t="str">
            <v>BDB-000025</v>
          </cell>
          <cell r="D533" t="str">
            <v>PVN-003785</v>
          </cell>
          <cell r="E533" t="str">
            <v>[116-247] Regular 25+/-4 Asker C 0.11D Green 16-5932 Tpx 1.10M X 2.00M 47mm</v>
          </cell>
          <cell r="F533">
            <v>9</v>
          </cell>
        </row>
        <row r="534">
          <cell r="B534" t="str">
            <v>OIN-2026.01.07-03</v>
          </cell>
          <cell r="C534" t="str">
            <v>BDB-000058</v>
          </cell>
          <cell r="D534" t="str">
            <v>PVN-003780</v>
          </cell>
          <cell r="E534" t="str">
            <v>[116-361] Ultra 25+/-4 Asker C 0.085D Green 16-5932 Tpx 1.10M X 2.00M 47mm</v>
          </cell>
          <cell r="F534">
            <v>50</v>
          </cell>
        </row>
        <row r="535">
          <cell r="B535" t="str">
            <v>F-2025-10-223-2</v>
          </cell>
          <cell r="C535" t="str">
            <v>BDB-000162</v>
          </cell>
          <cell r="D535" t="str">
            <v>PVN-001566</v>
          </cell>
          <cell r="E535" t="str">
            <v>OrthoLite Ultra-Nike SEEDPEARL/12-0703TPX 0.085D 25+/-4 Asker C 1.1M 2M 4mm</v>
          </cell>
          <cell r="F535">
            <v>5</v>
          </cell>
        </row>
        <row r="536">
          <cell r="B536" t="str">
            <v>F-2025-10-251</v>
          </cell>
          <cell r="C536" t="str">
            <v>BDB-000161</v>
          </cell>
          <cell r="D536" t="str">
            <v>PVN-001560</v>
          </cell>
          <cell r="E536" t="str">
            <v>OrthoLite Ultra-Nike FOSSIL/17-0909TPX 0.085D 25+/-4 Asker C 1.1M 2M 4mm</v>
          </cell>
          <cell r="F536">
            <v>3</v>
          </cell>
        </row>
        <row r="537">
          <cell r="B537" t="str">
            <v>F-2025-11-326</v>
          </cell>
          <cell r="C537" t="str">
            <v>BDB-000235</v>
          </cell>
          <cell r="D537" t="str">
            <v>PVN-003576</v>
          </cell>
          <cell r="E537" t="str">
            <v>OrthoLite X-55-Hybrid FOSSIL/17-0909TPX Hybrid Flat Sheet 0.16D 25+/-4 Asker C 1.1M 1.7M 12mm</v>
          </cell>
          <cell r="F537">
            <v>3</v>
          </cell>
        </row>
        <row r="538">
          <cell r="B538" t="str">
            <v>F-2025-11-335</v>
          </cell>
          <cell r="C538" t="str">
            <v>BDB-000113</v>
          </cell>
          <cell r="D538" t="str">
            <v>PVN-003414</v>
          </cell>
          <cell r="E538" t="str">
            <v>OrthoLite Regular-Hybrid SEEDPEARL/12-0703TPX Hybrid Flat Sheet 0.11D 25+/-4 Asker C 1.1M 2M 12mm</v>
          </cell>
          <cell r="F538">
            <v>353</v>
          </cell>
        </row>
        <row r="539">
          <cell r="B539" t="str">
            <v>F-2025-12-308</v>
          </cell>
          <cell r="C539" t="str">
            <v>BDB-000123</v>
          </cell>
          <cell r="D539" t="str">
            <v>PVN-003298</v>
          </cell>
          <cell r="E539" t="str">
            <v>OrthoLite Ultra-Hybrid SEEDPEARL/12-0703TPX Hybrid 0.085D 25+/-4 Asker C 1.1M 2M 4mm</v>
          </cell>
          <cell r="F539">
            <v>10</v>
          </cell>
        </row>
        <row r="540">
          <cell r="B540" t="str">
            <v>F-2025-12-426</v>
          </cell>
          <cell r="C540" t="str">
            <v>BDB-000339</v>
          </cell>
          <cell r="D540" t="str">
            <v>PVN-004178</v>
          </cell>
          <cell r="E540" t="str">
            <v>OrthoLite Float NEUTRAL GRAY/17-4402TPX Flat Sheet 0.12D 21+/-4 Asker C 1.1M 2M 5.5mm</v>
          </cell>
          <cell r="F540">
            <v>2</v>
          </cell>
        </row>
        <row r="541">
          <cell r="B541" t="str">
            <v>F-2025-12-429</v>
          </cell>
          <cell r="C541" t="str">
            <v>BDB-000348</v>
          </cell>
          <cell r="D541" t="str">
            <v>PVN-004195</v>
          </cell>
          <cell r="E541" t="str">
            <v>OrthoLite IMPERIAL SEEDPEARL/12-0703TPX Flat Sheet 0.22D 25+/-4 Asker C 1.1M 1.47M 4mm</v>
          </cell>
          <cell r="F541">
            <v>44</v>
          </cell>
        </row>
        <row r="542">
          <cell r="B542" t="str">
            <v>F-2025-12-463</v>
          </cell>
          <cell r="C542" t="str">
            <v>BDB-000348</v>
          </cell>
          <cell r="D542" t="str">
            <v>PVN-004210</v>
          </cell>
          <cell r="E542" t="str">
            <v>OrthoLite IMPERIAL SEEDPEARL/12-0703TPX Flat Sheet 0.22D 25+/-4 Asker C 1.1M 1.47M 5mm</v>
          </cell>
          <cell r="F542">
            <v>16</v>
          </cell>
        </row>
        <row r="543">
          <cell r="B543" t="str">
            <v>F-2025-12-483-1</v>
          </cell>
          <cell r="C543" t="str">
            <v>BDB-000348</v>
          </cell>
          <cell r="D543" t="str">
            <v>PVN-004195</v>
          </cell>
          <cell r="E543" t="str">
            <v>OrthoLite IMPERIAL SEEDPEARL/12-0703TPX Flat Sheet 0.22D 25+/-4 Asker C 1.1M 1.47M 4mm</v>
          </cell>
          <cell r="F543">
            <v>58</v>
          </cell>
        </row>
        <row r="544">
          <cell r="B544" t="str">
            <v>F-2025-12-54</v>
          </cell>
          <cell r="C544" t="str">
            <v>BDB-000129</v>
          </cell>
          <cell r="D544" t="str">
            <v>PVN-001550</v>
          </cell>
          <cell r="E544" t="str">
            <v>OrthoLite Regular-Nike AIR BLUE/16-4134TPX 0.11D 25+/-4 Asker C 1.1M 1.7M 2mm</v>
          </cell>
          <cell r="F544">
            <v>15</v>
          </cell>
        </row>
        <row r="545">
          <cell r="B545" t="str">
            <v>F-2025-12-558</v>
          </cell>
          <cell r="C545" t="str">
            <v>BDB-000332</v>
          </cell>
          <cell r="D545" t="str">
            <v>PVN-004146</v>
          </cell>
          <cell r="E545" t="str">
            <v>OrthoLite X-25 CASTLEROCK/18-0201TPX Flat Sheet 0.12D 20+/-4 Asker C 1.1M 2M 5.5mm</v>
          </cell>
          <cell r="F545">
            <v>4</v>
          </cell>
        </row>
        <row r="546">
          <cell r="B546" t="str">
            <v>F-2025-12-577</v>
          </cell>
          <cell r="C546" t="str">
            <v>BDB-000218</v>
          </cell>
          <cell r="D546" t="str">
            <v>PVN-003488</v>
          </cell>
          <cell r="E546" t="str">
            <v>OrthoLite Ultra-Nike SEEDPEARL/12-0703TPX Flat Sheet 0.085D 5-10 Asker C 1.1M 2M 4mm</v>
          </cell>
          <cell r="F546">
            <v>18</v>
          </cell>
        </row>
        <row r="547">
          <cell r="B547" t="str">
            <v>F-2025-12-58</v>
          </cell>
          <cell r="C547" t="str">
            <v>BDB-000235</v>
          </cell>
          <cell r="D547" t="str">
            <v>PVN-003576</v>
          </cell>
          <cell r="E547" t="str">
            <v>OrthoLite X-55-Hybrid FOSSIL/17-0909TPX Hybrid Flat Sheet 0.16D 25+/-4 Asker C 1.1M 1.7M 12mm</v>
          </cell>
          <cell r="F547">
            <v>28</v>
          </cell>
        </row>
        <row r="548">
          <cell r="B548" t="str">
            <v>F-2025-12-59-1</v>
          </cell>
          <cell r="C548" t="str">
            <v>BDB-000113</v>
          </cell>
          <cell r="D548" t="str">
            <v>PVN-003414</v>
          </cell>
          <cell r="E548" t="str">
            <v>OrthoLite Regular-Hybrid SEEDPEARL/12-0703TPX Hybrid Flat Sheet 0.11D 25+/-4 Asker C 1.1M 2M 12mm</v>
          </cell>
          <cell r="F548">
            <v>155</v>
          </cell>
        </row>
        <row r="549">
          <cell r="B549" t="str">
            <v>F-2025-12-610</v>
          </cell>
          <cell r="C549" t="str">
            <v>BDB-000011</v>
          </cell>
          <cell r="D549" t="str">
            <v>PVN-000121</v>
          </cell>
          <cell r="E549" t="str">
            <v>OrthoLite Regular AIR BLUE/16-4134TPX Flat Sheet 0.13D 35+/-4 Asker C 1.1M 2M 12mm</v>
          </cell>
          <cell r="F549">
            <v>15</v>
          </cell>
        </row>
        <row r="550">
          <cell r="B550" t="str">
            <v>F-2025-12-612</v>
          </cell>
          <cell r="C550" t="str">
            <v>BDB-000248</v>
          </cell>
          <cell r="D550" t="str">
            <v>PVN-003931</v>
          </cell>
          <cell r="E550" t="str">
            <v>OrthoLite X-40-Hybrid RED/19-1764TPX Hybrid Flat Sheet 0.16D 25+/-4 Asker C 1.1M 1.7M 6.5mm</v>
          </cell>
          <cell r="F550">
            <v>15</v>
          </cell>
        </row>
        <row r="551">
          <cell r="B551" t="str">
            <v>F-2025-12-621</v>
          </cell>
          <cell r="C551" t="str">
            <v>BDB-000113</v>
          </cell>
          <cell r="D551" t="str">
            <v>PVN-002515</v>
          </cell>
          <cell r="E551" t="str">
            <v>OrthoLite Regular-Hybrid SEEDPEARL/12-0703TPX Hybrid Flat Sheet 0.11D 25+/-4 Asker C 1.1M 2M 11mm</v>
          </cell>
          <cell r="F551">
            <v>4</v>
          </cell>
        </row>
        <row r="552">
          <cell r="B552" t="str">
            <v>F-2025-12-627</v>
          </cell>
          <cell r="C552" t="str">
            <v>BDB-000011</v>
          </cell>
          <cell r="D552" t="str">
            <v>PVN-000121</v>
          </cell>
          <cell r="E552" t="str">
            <v>OrthoLite Regular AIR BLUE/16-4134TPX Flat Sheet 0.13D 35+/-4 Asker C 1.1M 2M 12mm</v>
          </cell>
          <cell r="F552">
            <v>7</v>
          </cell>
        </row>
        <row r="553">
          <cell r="B553" t="str">
            <v>F-2025-12-635</v>
          </cell>
          <cell r="C553" t="str">
            <v>BDB-000113</v>
          </cell>
          <cell r="D553" t="str">
            <v>PVN-002699</v>
          </cell>
          <cell r="E553" t="str">
            <v>OrthoLite Regular-Hybrid SEEDPEARL/12-0703TPX Hybrid Flat Sheet 0.11D 25+/-4 Asker C 1.1M 2M 4.5mm</v>
          </cell>
          <cell r="F553">
            <v>18</v>
          </cell>
        </row>
        <row r="554">
          <cell r="B554" t="str">
            <v>F-2026-01-05</v>
          </cell>
          <cell r="C554" t="str">
            <v>BDB-000011</v>
          </cell>
          <cell r="D554" t="str">
            <v>PVN-000126</v>
          </cell>
          <cell r="E554" t="str">
            <v>OrthoLite Regular AIR BLUE/16-4134TPX Flat Sheet 0.13D 35+/-4 Asker C 1.1M 2M 4mm</v>
          </cell>
          <cell r="F554">
            <v>17</v>
          </cell>
        </row>
        <row r="555">
          <cell r="B555" t="str">
            <v>F-2026-01-100</v>
          </cell>
          <cell r="C555" t="str">
            <v>BDB-000011</v>
          </cell>
          <cell r="D555" t="str">
            <v>PVN-000121</v>
          </cell>
          <cell r="E555" t="str">
            <v>OrthoLite Regular AIR BLUE/16-4134TPX Flat Sheet 0.13D 35+/-4 Asker C 1.1M 2M 12mm</v>
          </cell>
          <cell r="F555">
            <v>3</v>
          </cell>
        </row>
        <row r="556">
          <cell r="B556" t="str">
            <v>F-2026-01-11</v>
          </cell>
          <cell r="C556" t="str">
            <v>BDB-000113</v>
          </cell>
          <cell r="D556" t="str">
            <v>PVN-003161</v>
          </cell>
          <cell r="E556" t="str">
            <v>OrthoLite Regular-Hybrid SEEDPEARL/12-0703TPX Hybrid Flat Sheet 0.11D 25+/-4 Asker C 1.1M 2M 2.5mm</v>
          </cell>
          <cell r="F556">
            <v>13</v>
          </cell>
        </row>
        <row r="557">
          <cell r="B557" t="str">
            <v>F-2026-01-33</v>
          </cell>
          <cell r="C557" t="str">
            <v>BDB-000039</v>
          </cell>
          <cell r="D557" t="str">
            <v>PVN-002019</v>
          </cell>
          <cell r="E557" t="str">
            <v>OrthoLite Regular NEUTRAL GRAY/17-4402TPX Flat Sheet 0.11D 25+/-4 Asker C 1.1M 2M 13mm</v>
          </cell>
          <cell r="F557">
            <v>54</v>
          </cell>
        </row>
        <row r="558">
          <cell r="B558" t="str">
            <v>F-2026-01-56</v>
          </cell>
          <cell r="C558" t="str">
            <v>BDB-000039</v>
          </cell>
          <cell r="D558" t="str">
            <v>PVN-002019</v>
          </cell>
          <cell r="E558" t="str">
            <v>OrthoLite Regular NEUTRAL GRAY/17-4402TPX Flat Sheet 0.11D 25+/-4 Asker C 1.1M 2M 13mm</v>
          </cell>
          <cell r="F558">
            <v>9</v>
          </cell>
        </row>
        <row r="559">
          <cell r="B559" t="str">
            <v>F-2026-01-77</v>
          </cell>
          <cell r="C559" t="str">
            <v>BDB-000235</v>
          </cell>
          <cell r="D559" t="str">
            <v>PVN-003577</v>
          </cell>
          <cell r="E559" t="str">
            <v>OrthoLite X-55-Hybrid FOSSIL/17-0909TPX Hybrid Flat Sheet 0.16D 25+/-4 Asker C 1.1M 1.7M 10mm</v>
          </cell>
          <cell r="F559">
            <v>1</v>
          </cell>
        </row>
        <row r="560">
          <cell r="B560" t="str">
            <v>S-2026-01-30</v>
          </cell>
          <cell r="C560" t="str">
            <v>BDB-000235</v>
          </cell>
          <cell r="D560" t="str">
            <v>PVN-003576</v>
          </cell>
          <cell r="E560" t="str">
            <v>OrthoLite X-55-Hybrid FOSSIL/17-0909TPX Hybrid 0.16D 25+/-4 Asker C 1.1M 1.7M 12mm</v>
          </cell>
          <cell r="F560">
            <v>10</v>
          </cell>
        </row>
        <row r="561">
          <cell r="B561" t="str">
            <v>S-2026-01-31</v>
          </cell>
          <cell r="C561" t="str">
            <v>BDB-000234</v>
          </cell>
          <cell r="D561" t="str">
            <v>PVN-003581</v>
          </cell>
          <cell r="E561" t="str">
            <v>OrthoLite X-30-Hybrid BROWN SUGAR/17-1134TPX Hybrid Flat Sheet 0.13D 25+/-4 Asker C 1.1M 2M 12mm</v>
          </cell>
          <cell r="F561">
            <v>10</v>
          </cell>
        </row>
        <row r="562">
          <cell r="B562" t="str">
            <v>S-2026-01-33</v>
          </cell>
          <cell r="C562" t="str">
            <v>BDB-000235</v>
          </cell>
          <cell r="D562" t="str">
            <v>PVN-004189</v>
          </cell>
          <cell r="E562" t="str">
            <v>OrthoLite X-55-Hybrid FOSSIL/17-0909TPX Hybrid Flat Sheet 0.16D 25+/-4 Asker C 1.1M 1.7M 13mm</v>
          </cell>
          <cell r="F562">
            <v>2</v>
          </cell>
        </row>
        <row r="563">
          <cell r="B563" t="str">
            <v>S-2026-01-36</v>
          </cell>
          <cell r="C563" t="str">
            <v>BDB-000235</v>
          </cell>
          <cell r="D563" t="str">
            <v>PVN-003833</v>
          </cell>
          <cell r="E563" t="str">
            <v>OrthoLite X-55-Hybrid FOSSIL/17-0909TPX Hybrid Flat Sheet 0.16D 25+/-4 Asker C 1.1M 1.7M 17mm</v>
          </cell>
          <cell r="F563">
            <v>3</v>
          </cell>
        </row>
        <row r="564">
          <cell r="B564" t="str">
            <v>S-2026-01-38</v>
          </cell>
          <cell r="C564" t="str">
            <v>BDB-000334</v>
          </cell>
          <cell r="D564" t="str">
            <v>PVN-004220</v>
          </cell>
          <cell r="E564" t="str">
            <v>OrthoLite X-55-Hybrid FOSSIL/17-0909TPX Hybrid Flat Sheet 0.16D 25+/-4 Asker C 1.1M 2M 18.5mm</v>
          </cell>
          <cell r="F564">
            <v>3</v>
          </cell>
        </row>
        <row r="565">
          <cell r="B565" t="str">
            <v>F-2025-12-321</v>
          </cell>
          <cell r="C565" t="str">
            <v>BDB-000217</v>
          </cell>
          <cell r="D565" t="str">
            <v>PVN-003539</v>
          </cell>
          <cell r="E565" t="str">
            <v>OrthoLite X-40-Hybrid SEEDPEARL/12-0703TPX Hybrid Flat Sheet 0.16D 35+/-4 Asker C 1.1M 1.7M 6.2mm</v>
          </cell>
          <cell r="F565">
            <v>46</v>
          </cell>
        </row>
        <row r="566">
          <cell r="B566" t="str">
            <v>F-2025-12-33</v>
          </cell>
          <cell r="C566" t="str">
            <v>BDB-000125</v>
          </cell>
          <cell r="D566" t="str">
            <v>PVN-002413</v>
          </cell>
          <cell r="E566" t="str">
            <v>OrthoLite Regular-Nike AIR BLUE/16-4134TPX 0.11D 25+/-4 Asker C 1.1M 2M 4.2mm</v>
          </cell>
          <cell r="F566">
            <v>46</v>
          </cell>
        </row>
        <row r="567">
          <cell r="B567" t="str">
            <v>F-2025-12-38</v>
          </cell>
          <cell r="C567" t="str">
            <v>BDB-000259</v>
          </cell>
          <cell r="D567" t="str">
            <v>PVN-003684</v>
          </cell>
          <cell r="E567" t="str">
            <v>OrthoLite Nike PP002 GLACIER GRAY/14-4102TPX Flat Sheet 0.145D 25+/-4 asker C 1.1M 2M 4.2mm</v>
          </cell>
          <cell r="F567">
            <v>91</v>
          </cell>
        </row>
        <row r="568">
          <cell r="B568" t="str">
            <v>F-2025-12-45</v>
          </cell>
          <cell r="C568" t="str">
            <v>BDB-000125</v>
          </cell>
          <cell r="D568" t="str">
            <v>PVN-001579</v>
          </cell>
          <cell r="E568" t="str">
            <v>OrthoLite Regular-Nike AIR BLUE/16-4134TPX Flat Sheet 0.11D 25+/-4 Asker C 1.1M 2M 4mm</v>
          </cell>
          <cell r="F568">
            <v>15</v>
          </cell>
        </row>
        <row r="569">
          <cell r="B569" t="str">
            <v>F-2025-12-471</v>
          </cell>
          <cell r="C569" t="str">
            <v>BDB-000076</v>
          </cell>
          <cell r="D569" t="str">
            <v>PVN-003448</v>
          </cell>
          <cell r="E569" t="str">
            <v>OrthoLite X-25 BILLIARD/16-5427TPX Flat Sheet 0.12D 20+/-4 Asker C 1.1M 2M 6.2mm</v>
          </cell>
          <cell r="F569">
            <v>33</v>
          </cell>
        </row>
        <row r="570">
          <cell r="B570" t="str">
            <v>F-2025-12-511</v>
          </cell>
          <cell r="C570" t="str">
            <v>BDB-000123</v>
          </cell>
          <cell r="D570" t="str">
            <v>PVN-003298</v>
          </cell>
          <cell r="E570" t="str">
            <v>OrthoLite Ultra-Hybrid SEEDPEARL/12-0703TPX Hybrid 0.085D 25+/-4 Asker C 1.1M 2M 4mm</v>
          </cell>
          <cell r="F570">
            <v>122</v>
          </cell>
        </row>
        <row r="571">
          <cell r="B571" t="str">
            <v>F-2025-12-533</v>
          </cell>
          <cell r="C571" t="str">
            <v>BDB-000123</v>
          </cell>
          <cell r="D571" t="str">
            <v>PVN-003300</v>
          </cell>
          <cell r="E571" t="str">
            <v>OrthoLite Ultra-Hybrid SEEDPEARL/12-0703TPX Hybrid Flat Sheet 0.085D 25+/-4 Asker C 1.1M 2M 2mm</v>
          </cell>
          <cell r="F571">
            <v>8</v>
          </cell>
        </row>
        <row r="572">
          <cell r="B572" t="str">
            <v>F-2025-12-539</v>
          </cell>
          <cell r="C572" t="str">
            <v>BDB-000076</v>
          </cell>
          <cell r="D572" t="str">
            <v>PVN-003448</v>
          </cell>
          <cell r="E572" t="str">
            <v>OrthoLite X-25 BILLIARD/16-5427TPX 0.12D 20+/-4 Asker C 1.1M 2M 6.2mm</v>
          </cell>
          <cell r="F572">
            <v>14</v>
          </cell>
        </row>
        <row r="573">
          <cell r="B573" t="str">
            <v>F-2025-12-561</v>
          </cell>
          <cell r="C573" t="str">
            <v>BDB-000076</v>
          </cell>
          <cell r="D573" t="str">
            <v>PVN-003745</v>
          </cell>
          <cell r="E573" t="str">
            <v>OrthoLite X-25 BILLIARD/16-5427TPX Flat Sheet 0.12D 20+/-4 Asker C 1.1M 2M 16mm</v>
          </cell>
          <cell r="F573">
            <v>63</v>
          </cell>
        </row>
        <row r="574">
          <cell r="B574" t="str">
            <v>F-2025-12-59-1</v>
          </cell>
          <cell r="C574" t="str">
            <v>BDB-000113</v>
          </cell>
          <cell r="D574" t="str">
            <v>PVN-003414</v>
          </cell>
          <cell r="E574" t="str">
            <v>OrthoLite Regular-Hybrid SEEDPEARL/12-0703TPX Hybrid Flat Sheet 0.11D 25+/-4 Asker C 1.1M 2M 12mm</v>
          </cell>
          <cell r="F574">
            <v>19</v>
          </cell>
        </row>
        <row r="575">
          <cell r="B575" t="str">
            <v>F-2025-12-603</v>
          </cell>
          <cell r="C575" t="str">
            <v>BDB-000113</v>
          </cell>
          <cell r="D575" t="str">
            <v>PVN-002501</v>
          </cell>
          <cell r="E575" t="str">
            <v>OrthoLite Regular-Hybrid SEEDPEARL/12-0703TPX Hybrid Flat Sheet 0.11D 25+/-4 Asker C 1.1M 2M 2mm</v>
          </cell>
          <cell r="F575">
            <v>4</v>
          </cell>
        </row>
        <row r="576">
          <cell r="B576" t="str">
            <v>F-2025-12-612</v>
          </cell>
          <cell r="C576" t="str">
            <v>BDB-000248</v>
          </cell>
          <cell r="D576" t="str">
            <v>PVN-003931</v>
          </cell>
          <cell r="E576" t="str">
            <v>OrthoLite X-40-Hybrid RED/19-1764TPX Hybrid Flat Sheet 0.16D 25+/-4 Asker C 1.1M 1.7M 6.5mm</v>
          </cell>
          <cell r="F576">
            <v>11</v>
          </cell>
        </row>
        <row r="577">
          <cell r="B577" t="str">
            <v>F-2025-12-613</v>
          </cell>
          <cell r="C577" t="str">
            <v>BDB-000309</v>
          </cell>
          <cell r="D577" t="str">
            <v>PVN-004033</v>
          </cell>
          <cell r="E577" t="str">
            <v>OrthoLite X-40-Hybrid NEUTRAL GRAY/17-4402TPX Hybrid Flat Sheet 0.16D 35+/-4 Asker C 1.1M 2M 2mm</v>
          </cell>
          <cell r="F577">
            <v>6</v>
          </cell>
        </row>
        <row r="578">
          <cell r="B578" t="str">
            <v>F-2025-12-62</v>
          </cell>
          <cell r="C578" t="str">
            <v>BDB-000113</v>
          </cell>
          <cell r="D578" t="str">
            <v>PVN-002465</v>
          </cell>
          <cell r="E578" t="str">
            <v>OrthoLite Regular-Hybrid SEEDPEARL/12-0703TPX Hybrid Flat Sheet 0.11D 25+/-4 Asker C 1.1M 2M 5mm</v>
          </cell>
          <cell r="F578">
            <v>92</v>
          </cell>
        </row>
        <row r="579">
          <cell r="B579" t="str">
            <v>F-2025-12-620</v>
          </cell>
          <cell r="C579" t="str">
            <v>BDB-000235</v>
          </cell>
          <cell r="D579" t="str">
            <v>PVN-003577</v>
          </cell>
          <cell r="E579" t="str">
            <v>OrthoLite X-55-Hybrid FOSSIL/17-0909TPX Hybrid Flat Sheet 0.16D 25+/-4 Asker C 1.1M 1.7M 10mm</v>
          </cell>
          <cell r="F579">
            <v>9</v>
          </cell>
        </row>
        <row r="580">
          <cell r="B580" t="str">
            <v>F-2025-12-624</v>
          </cell>
          <cell r="C580" t="str">
            <v>BDB-000113</v>
          </cell>
          <cell r="D580" t="str">
            <v>PVN-002501</v>
          </cell>
          <cell r="E580" t="str">
            <v>OrthoLite Regular-Hybrid SEEDPEARL/12-0703TPX Hybrid Flat Sheet 0.11D 25+/-4 Asker C 1.1M 2M 2mm</v>
          </cell>
          <cell r="F580">
            <v>7</v>
          </cell>
        </row>
        <row r="581">
          <cell r="B581" t="str">
            <v>F-2025-12-628</v>
          </cell>
          <cell r="C581" t="str">
            <v>BDB-000218</v>
          </cell>
          <cell r="D581" t="str">
            <v>PVN-003488</v>
          </cell>
          <cell r="E581" t="str">
            <v>OrthoLite Ultra-Nike SEEDPEARL/12-0703TPX Flat Sheet 0.085D 5-10 Asker C 1.1M 2M 4mm</v>
          </cell>
          <cell r="F581">
            <v>3</v>
          </cell>
        </row>
        <row r="582">
          <cell r="B582" t="str">
            <v>F-2025-12-637</v>
          </cell>
          <cell r="C582" t="str">
            <v>BDB-000113</v>
          </cell>
          <cell r="D582" t="str">
            <v>PVN-002515</v>
          </cell>
          <cell r="E582" t="str">
            <v>OrthoLite Regular-Hybrid SEEDPEARL/12-0703TPX Hybrid Flat Sheet 0.11D 25+/-4 Asker C 1.1M 2M 11mm</v>
          </cell>
          <cell r="F582">
            <v>14</v>
          </cell>
        </row>
        <row r="583">
          <cell r="B583" t="str">
            <v>F-2025-12-639</v>
          </cell>
          <cell r="C583" t="str">
            <v>BDB-000011</v>
          </cell>
          <cell r="D583" t="str">
            <v>PVN-000258</v>
          </cell>
          <cell r="E583" t="str">
            <v>OrthoLite Regular AIR BLUE/16-4134TPX Flat Sheet 0.13D 35+/-4 Asker C 1.1M 2M 2.5mm</v>
          </cell>
          <cell r="F583">
            <v>26</v>
          </cell>
        </row>
        <row r="584">
          <cell r="B584" t="str">
            <v>F-2026-01-06</v>
          </cell>
          <cell r="C584" t="str">
            <v>BDB-000011</v>
          </cell>
          <cell r="D584" t="str">
            <v>PVN-000127</v>
          </cell>
          <cell r="E584" t="str">
            <v>OrthoLite Regular AIR BLUE/16-4134TPX Flat Sheet 0.13D 35+/-4 Asker C 1.1M 2M 5mm</v>
          </cell>
          <cell r="F584">
            <v>4</v>
          </cell>
        </row>
        <row r="585">
          <cell r="B585" t="str">
            <v>F-2026-01-101</v>
          </cell>
          <cell r="C585" t="str">
            <v>BDB-000125</v>
          </cell>
          <cell r="D585" t="str">
            <v>PVN-001579</v>
          </cell>
          <cell r="E585" t="str">
            <v>OrthoLite Regular-Nike AIR BLUE/16-4134TPX Flat Sheet 0.11D 25+/-4 Asker C 1.1M 2M 4mm</v>
          </cell>
          <cell r="F585">
            <v>3</v>
          </cell>
        </row>
        <row r="586">
          <cell r="B586" t="str">
            <v>F-2026-01-106</v>
          </cell>
          <cell r="C586" t="str">
            <v>BDB-000317</v>
          </cell>
          <cell r="D586" t="str">
            <v>PVN-004076</v>
          </cell>
          <cell r="E586" t="str">
            <v>OrthoLite Regular NEUTRAL GRAY/17-4402TPX Flat Sheet 0.13D 15+/-4 Asker C 1.1M 2M 24mm</v>
          </cell>
          <cell r="F586">
            <v>1</v>
          </cell>
        </row>
        <row r="587">
          <cell r="B587" t="str">
            <v>F-2026-01-108</v>
          </cell>
          <cell r="C587" t="str">
            <v>BDB-000113</v>
          </cell>
          <cell r="D587" t="str">
            <v>PVN-002699</v>
          </cell>
          <cell r="E587" t="str">
            <v>OrthoLite Regular-Hybrid SEEDPEARL/12-0703TPX Hybrid Flat Sheet 0.11D 25+/-4 Asker C 1.1M 2M 4.5mm</v>
          </cell>
          <cell r="F587">
            <v>3</v>
          </cell>
        </row>
        <row r="588">
          <cell r="B588" t="str">
            <v>F-2026-01-112</v>
          </cell>
          <cell r="C588" t="str">
            <v>BDB-000157</v>
          </cell>
          <cell r="D588" t="str">
            <v>PVN-004083</v>
          </cell>
          <cell r="E588" t="str">
            <v>OrthoLite X-35-Hybrid-Nike SEEDPEARL/12-0703TPX Hybrid Flat Sheet 0.145D 25+/-4 Asker C 1.1M 2M 4mm</v>
          </cell>
          <cell r="F588">
            <v>1</v>
          </cell>
        </row>
        <row r="589">
          <cell r="B589" t="str">
            <v>F-2026-01-114</v>
          </cell>
          <cell r="C589" t="str">
            <v>BDB-000083</v>
          </cell>
          <cell r="D589" t="str">
            <v>PVN-000935</v>
          </cell>
          <cell r="E589" t="str">
            <v>OrthoLite Eco LT 300C(ADIDAS BLUEBIRD) Flat Sheet 0.11D 25+/-4 Asker C 1.1M 2M 4mm</v>
          </cell>
          <cell r="F589">
            <v>8</v>
          </cell>
        </row>
        <row r="590">
          <cell r="B590" t="str">
            <v>F-2026-01-121</v>
          </cell>
          <cell r="C590" t="str">
            <v>BDB-000348</v>
          </cell>
          <cell r="D590" t="str">
            <v>PVN-004210</v>
          </cell>
          <cell r="E590" t="str">
            <v>OrthoLite IMPERIAL SEEDPEARL/12-0703TPX Flat Sheet 0.22D 25+/-4 Asker C 1.1M 1.47M 5mm</v>
          </cell>
          <cell r="F590">
            <v>5</v>
          </cell>
        </row>
        <row r="591">
          <cell r="B591" t="str">
            <v>F-2026-01-134</v>
          </cell>
          <cell r="C591" t="str">
            <v>BDB-000011</v>
          </cell>
          <cell r="D591" t="str">
            <v>PVN-000184</v>
          </cell>
          <cell r="E591" t="str">
            <v>OrthoLite Regular AIR BLUE/16-4134TPX Flat Sheet 0.13D 35+/-4 Asker C 1.1M 2M 14mm</v>
          </cell>
          <cell r="F591">
            <v>2</v>
          </cell>
        </row>
        <row r="592">
          <cell r="B592" t="str">
            <v>F-2026-01-141-1</v>
          </cell>
          <cell r="C592" t="str">
            <v>BDB-000058</v>
          </cell>
          <cell r="D592" t="str">
            <v>PVN-001277</v>
          </cell>
          <cell r="E592" t="str">
            <v>OrthoLite Ultra GREEN/16-5932TPX Flat Sheet 0.085D 25+/-4 Asker C 1.1M 2M 4mm</v>
          </cell>
          <cell r="F592">
            <v>94</v>
          </cell>
        </row>
        <row r="593">
          <cell r="B593" t="str">
            <v>F-2026-01-146</v>
          </cell>
          <cell r="C593" t="str">
            <v>BDB-000348</v>
          </cell>
          <cell r="D593" t="str">
            <v>PVN-004210</v>
          </cell>
          <cell r="E593" t="str">
            <v>OrthoLite IMPERIAL SEEDPEARL/12-0703TPX Flat Sheet 0.22D 25+/-4 Asker C 1.1M 1.47M 5mm</v>
          </cell>
          <cell r="F593">
            <v>3</v>
          </cell>
        </row>
        <row r="594">
          <cell r="B594" t="str">
            <v>F-2026-01-155</v>
          </cell>
          <cell r="C594" t="str">
            <v>BDB-000097</v>
          </cell>
          <cell r="D594" t="str">
            <v>PVN-003671</v>
          </cell>
          <cell r="E594" t="str">
            <v>OrthoLite Eco LT-Hybrid SEEDPEARL/12-0703TPX Hybrid Flat Sheet 0.11D 25+/-4 Asker C 1.1M 2M 13mm</v>
          </cell>
          <cell r="F594">
            <v>22</v>
          </cell>
        </row>
        <row r="595">
          <cell r="B595" t="str">
            <v>F-2026-01-160</v>
          </cell>
          <cell r="C595" t="str">
            <v>BDB-000083</v>
          </cell>
          <cell r="D595" t="str">
            <v>PVN-000935</v>
          </cell>
          <cell r="E595" t="str">
            <v>OrthoLite Eco LT 300C(ADIDAS BLUEBIRD) Flat Sheet 0.11D 25+/-4 Asker C 1.1M 2M 4mm</v>
          </cell>
          <cell r="F595">
            <v>3</v>
          </cell>
        </row>
        <row r="596">
          <cell r="B596" t="str">
            <v>F-2026-01-165</v>
          </cell>
          <cell r="C596" t="str">
            <v>BDB-000348</v>
          </cell>
          <cell r="D596" t="str">
            <v>PVN-004210</v>
          </cell>
          <cell r="E596" t="str">
            <v>OrthoLite IMPERIAL SEEDPEARL/12-0703TPX Flat Sheet 0.22D 25+/-4 Asker C 1.1M 1.47M 5mm</v>
          </cell>
          <cell r="F596">
            <v>2</v>
          </cell>
        </row>
        <row r="597">
          <cell r="B597" t="str">
            <v>F-2026-01-169</v>
          </cell>
          <cell r="C597" t="str">
            <v>BDB-000046</v>
          </cell>
          <cell r="D597" t="str">
            <v>PVN-000448</v>
          </cell>
          <cell r="E597" t="str">
            <v>OrthoLite Regular RED/19-1764TPX Flat Sheet 0.13D 35+/-4 Asker C 1.1M 1.47M 4mm</v>
          </cell>
          <cell r="F597">
            <v>3</v>
          </cell>
        </row>
        <row r="598">
          <cell r="B598" t="str">
            <v>F-2026-01-38</v>
          </cell>
          <cell r="C598" t="str">
            <v>BDB-000157</v>
          </cell>
          <cell r="D598" t="str">
            <v>PVN-004083</v>
          </cell>
          <cell r="E598" t="str">
            <v>OrthoLite X-35-Hybrid-Nike SEEDPEARL/12-0703TPX Hybrid Flat Sheet 0.145D 25+/-4 Asker C 1.1M 2M 4mm</v>
          </cell>
          <cell r="F598">
            <v>3</v>
          </cell>
        </row>
        <row r="599">
          <cell r="B599" t="str">
            <v>F-2026-01-41</v>
          </cell>
          <cell r="C599" t="str">
            <v>BDB-000348</v>
          </cell>
          <cell r="D599" t="str">
            <v>PVN-004195</v>
          </cell>
          <cell r="E599" t="str">
            <v>OrthoLite IMPERIAL SEEDPEARL/12-0703TPX Flat Sheet 0.22D 25+/-4 Asker C 1.1M 1.47M 4mm</v>
          </cell>
          <cell r="F599">
            <v>4</v>
          </cell>
        </row>
        <row r="600">
          <cell r="B600" t="str">
            <v>F-2026-01-42</v>
          </cell>
          <cell r="C600" t="str">
            <v>BDB-000011</v>
          </cell>
          <cell r="D600" t="str">
            <v>PVN-000258</v>
          </cell>
          <cell r="E600" t="str">
            <v>OrthoLite Regular AIR BLUE/16-4134TPX Flat Sheet 0.13D 35+/-4 Asker C 1.1M 2M 2.5mm</v>
          </cell>
          <cell r="F600">
            <v>12</v>
          </cell>
        </row>
        <row r="601">
          <cell r="B601" t="str">
            <v>F-2026-01-44</v>
          </cell>
          <cell r="C601" t="str">
            <v>BDB-000113</v>
          </cell>
          <cell r="D601" t="str">
            <v>PVN-002501</v>
          </cell>
          <cell r="E601" t="str">
            <v>OrthoLite Regular-Hybrid SEEDPEARL/12-0703TPX Hybrid Flat Sheet 0.11D 25+/-4 Asker C 1.1M 2M 2mm</v>
          </cell>
          <cell r="F601">
            <v>8</v>
          </cell>
        </row>
        <row r="602">
          <cell r="B602" t="str">
            <v>F-2026-01-62</v>
          </cell>
          <cell r="C602" t="str">
            <v>BDB-000348</v>
          </cell>
          <cell r="D602" t="str">
            <v>PVN-004195</v>
          </cell>
          <cell r="E602" t="str">
            <v>OrthoLite IMPERIAL SEEDPEARL/12-0703TPX Flat Sheet 0.22D 25+/-4 Asker C 1.1M 1.47M 4mm</v>
          </cell>
          <cell r="F602">
            <v>3</v>
          </cell>
        </row>
        <row r="603">
          <cell r="B603" t="str">
            <v>F-2026-01-63</v>
          </cell>
          <cell r="C603" t="str">
            <v>BDB-000011</v>
          </cell>
          <cell r="D603" t="str">
            <v>PVN-000127</v>
          </cell>
          <cell r="E603" t="str">
            <v>OrthoLite Regular AIR BLUE/16-4134TPX Flat Sheet 0.13D 35+/-4 Asker C 1.1M 2M 5mm</v>
          </cell>
          <cell r="F603">
            <v>7</v>
          </cell>
        </row>
        <row r="604">
          <cell r="B604" t="str">
            <v>F-2026-01-64</v>
          </cell>
          <cell r="C604" t="str">
            <v>BDB-000085</v>
          </cell>
          <cell r="D604" t="str">
            <v>PVN-001091</v>
          </cell>
          <cell r="E604" t="str">
            <v>OrthoLite Eco LT GREY/17-1501TPX Flat Sheet 0.11D 25+/-4 Asker C 1.1M 2M 4mm</v>
          </cell>
          <cell r="F604">
            <v>2</v>
          </cell>
        </row>
        <row r="605">
          <cell r="B605" t="str">
            <v>F-2026-01-65</v>
          </cell>
          <cell r="C605" t="str">
            <v>BDB-000084</v>
          </cell>
          <cell r="D605" t="str">
            <v>PVN-001111</v>
          </cell>
          <cell r="E605" t="str">
            <v>OrthoLite Eco LT YELLOW/13-0858TPX 0.11D 25+/-4 Asker C 1.1M 2M 4mm</v>
          </cell>
          <cell r="F605">
            <v>1</v>
          </cell>
        </row>
        <row r="606">
          <cell r="B606" t="str">
            <v>F-2026-01-70</v>
          </cell>
          <cell r="C606" t="str">
            <v>BDB-000054</v>
          </cell>
          <cell r="D606" t="str">
            <v>PVN-003895</v>
          </cell>
          <cell r="E606" t="str">
            <v>OrthoLite X-40 RED/19-1764TPX Flat Sheet 0.16D 25+/-4 Asker C 1.1M 1.7M 5mm</v>
          </cell>
          <cell r="F606">
            <v>1</v>
          </cell>
        </row>
        <row r="607">
          <cell r="B607" t="str">
            <v>F-2026-01-72</v>
          </cell>
          <cell r="C607" t="str">
            <v>BDB-000123</v>
          </cell>
          <cell r="D607" t="str">
            <v>PVN-002539</v>
          </cell>
          <cell r="E607" t="str">
            <v>OrthoLite Ultra-Hybrid SEEDPEARL/12-0703TPX Hybrid Flat Sheet 0.085D 25+/-4 Asker C 1.1M 2M 5mm</v>
          </cell>
          <cell r="F607">
            <v>22</v>
          </cell>
        </row>
        <row r="608">
          <cell r="B608" t="str">
            <v>F-2026-01-75</v>
          </cell>
          <cell r="C608" t="str">
            <v>BDB-000197</v>
          </cell>
          <cell r="D608" t="str">
            <v>PVN-003406</v>
          </cell>
          <cell r="E608" t="str">
            <v>OrthoLite Ultra-Hybrid SEEDPEARL/12-0703TPX Hybrid Flat Sheet 0.085D 5-10 Asker C 1.1M 2M 2mm</v>
          </cell>
          <cell r="F608">
            <v>2</v>
          </cell>
        </row>
        <row r="609">
          <cell r="B609" t="str">
            <v>F-2026-01-86</v>
          </cell>
          <cell r="C609" t="str">
            <v>BDB-000083</v>
          </cell>
          <cell r="D609" t="str">
            <v>PVN-000935</v>
          </cell>
          <cell r="E609" t="str">
            <v>OrthoLite Eco LT 300C(ADIDAS BLUEBIRD) Flat Sheet 0.11D 25+/-4 Asker C 1.1M 2M 4mm</v>
          </cell>
          <cell r="F609">
            <v>8</v>
          </cell>
        </row>
        <row r="610">
          <cell r="B610" t="str">
            <v>F-2026-01-87</v>
          </cell>
          <cell r="C610" t="str">
            <v>BDB-000085</v>
          </cell>
          <cell r="D610" t="str">
            <v>PVN-001091</v>
          </cell>
          <cell r="E610" t="str">
            <v>OrthoLite Eco LT GREY/17-1501TPX Flat Sheet 0.11D 25+/-4 Asker C 1.1M 2M 4mm</v>
          </cell>
          <cell r="F610">
            <v>9</v>
          </cell>
        </row>
        <row r="611">
          <cell r="B611" t="str">
            <v>F-2026-01-88</v>
          </cell>
          <cell r="C611" t="str">
            <v>BDB-000084</v>
          </cell>
          <cell r="D611" t="str">
            <v>PVN-001111</v>
          </cell>
          <cell r="E611" t="str">
            <v>OrthoLite Eco LT YELLOW/13-0858TPX 0.11D 25+/-4 Asker C 1.1M 2M 4mm</v>
          </cell>
          <cell r="F611">
            <v>7</v>
          </cell>
        </row>
        <row r="612">
          <cell r="B612" t="str">
            <v>F-2026-01-94</v>
          </cell>
          <cell r="C612" t="str">
            <v>BDB-000194</v>
          </cell>
          <cell r="D612" t="str">
            <v>PVN-003967</v>
          </cell>
          <cell r="E612" t="str">
            <v>OrthoLite Ultra-Hybrid SEEDPEARL/12-0703TPX Hybrid Flat Sheet 0.085D 15+/-4 Asker C 1.1M 2M 3mm</v>
          </cell>
          <cell r="F612">
            <v>2</v>
          </cell>
        </row>
        <row r="613">
          <cell r="B613" t="str">
            <v>F-2026-01-96</v>
          </cell>
          <cell r="C613" t="str">
            <v>BDB-000348</v>
          </cell>
          <cell r="D613" t="str">
            <v>PVN-004210</v>
          </cell>
          <cell r="E613" t="str">
            <v>OrthoLite IMPERIAL SEEDPEARL/12-0703TPX Flat Sheet 0.22D 25+/-4 Asker C 1.1M 1.47M 5mm</v>
          </cell>
          <cell r="F613">
            <v>4</v>
          </cell>
        </row>
        <row r="614">
          <cell r="B614" t="str">
            <v>OIN-2026.01.07-03</v>
          </cell>
          <cell r="C614" t="str">
            <v>BDB-000058</v>
          </cell>
          <cell r="D614" t="str">
            <v>PVN-003780</v>
          </cell>
          <cell r="E614" t="str">
            <v>[116-361] Ultra 25+/-4 Asker C 0.085D Green 16-5932 Tpx 1.10M X 2.00M 47mm</v>
          </cell>
          <cell r="F614">
            <v>21</v>
          </cell>
        </row>
        <row r="615">
          <cell r="B615" t="str">
            <v>OIN-2026.01.12-01</v>
          </cell>
          <cell r="C615" t="str">
            <v>BDB-000097</v>
          </cell>
          <cell r="D615" t="str">
            <v>PVN-003977</v>
          </cell>
          <cell r="E615" t="str">
            <v>[116-3829] Eco Lite Hybrid 25+/-4 Asker C 0.11D Seedpearl 12-0703 Tpx 1.10M X 2.00M 47mm</v>
          </cell>
          <cell r="F615">
            <v>18</v>
          </cell>
        </row>
        <row r="616">
          <cell r="B616" t="str">
            <v>S-2026-01-46</v>
          </cell>
          <cell r="C616" t="str">
            <v>BDB-000011</v>
          </cell>
          <cell r="D616" t="str">
            <v>PVN-000127</v>
          </cell>
          <cell r="E616" t="str">
            <v>OrthoLite Regular AIR BLUE/16-4134TPX 0.13D 35+/-4 Asker C 1.1M 2M 5mm</v>
          </cell>
          <cell r="F616">
            <v>2</v>
          </cell>
        </row>
        <row r="617">
          <cell r="B617" t="str">
            <v>S-2026-01-47</v>
          </cell>
          <cell r="C617" t="str">
            <v>BDB-000011</v>
          </cell>
          <cell r="D617" t="str">
            <v>PVN-000126</v>
          </cell>
          <cell r="E617" t="str">
            <v>OrthoLite Regular AIR BLUE/16-4134TPX Flat Sheet 0.13D 35+/-4 Asker C 1.1M 2M 4mm</v>
          </cell>
          <cell r="F617">
            <v>1</v>
          </cell>
        </row>
        <row r="618">
          <cell r="B618" t="str">
            <v>S-2026-01-48</v>
          </cell>
          <cell r="C618" t="str">
            <v>BDB-000113</v>
          </cell>
          <cell r="D618" t="str">
            <v>PVN-002503</v>
          </cell>
          <cell r="E618" t="str">
            <v>OrthoLite Regular-Hybrid SEEDPEARL/12-0703TPX Hybrid Flat Sheet 0.11D 25+/-4 Asker C 1.1M 2M 4mm</v>
          </cell>
          <cell r="F618">
            <v>1</v>
          </cell>
        </row>
        <row r="619">
          <cell r="B619" t="str">
            <v>S-2026-01-49</v>
          </cell>
          <cell r="C619" t="str">
            <v>BDB-000348</v>
          </cell>
          <cell r="D619" t="str">
            <v>PVN-004285</v>
          </cell>
          <cell r="E619" t="str">
            <v>OrthoLite IMPERIAL SEEDPEARL/12-0703TPX Flat Sheet 0.22D 25+/-4 Asker C 1.1M 1.47M 9mm</v>
          </cell>
          <cell r="F619">
            <v>2</v>
          </cell>
        </row>
        <row r="620">
          <cell r="B620" t="str">
            <v>S-2026-01-50</v>
          </cell>
          <cell r="C620" t="str">
            <v>BDB-000123</v>
          </cell>
          <cell r="D620" t="str">
            <v>PVN-003299</v>
          </cell>
          <cell r="E620" t="str">
            <v>OrthoLite Ultra-Hybrid SEEDPEARL/12-0703TPX Hybrid Flat Sheet 0.085D 25+/-4 Asker C 1.1M 2M 3mm</v>
          </cell>
          <cell r="F620">
            <v>7</v>
          </cell>
        </row>
        <row r="621">
          <cell r="B621" t="str">
            <v>S-2026-01-53</v>
          </cell>
          <cell r="C621" t="str">
            <v>BDB-000125</v>
          </cell>
          <cell r="D621" t="str">
            <v>PVN-001579</v>
          </cell>
          <cell r="E621" t="str">
            <v>OrthoLite Regular-Nike AIR BLUE/16-4134TPX Flat Sheet 0.11D 25+/-4 Asker C 1.1M 2M 4mm</v>
          </cell>
          <cell r="F621">
            <v>1</v>
          </cell>
        </row>
        <row r="622">
          <cell r="B622" t="str">
            <v>S-2026-01-55</v>
          </cell>
          <cell r="C622" t="str">
            <v>BDB-000131</v>
          </cell>
          <cell r="D622" t="str">
            <v>PVN-001565</v>
          </cell>
          <cell r="E622" t="str">
            <v>OrthoLite Regular-Nike AIR BLUE/16-4134TPX Flat Sheet 0.11D 15+/-4 Asker C 1.1M 2M 4mm</v>
          </cell>
          <cell r="F622">
            <v>2</v>
          </cell>
        </row>
        <row r="623">
          <cell r="B623" t="str">
            <v>F-2025-11-335</v>
          </cell>
          <cell r="C623" t="str">
            <v>BDB-000113</v>
          </cell>
          <cell r="D623" t="str">
            <v>PVN-003414</v>
          </cell>
          <cell r="E623" t="str">
            <v>OrthoLite Regular-Hybrid SEEDPEARL/12-0703TPX Hybrid Flat Sheet 0.11D 25+/-4 Asker C 1.1M 2M 12mm</v>
          </cell>
          <cell r="F623">
            <v>16</v>
          </cell>
        </row>
        <row r="624">
          <cell r="B624" t="str">
            <v>F-2025-12-312</v>
          </cell>
          <cell r="C624" t="str">
            <v>BDB-000217</v>
          </cell>
          <cell r="D624" t="str">
            <v>PVN-003539</v>
          </cell>
          <cell r="E624" t="str">
            <v>OrthoLite X-40-Hybrid SEEDPEARL/12-0703TPX Hybrid Flat Sheet 0.16D 35+/-4 Asker C 1.1M 1.7M 6.2mm</v>
          </cell>
          <cell r="F624">
            <v>37</v>
          </cell>
        </row>
        <row r="625">
          <cell r="B625" t="str">
            <v>F-2025-12-317-2</v>
          </cell>
          <cell r="C625" t="str">
            <v>BDB-000362</v>
          </cell>
          <cell r="D625" t="str">
            <v>PVN-004259</v>
          </cell>
          <cell r="E625" t="str">
            <v>OrthoLite X-60-Hybrid SEEDPEARL/12-0703TPX Hybrid Flat Sheet 0.19D 28+/-4 Asker C 1.1M 1.7M 12mm</v>
          </cell>
          <cell r="F625">
            <v>39</v>
          </cell>
        </row>
        <row r="626">
          <cell r="B626" t="str">
            <v>F-2025-12-319</v>
          </cell>
          <cell r="C626" t="str">
            <v>BDB-000217</v>
          </cell>
          <cell r="D626" t="str">
            <v>PVN-003539</v>
          </cell>
          <cell r="E626" t="str">
            <v>OrthoLite X-40-Hybrid SEEDPEARL/12-0703TPX Hybrid Flat Sheet 0.16D 35+/-4 Asker C 1.1M 1.7M 6.2mm</v>
          </cell>
          <cell r="F626">
            <v>46</v>
          </cell>
        </row>
        <row r="627">
          <cell r="B627" t="str">
            <v>F-2025-12-402</v>
          </cell>
          <cell r="C627" t="str">
            <v>BDB-000175</v>
          </cell>
          <cell r="D627" t="str">
            <v>PVN-002966</v>
          </cell>
          <cell r="E627" t="str">
            <v>OrthoLite Ultra-Hybrid-Nike SEEDPEARL/12-0703TPX Hybrid 0.085D 25+/-4 Asker C 1.1M 2M 4mm</v>
          </cell>
          <cell r="F627">
            <v>5</v>
          </cell>
        </row>
        <row r="628">
          <cell r="B628" t="str">
            <v>F-2025-12-511</v>
          </cell>
          <cell r="C628" t="str">
            <v>BDB-000123</v>
          </cell>
          <cell r="D628" t="str">
            <v>PVN-003298</v>
          </cell>
          <cell r="E628" t="str">
            <v>OrthoLite Ultra-Hybrid SEEDPEARL/12-0703TPX Hybrid 0.085D 25+/-4 Asker C 1.1M 2M 4mm</v>
          </cell>
          <cell r="F628">
            <v>78</v>
          </cell>
        </row>
        <row r="629">
          <cell r="B629" t="str">
            <v>F-2025-12-517</v>
          </cell>
          <cell r="C629" t="str">
            <v>BDB-000123</v>
          </cell>
          <cell r="D629" t="str">
            <v>PVN-003299</v>
          </cell>
          <cell r="E629" t="str">
            <v>OrthoLite Ultra-Hybrid SEEDPEARL/12-0703TPX Hybrid 0.085D 25+/-4 Asker C 1.1M 2M 3mm</v>
          </cell>
          <cell r="F629">
            <v>153</v>
          </cell>
        </row>
        <row r="630">
          <cell r="B630" t="str">
            <v>F-2025-12-534</v>
          </cell>
          <cell r="C630" t="str">
            <v>BDB-000123</v>
          </cell>
          <cell r="D630" t="str">
            <v>PVN-003300</v>
          </cell>
          <cell r="E630" t="str">
            <v>OrthoLite Ultra-Hybrid SEEDPEARL/12-0703TPX Hybrid Flat Sheet 0.085D 25+/-4 Asker C 1.1M 2M 2mm</v>
          </cell>
          <cell r="F630">
            <v>6</v>
          </cell>
        </row>
        <row r="631">
          <cell r="B631" t="str">
            <v>F-2025-12-628</v>
          </cell>
          <cell r="C631" t="str">
            <v>BDB-000218</v>
          </cell>
          <cell r="D631" t="str">
            <v>PVN-003488</v>
          </cell>
          <cell r="E631" t="str">
            <v>OrthoLite Ultra-Nike SEEDPEARL/12-0703TPX Flat Sheet 0.085D 5-10 Asker C 1.1M 2M 4mm</v>
          </cell>
          <cell r="F631">
            <v>3</v>
          </cell>
        </row>
        <row r="632">
          <cell r="B632" t="str">
            <v>F-2025-12-629</v>
          </cell>
          <cell r="C632" t="str">
            <v>BDB-000052</v>
          </cell>
          <cell r="D632" t="str">
            <v>PVN-003603</v>
          </cell>
          <cell r="E632" t="str">
            <v>OrthoLite X-40 TRUE BLUE/19-4057TPX Flat Sheet 0.16D 25+/-4 Asker C 1.1M 1.47M 12mm</v>
          </cell>
          <cell r="F632">
            <v>63</v>
          </cell>
        </row>
        <row r="633">
          <cell r="B633" t="str">
            <v>F-2026-01-104</v>
          </cell>
          <cell r="C633" t="str">
            <v>BDB-000217</v>
          </cell>
          <cell r="D633" t="str">
            <v>PVN-003483</v>
          </cell>
          <cell r="E633" t="str">
            <v>OrthoLite X-40-Hybrid SEEDPEARL/12-0703TPX Hybrid Flat Sheet 0.16D 35+/-4 Asker C 1.1M 1.7M 12mm</v>
          </cell>
          <cell r="F633">
            <v>24</v>
          </cell>
        </row>
        <row r="634">
          <cell r="B634" t="str">
            <v>F-2026-01-107</v>
          </cell>
          <cell r="C634" t="str">
            <v>BDB-000325</v>
          </cell>
          <cell r="D634" t="str">
            <v>PVN-004115</v>
          </cell>
          <cell r="E634" t="str">
            <v>OrthoLite X-40 TRUE BLUE/19-4057TPX Flat Sheet 0.16D 35+/-4 Asker C 1.1M 2M 4mm</v>
          </cell>
          <cell r="F634">
            <v>1</v>
          </cell>
        </row>
        <row r="635">
          <cell r="B635" t="str">
            <v>F-2026-01-115</v>
          </cell>
          <cell r="C635" t="str">
            <v>BDB-000057</v>
          </cell>
          <cell r="D635" t="str">
            <v>PVN-000981</v>
          </cell>
          <cell r="E635" t="str">
            <v>OrthoLite Ultra YELLOW/13-0858TPX Flat Sheet 0.085D 25+/-4 Asker C 1.1M 2M 3mm</v>
          </cell>
          <cell r="F635">
            <v>3</v>
          </cell>
        </row>
        <row r="636">
          <cell r="B636" t="str">
            <v>F-2026-01-116</v>
          </cell>
          <cell r="C636" t="str">
            <v>BDB-000058</v>
          </cell>
          <cell r="D636" t="str">
            <v>PVN-001277</v>
          </cell>
          <cell r="E636" t="str">
            <v>OrthoLite Ultra GREEN/16-5932TPX Flat Sheet 0.085D 25+/-4 Asker C 1.1M 2M 4mm</v>
          </cell>
          <cell r="F636">
            <v>28</v>
          </cell>
        </row>
        <row r="637">
          <cell r="B637" t="str">
            <v>F-2026-01-119</v>
          </cell>
          <cell r="C637" t="str">
            <v>BDB-000200</v>
          </cell>
          <cell r="D637" t="str">
            <v>PVN-003418</v>
          </cell>
          <cell r="E637" t="str">
            <v>OrthoLite Ultra SEEDPEARL/12-0703TPX Flat Sheet 0.085D 78-90 Asker F 1.1M 2M 5mm</v>
          </cell>
          <cell r="F637">
            <v>2</v>
          </cell>
        </row>
        <row r="638">
          <cell r="B638" t="str">
            <v>F-2026-01-13</v>
          </cell>
          <cell r="C638" t="str">
            <v>BDB-000157</v>
          </cell>
          <cell r="D638" t="str">
            <v>PVN-003642</v>
          </cell>
          <cell r="E638" t="str">
            <v>OrthoLite X-35-Hybrid-Nike SEEDPEARL/12-0703TPX Hybrid Flat Sheet 0.145D 25+/-4 Asker C 1.1M 2M 6.2mm</v>
          </cell>
          <cell r="F638">
            <v>19</v>
          </cell>
        </row>
        <row r="639">
          <cell r="B639" t="str">
            <v>F-2026-01-133</v>
          </cell>
          <cell r="C639" t="str">
            <v>BDB-000055</v>
          </cell>
          <cell r="D639" t="str">
            <v>PVN-003326</v>
          </cell>
          <cell r="E639" t="str">
            <v>OrthoLite X-40 TRUE BLUE/19-4057TPX Flat Sheet 0.16D 35+/-4 Asker C 1.1M 1.7M 14mm</v>
          </cell>
          <cell r="F639">
            <v>15</v>
          </cell>
        </row>
        <row r="640">
          <cell r="B640" t="str">
            <v>F-2026-01-137</v>
          </cell>
          <cell r="C640" t="str">
            <v>BDB-000217</v>
          </cell>
          <cell r="D640" t="str">
            <v>PVN-003733</v>
          </cell>
          <cell r="E640" t="str">
            <v>OrthoLite X-40-Hybrid SEEDPEARL/12-0703TPX Hybrid Flat Sheet 0.16D 35+/-4 Asker C 1.1M 1.7M 12.5mm</v>
          </cell>
          <cell r="F640">
            <v>1</v>
          </cell>
        </row>
        <row r="641">
          <cell r="B641" t="str">
            <v>F-2026-01-139</v>
          </cell>
          <cell r="C641" t="str">
            <v>BDB-000057</v>
          </cell>
          <cell r="D641" t="str">
            <v>PVN-001126</v>
          </cell>
          <cell r="E641" t="str">
            <v>OrthoLite Ultra YELLOW/13-0858TPX Flat Sheet 0.085D 25+/-4 Asker C 1.1M 2M 11mm</v>
          </cell>
          <cell r="F641">
            <v>8</v>
          </cell>
        </row>
        <row r="642">
          <cell r="B642" t="str">
            <v>F-2026-01-14</v>
          </cell>
          <cell r="C642" t="str">
            <v>BDB-000054</v>
          </cell>
          <cell r="D642" t="str">
            <v>PVN-003895</v>
          </cell>
          <cell r="E642" t="str">
            <v>OrthoLite X-40 RED/19-1764TPX Flat Sheet 0.16D 25+/-4 Asker C 1.1M 1.7M 5mm</v>
          </cell>
          <cell r="F642">
            <v>3</v>
          </cell>
        </row>
        <row r="643">
          <cell r="B643" t="str">
            <v>F-2026-01-141-1</v>
          </cell>
          <cell r="C643" t="str">
            <v>BDB-000058</v>
          </cell>
          <cell r="D643" t="str">
            <v>PVN-001277</v>
          </cell>
          <cell r="E643" t="str">
            <v>OrthoLite Ultra GREEN/16-5932TPX Flat Sheet 0.085D 25+/-4 Asker C 1.1M 2M 4mm</v>
          </cell>
          <cell r="F643">
            <v>21</v>
          </cell>
        </row>
        <row r="644">
          <cell r="B644" t="str">
            <v>F-2026-01-141-2</v>
          </cell>
          <cell r="C644" t="str">
            <v>BDB-000058</v>
          </cell>
          <cell r="D644" t="str">
            <v>PVN-001277</v>
          </cell>
          <cell r="E644" t="str">
            <v>OrthoLite Ultra GREEN/16-5932TPX Flat Sheet 0.085D 25+/-4 Asker C 1.1M 2M 4mm</v>
          </cell>
          <cell r="F644">
            <v>69</v>
          </cell>
        </row>
        <row r="645">
          <cell r="B645" t="str">
            <v>F-2026-01-143</v>
          </cell>
          <cell r="C645" t="str">
            <v>BDB-000123</v>
          </cell>
          <cell r="D645" t="str">
            <v>PVN-003300</v>
          </cell>
          <cell r="E645" t="str">
            <v>OrthoLite Ultra-Hybrid SEEDPEARL/12-0703TPX Hybrid Flat Sheet 0.085D 25+/-4 Asker C 1.1M 2M 2mm</v>
          </cell>
          <cell r="F645">
            <v>23</v>
          </cell>
        </row>
        <row r="646">
          <cell r="B646" t="str">
            <v>F-2026-01-144</v>
          </cell>
          <cell r="C646" t="str">
            <v>BDB-000200</v>
          </cell>
          <cell r="D646" t="str">
            <v>PVN-003418</v>
          </cell>
          <cell r="E646" t="str">
            <v>OrthoLite Ultra SEEDPEARL/12-0703TPX Flat Sheet 0.085D 78-90 Asker F 1.1M 2M 5mm</v>
          </cell>
          <cell r="F646">
            <v>9</v>
          </cell>
        </row>
        <row r="647">
          <cell r="B647" t="str">
            <v>F-2026-01-145</v>
          </cell>
          <cell r="C647" t="str">
            <v>BDB-000200</v>
          </cell>
          <cell r="D647" t="str">
            <v>PVN-003425</v>
          </cell>
          <cell r="E647" t="str">
            <v>OrthoLite Ultra SEEDPEARL/12-0703TPX Flat Sheet 0.085D 78-90 Asker F 1.1M 2M 4mm</v>
          </cell>
          <cell r="F647">
            <v>26</v>
          </cell>
        </row>
        <row r="648">
          <cell r="B648" t="str">
            <v>F-2026-01-153</v>
          </cell>
          <cell r="C648" t="str">
            <v>BDB-000055</v>
          </cell>
          <cell r="D648" t="str">
            <v>PVN-003326</v>
          </cell>
          <cell r="E648" t="str">
            <v>OrthoLite X-40 TRUE BLUE/19-4057TPX Flat Sheet 0.16D 35+/-4 Asker C 1.1M 1.7M 14mm</v>
          </cell>
          <cell r="F648">
            <v>10</v>
          </cell>
        </row>
        <row r="649">
          <cell r="B649" t="str">
            <v>F-2026-01-156</v>
          </cell>
          <cell r="C649" t="str">
            <v>BDB-000057</v>
          </cell>
          <cell r="D649" t="str">
            <v>PVN-001126</v>
          </cell>
          <cell r="E649" t="str">
            <v>OrthoLite Ultra YELLOW/13-0858TPX Flat Sheet 0.085D 25+/-4 Asker C 1.1M 2M 11mm</v>
          </cell>
          <cell r="F649">
            <v>3</v>
          </cell>
        </row>
        <row r="650">
          <cell r="B650" t="str">
            <v>F-2026-01-157</v>
          </cell>
          <cell r="C650" t="str">
            <v>BDB-000057</v>
          </cell>
          <cell r="D650" t="str">
            <v>PVN-001236</v>
          </cell>
          <cell r="E650" t="str">
            <v>OrthoLite Ultra YELLOW/13-0858TPX Flat Sheet 0.085D 25+/-4 Asker C 1.1M 2M 3.5mm</v>
          </cell>
          <cell r="F650">
            <v>1</v>
          </cell>
        </row>
        <row r="651">
          <cell r="B651" t="str">
            <v>F-2026-01-27</v>
          </cell>
          <cell r="C651" t="str">
            <v>BDB-000217</v>
          </cell>
          <cell r="D651" t="str">
            <v>PVN-003483</v>
          </cell>
          <cell r="E651" t="str">
            <v>OrthoLite X-40-Hybrid SEEDPEARL/12-0703TPX Hybrid Flat Sheet 0.16D 35+/-4 Asker C 1.1M 1.7M 12mm</v>
          </cell>
          <cell r="F651">
            <v>34</v>
          </cell>
        </row>
        <row r="652">
          <cell r="B652" t="str">
            <v>F-2026-01-45</v>
          </cell>
          <cell r="C652" t="str">
            <v>BDB-000051</v>
          </cell>
          <cell r="D652" t="str">
            <v>PVN-003329</v>
          </cell>
          <cell r="E652" t="str">
            <v>OrthoLite X-40 TRUE BLUE/19-4057TPX Flat Sheet 0.16D 25+/-4 Asker C 1.1M 1.7M 5.5mm</v>
          </cell>
          <cell r="F652">
            <v>1</v>
          </cell>
        </row>
        <row r="653">
          <cell r="B653" t="str">
            <v>F-2026-01-46</v>
          </cell>
          <cell r="C653" t="str">
            <v>BDB-000077</v>
          </cell>
          <cell r="D653" t="str">
            <v>PVN-003478</v>
          </cell>
          <cell r="E653" t="str">
            <v>Ortholite X-25 SEEDPEARL/12-0703TPX Flat Sheet 0.12D 20+/-4 Asker C 1.1M 2M 4mm</v>
          </cell>
          <cell r="F653">
            <v>2</v>
          </cell>
        </row>
        <row r="654">
          <cell r="B654" t="str">
            <v>F-2026-01-49</v>
          </cell>
          <cell r="C654" t="str">
            <v>BDB-000157</v>
          </cell>
          <cell r="D654" t="str">
            <v>PVN-003642</v>
          </cell>
          <cell r="E654" t="str">
            <v>OrthoLite X-35-Hybrid-Nike SEEDPEARL/12-0703TPX Hybrid Flat Sheet 0.145D 25+/-4 Asker C 1.1M 2M 6.2mm</v>
          </cell>
          <cell r="F654">
            <v>25</v>
          </cell>
        </row>
        <row r="655">
          <cell r="B655" t="str">
            <v>F-2026-01-92</v>
          </cell>
          <cell r="C655" t="str">
            <v>BDB-000077</v>
          </cell>
          <cell r="D655" t="str">
            <v>PVN-003478</v>
          </cell>
          <cell r="E655" t="str">
            <v>Ortholite X-25 SEEDPEARL/12-0703TPX Flat Sheet 0.12D 20+/-4 Asker C 1.1M 2M 4mm</v>
          </cell>
          <cell r="F655">
            <v>2</v>
          </cell>
        </row>
        <row r="656">
          <cell r="B656" t="str">
            <v>S-2026-01-08</v>
          </cell>
          <cell r="C656" t="str">
            <v>BDB-000008</v>
          </cell>
          <cell r="D656" t="str">
            <v>PVN-000505</v>
          </cell>
          <cell r="E656" t="str">
            <v>OrthoLite Regular LIME GREEN/14-0452TPX 0.11D 25+/-4 Asker C 1.1M 2M 12mm</v>
          </cell>
          <cell r="F656">
            <v>1</v>
          </cell>
        </row>
        <row r="657">
          <cell r="B657" t="str">
            <v>F-2025-11-326</v>
          </cell>
          <cell r="C657" t="str">
            <v>BDB-000235</v>
          </cell>
          <cell r="D657" t="str">
            <v>PVN-003576</v>
          </cell>
          <cell r="E657" t="str">
            <v>OrthoLite X-55-Hybrid FOSSIL/17-0909TPX Hybrid Flat Sheet 0.16D 25+/-4 Asker C 1.1M 1.7M 12mm</v>
          </cell>
          <cell r="F657">
            <v>9</v>
          </cell>
        </row>
        <row r="658">
          <cell r="B658" t="str">
            <v>F-2025-11-326</v>
          </cell>
          <cell r="C658" t="str">
            <v>BDB-000235</v>
          </cell>
          <cell r="D658" t="str">
            <v>PVN-003576</v>
          </cell>
          <cell r="E658" t="str">
            <v>OrthoLite X-55-Hybrid FOSSIL/17-0909TPX Hybrid Flat Sheet 0.16D 25+/-4 Asker C 1.1M 1.7M 12mm</v>
          </cell>
          <cell r="F658">
            <v>15</v>
          </cell>
        </row>
        <row r="659">
          <cell r="B659" t="str">
            <v>F-2025-12-316</v>
          </cell>
          <cell r="C659" t="str">
            <v>BDB-000347</v>
          </cell>
          <cell r="D659" t="str">
            <v>PVN-004192</v>
          </cell>
          <cell r="E659" t="str">
            <v>OrthoLite X-55-Hybrid SEEDPEARL/12-0703TPX Hybrid 0.16D 25+/-4 Asker C 1.1M 2M 12mm</v>
          </cell>
          <cell r="F659">
            <v>129</v>
          </cell>
        </row>
        <row r="660">
          <cell r="B660" t="str">
            <v>F-2025-12-317-2</v>
          </cell>
          <cell r="C660" t="str">
            <v>BDB-000362</v>
          </cell>
          <cell r="D660" t="str">
            <v>PVN-004259</v>
          </cell>
          <cell r="E660" t="str">
            <v>OrthoLite X-60-Hybrid SEEDPEARL/12-0703TPX Hybrid Flat Sheet 0.19D 28+/-4 Asker C 1.1M 1.7M 12mm</v>
          </cell>
          <cell r="F660">
            <v>41</v>
          </cell>
        </row>
        <row r="661">
          <cell r="B661" t="str">
            <v>F-2025-12-38</v>
          </cell>
          <cell r="C661" t="str">
            <v>BDB-000259</v>
          </cell>
          <cell r="D661" t="str">
            <v>PVN-003684</v>
          </cell>
          <cell r="E661" t="str">
            <v>OrthoLite Nike PP002 GLACIER GRAY/14-4102TPX Flat Sheet 0.145D 25+/-4 asker C 1.1M 2M 4.2mm</v>
          </cell>
          <cell r="F661">
            <v>2</v>
          </cell>
        </row>
        <row r="662">
          <cell r="B662" t="str">
            <v>F-2025-12-414</v>
          </cell>
          <cell r="C662" t="str">
            <v>BDB-000129</v>
          </cell>
          <cell r="D662" t="str">
            <v>PVN-001550</v>
          </cell>
          <cell r="E662" t="str">
            <v>OrthoLite Regular-Nike AIR BLUE/16-4134TPX 0.11D 25+/-4 Asker C 1.1M 1.7M 2mm</v>
          </cell>
          <cell r="F662">
            <v>35</v>
          </cell>
        </row>
        <row r="663">
          <cell r="B663" t="str">
            <v>F-2025-12-477</v>
          </cell>
          <cell r="C663" t="str">
            <v>BDB-000346</v>
          </cell>
          <cell r="D663" t="str">
            <v>PVN-004188</v>
          </cell>
          <cell r="E663" t="str">
            <v>OrthoLite Float NEUTRAL GRAY/17-4402TPX Flat Sheet 0.12D 21+/-4 Asker C 1.1M 1.47M 5.5mm</v>
          </cell>
          <cell r="F663">
            <v>41</v>
          </cell>
        </row>
        <row r="664">
          <cell r="B664" t="str">
            <v>F-2025-12-511</v>
          </cell>
          <cell r="C664" t="str">
            <v>BDB-000123</v>
          </cell>
          <cell r="D664" t="str">
            <v>PVN-003298</v>
          </cell>
          <cell r="E664" t="str">
            <v>OrthoLite Ultra-Hybrid SEEDPEARL/12-0703TPX Hybrid 0.085D 25+/-4 Asker C 1.1M 2M 4mm</v>
          </cell>
          <cell r="F664">
            <v>27</v>
          </cell>
        </row>
        <row r="665">
          <cell r="B665" t="str">
            <v>F-2025-12-53-2</v>
          </cell>
          <cell r="C665" t="str">
            <v>BDB-000129</v>
          </cell>
          <cell r="D665" t="str">
            <v>PVN-001550</v>
          </cell>
          <cell r="E665" t="str">
            <v>OrthoLite Regular-Nike AIR BLUE/16-4134TPX 0.11D 25+/-4 Asker C 1.1M 1.7M 2mm</v>
          </cell>
          <cell r="F665">
            <v>22</v>
          </cell>
        </row>
        <row r="666">
          <cell r="B666" t="str">
            <v>F-2025-12-57</v>
          </cell>
          <cell r="C666" t="str">
            <v>BDB-000235</v>
          </cell>
          <cell r="D666" t="str">
            <v>PVN-003576</v>
          </cell>
          <cell r="E666" t="str">
            <v>OrthoLite X-55-Hybrid FOSSIL/17-0909TPX Hybrid Flat Sheet 0.16D 25+/-4 Asker C 1.1M 1.7M 12mm</v>
          </cell>
          <cell r="F666">
            <v>218</v>
          </cell>
        </row>
        <row r="667">
          <cell r="B667" t="str">
            <v>F-2025-12-575</v>
          </cell>
          <cell r="C667" t="str">
            <v>BDB-000234</v>
          </cell>
          <cell r="D667" t="str">
            <v>PVN-003581</v>
          </cell>
          <cell r="E667" t="str">
            <v>OrthoLite X-30-Hybrid BROWN SUGAR/17-1134TPX Hybrid Flat Sheet 0.13D 25+/-4 Asker C 1.1M 2M 12mm</v>
          </cell>
          <cell r="F667">
            <v>32</v>
          </cell>
        </row>
        <row r="668">
          <cell r="B668" t="str">
            <v>F-2025-12-59-1</v>
          </cell>
          <cell r="C668" t="str">
            <v>BDB-000113</v>
          </cell>
          <cell r="D668" t="str">
            <v>PVN-003414</v>
          </cell>
          <cell r="E668" t="str">
            <v>OrthoLite Regular-Hybrid SEEDPEARL/12-0703TPX Hybrid Flat Sheet 0.11D 25+/-4 Asker C 1.1M 2M 12mm</v>
          </cell>
          <cell r="F668">
            <v>24</v>
          </cell>
        </row>
        <row r="669">
          <cell r="B669" t="str">
            <v>F-2025-12-595</v>
          </cell>
          <cell r="C669" t="str">
            <v>BDB-000321</v>
          </cell>
          <cell r="D669" t="str">
            <v>PVN-004092</v>
          </cell>
          <cell r="E669" t="str">
            <v>OrthoLite Float BLUE ATOLL/16-4535TPX Flat Sheet 0.12D 21+/-4 Asker C 1.1M 2M 14.5mm</v>
          </cell>
          <cell r="F669">
            <v>2</v>
          </cell>
        </row>
        <row r="670">
          <cell r="B670" t="str">
            <v>F-2025-12-611</v>
          </cell>
          <cell r="C670" t="str">
            <v>BDB-000234</v>
          </cell>
          <cell r="D670" t="str">
            <v>PVN-003581</v>
          </cell>
          <cell r="E670" t="str">
            <v>OrthoLite X-30-Hybrid BROWN SUGAR/17-1134TPX Hybrid Flat Sheet 0.13D 25+/-4 Asker C 1.1M 2M 12mm</v>
          </cell>
          <cell r="F670">
            <v>5</v>
          </cell>
        </row>
        <row r="671">
          <cell r="B671" t="str">
            <v>F-2025-12-612</v>
          </cell>
          <cell r="C671" t="str">
            <v>BDB-000248</v>
          </cell>
          <cell r="D671" t="str">
            <v>PVN-003931</v>
          </cell>
          <cell r="E671" t="str">
            <v>OrthoLite X-40-Hybrid RED/19-1764TPX Hybrid Flat Sheet 0.16D 25+/-4 Asker C 1.1M 1.7M 6.5mm</v>
          </cell>
          <cell r="F671">
            <v>2</v>
          </cell>
        </row>
        <row r="672">
          <cell r="B672" t="str">
            <v>F-2025-12-626</v>
          </cell>
          <cell r="C672" t="str">
            <v>BDB-000149</v>
          </cell>
          <cell r="D672" t="str">
            <v>PVN-002827</v>
          </cell>
          <cell r="E672" t="str">
            <v>OrthoLite Regular-Hybrid-Nike SEEDPEARL/12-0703TPX Hybrid Flat Sheet 0.11D 25+/-4 Asker C 1.1M 2M 5mm</v>
          </cell>
          <cell r="F672">
            <v>26</v>
          </cell>
        </row>
        <row r="673">
          <cell r="B673" t="str">
            <v>F-2025-12-638</v>
          </cell>
          <cell r="C673" t="str">
            <v>BDB-000321</v>
          </cell>
          <cell r="D673" t="str">
            <v>PVN-004104</v>
          </cell>
          <cell r="E673" t="str">
            <v>OrthoLite Float BLUE ATOLL/16-4535TPX Flat Sheet 0.12D 21+/-4 Asker C 1.1M 2M 5mm</v>
          </cell>
          <cell r="F673">
            <v>7</v>
          </cell>
        </row>
        <row r="674">
          <cell r="B674" t="str">
            <v>F-2026-01-05</v>
          </cell>
          <cell r="C674" t="str">
            <v>BDB-000011</v>
          </cell>
          <cell r="D674" t="str">
            <v>PVN-000126</v>
          </cell>
          <cell r="E674" t="str">
            <v>OrthoLite Regular AIR BLUE/16-4134TPX Flat Sheet 0.13D 35+/-4 Asker C 1.1M 2M 4mm</v>
          </cell>
          <cell r="F674">
            <v>10</v>
          </cell>
        </row>
        <row r="675">
          <cell r="B675" t="str">
            <v>F-2026-01-118</v>
          </cell>
          <cell r="C675" t="str">
            <v>BDB-000123</v>
          </cell>
          <cell r="D675" t="str">
            <v>PVN-003315</v>
          </cell>
          <cell r="E675" t="str">
            <v>OrthoLite Ultra-Hybrid SEEDPEARL/12-0703TPX Hybrid 0.085D 25+/-4 Asker C 1.1M 2M 3.5mm</v>
          </cell>
          <cell r="F675">
            <v>1</v>
          </cell>
        </row>
        <row r="676">
          <cell r="B676" t="str">
            <v>F-2026-01-123</v>
          </cell>
          <cell r="C676" t="str">
            <v>BDB-000209</v>
          </cell>
          <cell r="D676" t="str">
            <v>PVN-003462</v>
          </cell>
          <cell r="E676" t="str">
            <v>OrthoLite HybridPlus-Recycled MINT GREEN/11-4805TPX Hybrid Flat Sheet 0.12D 25+/-4 Asker C 1.1M 2M 12mm</v>
          </cell>
          <cell r="F676">
            <v>19</v>
          </cell>
        </row>
        <row r="677">
          <cell r="B677" t="str">
            <v>F-2026-01-140</v>
          </cell>
          <cell r="C677" t="str">
            <v>BDB-000266</v>
          </cell>
          <cell r="D677" t="str">
            <v>PVN-003732</v>
          </cell>
          <cell r="E677" t="str">
            <v>OrthoLite Regular BLACK/19-4007TPX Flat Sheet 0.15D 45+/-4 Asker C 1.1M 1.7M 2mm</v>
          </cell>
          <cell r="F677">
            <v>4</v>
          </cell>
        </row>
        <row r="678">
          <cell r="B678" t="str">
            <v>F-2026-01-141-1</v>
          </cell>
          <cell r="C678" t="str">
            <v>BDB-000058</v>
          </cell>
          <cell r="D678" t="str">
            <v>PVN-001277</v>
          </cell>
          <cell r="E678" t="str">
            <v>OrthoLite Ultra GREEN/16-5932TPX Flat Sheet 0.085D 25+/-4 Asker C 1.1M 2M 4mm</v>
          </cell>
          <cell r="F678">
            <v>20</v>
          </cell>
        </row>
        <row r="679">
          <cell r="B679" t="str">
            <v>F-2026-01-145</v>
          </cell>
          <cell r="C679" t="str">
            <v>BDB-000200</v>
          </cell>
          <cell r="D679" t="str">
            <v>PVN-003425</v>
          </cell>
          <cell r="E679" t="str">
            <v>OrthoLite Ultra SEEDPEARL/12-0703TPX Flat Sheet 0.085D 78-90 Asker F 1.1M 2M 4mm</v>
          </cell>
          <cell r="F679">
            <v>27</v>
          </cell>
        </row>
        <row r="680">
          <cell r="B680" t="str">
            <v>F-2026-01-164</v>
          </cell>
          <cell r="C680" t="str">
            <v>BDB-000200</v>
          </cell>
          <cell r="D680" t="str">
            <v>PVN-003418</v>
          </cell>
          <cell r="E680" t="str">
            <v>OrthoLite Ultra SEEDPEARL/12-0703TPX Flat Sheet 0.085D 78-90 Asker F 1.1M 2M 5mm</v>
          </cell>
          <cell r="F680">
            <v>21</v>
          </cell>
        </row>
        <row r="681">
          <cell r="B681" t="str">
            <v>F-2026-01-19</v>
          </cell>
          <cell r="C681" t="str">
            <v>BDB-000011</v>
          </cell>
          <cell r="D681" t="str">
            <v>PVN-000121</v>
          </cell>
          <cell r="E681" t="str">
            <v>OrthoLite Regular AIR BLUE/16-4134TPX Flat Sheet 0.13D 35+/-4 Asker C 1.1M 2M 12mm</v>
          </cell>
          <cell r="F681">
            <v>45</v>
          </cell>
        </row>
        <row r="682">
          <cell r="B682" t="str">
            <v>F-2026-01-31</v>
          </cell>
          <cell r="C682" t="str">
            <v>BDB-000332</v>
          </cell>
          <cell r="D682" t="str">
            <v>PVN-004146</v>
          </cell>
          <cell r="E682" t="str">
            <v>OrthoLite X-25 CASTLEROCK/18-0201TPX Flat Sheet 0.12D 20+/-4 Asker C 1.1M 2M 5.5mm</v>
          </cell>
          <cell r="F682">
            <v>1</v>
          </cell>
        </row>
        <row r="683">
          <cell r="B683" t="str">
            <v>F-2026-01-32</v>
          </cell>
          <cell r="C683" t="str">
            <v>BDB-000346</v>
          </cell>
          <cell r="D683" t="str">
            <v>PVN-004188</v>
          </cell>
          <cell r="E683" t="str">
            <v>OrthoLite Float NEUTRAL GRAY/17-4402TPX Flat Sheet 0.12D 21+/-4 Asker C 1.1M 1.47M 5.5mm</v>
          </cell>
          <cell r="F683">
            <v>79</v>
          </cell>
        </row>
        <row r="684">
          <cell r="B684" t="str">
            <v>F-2026-01-39</v>
          </cell>
          <cell r="C684" t="str">
            <v>BDB-000321</v>
          </cell>
          <cell r="D684" t="str">
            <v>PVN-004104</v>
          </cell>
          <cell r="E684" t="str">
            <v>OrthoLite Float BLUE ATOLL/16-4535TPX Flat Sheet 0.12D 21+/-4 Asker C 1.1M 2M 5mm</v>
          </cell>
          <cell r="F684">
            <v>2</v>
          </cell>
        </row>
        <row r="685">
          <cell r="B685" t="str">
            <v>F-2026-01-68</v>
          </cell>
          <cell r="C685" t="str">
            <v>BDB-000129</v>
          </cell>
          <cell r="D685" t="str">
            <v>PVN-001550</v>
          </cell>
          <cell r="E685" t="str">
            <v>OrthoLite Regular-Nike AIR BLUE/16-4134TPX Flat Sheet 0.11D 25+/-4 Asker C 1.1M 1.7M 2mm</v>
          </cell>
          <cell r="F685">
            <v>8</v>
          </cell>
        </row>
        <row r="686">
          <cell r="B686" t="str">
            <v>F-2026-01-98</v>
          </cell>
          <cell r="C686" t="str">
            <v>BDB-000209</v>
          </cell>
          <cell r="D686" t="str">
            <v>PVN-003462</v>
          </cell>
          <cell r="E686" t="str">
            <v>OrthoLite HybridPlus-Recycled MINT GREEN/11-4805TPX Hybrid Flat Sheet 0.12D 25+/-4 Asker C 1.1M 2M 12mm</v>
          </cell>
          <cell r="F686">
            <v>5</v>
          </cell>
        </row>
        <row r="687">
          <cell r="B687" t="str">
            <v>S-2026-01-57</v>
          </cell>
          <cell r="C687" t="str">
            <v>BDB-000321</v>
          </cell>
          <cell r="D687" t="str">
            <v>PVN-004104</v>
          </cell>
          <cell r="E687" t="str">
            <v>OrthoLite Float BLUE ATOLL/16-4535TPX Flat Sheet 0.12D 21+/-4 Asker C 1.1M 2M 5mm</v>
          </cell>
          <cell r="F687">
            <v>1</v>
          </cell>
        </row>
        <row r="688">
          <cell r="B688" t="str">
            <v>S-2026-01-58</v>
          </cell>
          <cell r="C688" t="str">
            <v>BDB-000123</v>
          </cell>
          <cell r="D688" t="str">
            <v>PVN-003374</v>
          </cell>
          <cell r="E688" t="str">
            <v>OrthoLite Ultra-Hybrid SEEDPEARL/12-0703TPX Hybrid Flat Sheet 0.085D 25+/-4 Asker C 1.1M 2M 11mm</v>
          </cell>
          <cell r="F688">
            <v>5</v>
          </cell>
        </row>
        <row r="689">
          <cell r="B689" t="str">
            <v>S-2026-01-73</v>
          </cell>
          <cell r="C689" t="str">
            <v>BDB-000021</v>
          </cell>
          <cell r="D689" t="str">
            <v>PVN-000337</v>
          </cell>
          <cell r="E689" t="str">
            <v>OrthoLite Regular GREY/17-1501TPX Flat Sheet 0.13D 25+/-4 Asker C 1.1M 2M 5mm</v>
          </cell>
          <cell r="F689">
            <v>1</v>
          </cell>
        </row>
        <row r="690">
          <cell r="B690" t="str">
            <v>F-2025-11-327</v>
          </cell>
          <cell r="C690" t="str">
            <v>BDB-000051</v>
          </cell>
          <cell r="D690" t="str">
            <v>PVN-003319</v>
          </cell>
          <cell r="E690" t="str">
            <v>OrthoLite X-40 TRUE BLUE/19-4057TPX Flat Sheet 0.16D 25+/-4 Asker C 1.1M 1.7M 12mm</v>
          </cell>
          <cell r="F690">
            <v>44</v>
          </cell>
        </row>
        <row r="691">
          <cell r="B691" t="str">
            <v>F-2025-12-317-2</v>
          </cell>
          <cell r="C691" t="str">
            <v>BDB-000362</v>
          </cell>
          <cell r="D691" t="str">
            <v>PVN-004259</v>
          </cell>
          <cell r="E691" t="str">
            <v>OrthoLite X-60-Hybrid SEEDPEARL/12-0703TPX Hybrid Flat Sheet 0.19D 28+/-4 Asker C 1.1M 1.7M 12mm</v>
          </cell>
          <cell r="F691">
            <v>11</v>
          </cell>
        </row>
        <row r="692">
          <cell r="B692" t="str">
            <v>F-2025-12-427</v>
          </cell>
          <cell r="C692" t="str">
            <v>BDB-000339</v>
          </cell>
          <cell r="D692" t="str">
            <v>PVN-004178</v>
          </cell>
          <cell r="E692" t="str">
            <v>OrthoLite Float NEUTRAL GRAY/17-4402TPX Flat Sheet 0.12D 21+/-4 Asker C 1.1M 2M 5.5mm</v>
          </cell>
          <cell r="F692">
            <v>40</v>
          </cell>
        </row>
        <row r="693">
          <cell r="B693" t="str">
            <v>F-2025-12-57</v>
          </cell>
          <cell r="C693" t="str">
            <v>BDB-000235</v>
          </cell>
          <cell r="D693" t="str">
            <v>PVN-003576</v>
          </cell>
          <cell r="E693" t="str">
            <v>OrthoLite X-55-Hybrid FOSSIL/17-0909TPX Hybrid Flat Sheet 0.16D 25+/-4 Asker C 1.1M 1.7M 12mm</v>
          </cell>
          <cell r="F693">
            <v>15</v>
          </cell>
        </row>
        <row r="694">
          <cell r="B694" t="str">
            <v>F-2025-12-575</v>
          </cell>
          <cell r="C694" t="str">
            <v>BDB-000234</v>
          </cell>
          <cell r="D694" t="str">
            <v>PVN-003581</v>
          </cell>
          <cell r="E694" t="str">
            <v>OrthoLite X-30-Hybrid BROWN SUGAR/17-1134TPX Hybrid Flat Sheet 0.13D 25+/-4 Asker C 1.1M 2M 12mm</v>
          </cell>
          <cell r="F694">
            <v>13</v>
          </cell>
        </row>
        <row r="695">
          <cell r="B695" t="str">
            <v>F-2026-01-103</v>
          </cell>
          <cell r="C695" t="str">
            <v>BDB-000234</v>
          </cell>
          <cell r="D695" t="str">
            <v>PVN-003581</v>
          </cell>
          <cell r="E695" t="str">
            <v>OrthoLite X-30-Hybrid BROWN SUGAR/17-1134TPX Hybrid Flat Sheet 0.13D 25+/-4 Asker C 1.1M 2M 12mm</v>
          </cell>
          <cell r="F695">
            <v>1</v>
          </cell>
        </row>
        <row r="696">
          <cell r="B696" t="str">
            <v>F-2026-01-152</v>
          </cell>
          <cell r="C696" t="str">
            <v>BDB-000319</v>
          </cell>
          <cell r="D696" t="str">
            <v>PVN-004247</v>
          </cell>
          <cell r="E696" t="str">
            <v>OrthoLite X-40-Hybrid-Nike SEEDPEARL/12-0703TPX Hybrid Flat Sheet 0.16D 25+/-4 Asker C 1.1M 2M 4.2mm</v>
          </cell>
          <cell r="F696">
            <v>1</v>
          </cell>
        </row>
        <row r="697">
          <cell r="B697" t="str">
            <v>F-2026-01-22</v>
          </cell>
          <cell r="C697" t="str">
            <v>BDB-000235</v>
          </cell>
          <cell r="D697" t="str">
            <v>PVN-003576</v>
          </cell>
          <cell r="E697" t="str">
            <v>OrthoLite X-55-Hybrid FOSSIL/17-0909TPX Hybrid Flat Sheet 0.16D 25+/-4 Asker C 1.1M 1.7M 12mm</v>
          </cell>
          <cell r="F697">
            <v>261</v>
          </cell>
        </row>
        <row r="698">
          <cell r="B698" t="str">
            <v>F-2026-01-34</v>
          </cell>
          <cell r="C698" t="str">
            <v>BDB-000319</v>
          </cell>
          <cell r="D698" t="str">
            <v>PVN-004247</v>
          </cell>
          <cell r="E698" t="str">
            <v>OrthoLite X-40-Hybrid-Nike SEEDPEARL/12-0703TPX Hybrid Flat Sheet 0.16D 25+/-4 Asker C 1.1M 2M 4.2mm</v>
          </cell>
          <cell r="F698">
            <v>2</v>
          </cell>
        </row>
        <row r="699">
          <cell r="B699" t="str">
            <v>F-2025-12-316</v>
          </cell>
          <cell r="C699" t="str">
            <v>BDB-000347</v>
          </cell>
          <cell r="D699" t="str">
            <v>PVN-004192</v>
          </cell>
          <cell r="E699" t="str">
            <v>OrthoLite X-55-Hybrid SEEDPEARL/12-0703TPX Hybrid 0.16D 25+/-4 Asker C 1.1M 2M 12mm</v>
          </cell>
          <cell r="F699">
            <v>26</v>
          </cell>
        </row>
        <row r="700">
          <cell r="B700" t="str">
            <v>F-2025-12-400</v>
          </cell>
          <cell r="C700" t="str">
            <v>BDB-000162</v>
          </cell>
          <cell r="D700" t="str">
            <v>PVN-001566</v>
          </cell>
          <cell r="E700" t="str">
            <v>OrthoLite Ultra-Nike SEEDPEARL/12-0703TPX 0.085D 25+/-4 Asker C 1.1M 2M 4mm</v>
          </cell>
          <cell r="F700">
            <v>86</v>
          </cell>
        </row>
        <row r="701">
          <cell r="B701" t="str">
            <v>F-2025-12-464</v>
          </cell>
          <cell r="C701" t="str">
            <v>BDB-000123</v>
          </cell>
          <cell r="D701" t="str">
            <v>PVN-003298</v>
          </cell>
          <cell r="E701" t="str">
            <v>OrthoLite Ultra-Hybrid SEEDPEARL/12-0703TPX Hybrid Flat Sheet 0.085D 25+/-4 Asker C 1.1M 2M 4mm</v>
          </cell>
          <cell r="F701">
            <v>20</v>
          </cell>
        </row>
        <row r="702">
          <cell r="B702" t="str">
            <v>F-2025-12-62</v>
          </cell>
          <cell r="C702" t="str">
            <v>BDB-000113</v>
          </cell>
          <cell r="D702" t="str">
            <v>PVN-002465</v>
          </cell>
          <cell r="E702" t="str">
            <v>OrthoLite Regular-Hybrid SEEDPEARL/12-0703TPX Hybrid Flat Sheet 0.11D 25+/-4 Asker C 1.1M 2M 5mm</v>
          </cell>
          <cell r="F702">
            <v>16</v>
          </cell>
        </row>
        <row r="703">
          <cell r="B703" t="str">
            <v>F-2025-12-626</v>
          </cell>
          <cell r="C703" t="str">
            <v>BDB-000149</v>
          </cell>
          <cell r="D703" t="str">
            <v>PVN-002827</v>
          </cell>
          <cell r="E703" t="str">
            <v>OrthoLite Regular-Hybrid-Nike SEEDPEARL/12-0703TPX Hybrid Flat Sheet 0.11D 25+/-4 Asker C 1.1M 2M 5mm</v>
          </cell>
          <cell r="F703">
            <v>1</v>
          </cell>
        </row>
        <row r="704">
          <cell r="B704" t="str">
            <v>F-2025-12-626</v>
          </cell>
          <cell r="C704" t="str">
            <v>BDB-000149</v>
          </cell>
          <cell r="D704" t="str">
            <v>PVN-002827</v>
          </cell>
          <cell r="E704" t="str">
            <v>OrthoLite Regular-Hybrid-Nike SEEDPEARL/12-0703TPX Hybrid Flat Sheet 0.11D 25+/-4 Asker C 1.1M 2M 5mm</v>
          </cell>
          <cell r="F704">
            <v>5</v>
          </cell>
        </row>
        <row r="705">
          <cell r="B705" t="str">
            <v>F-2025-12-628</v>
          </cell>
          <cell r="C705" t="str">
            <v>BDB-000218</v>
          </cell>
          <cell r="D705" t="str">
            <v>PVN-003488</v>
          </cell>
          <cell r="E705" t="str">
            <v>OrthoLite Ultra-Nike SEEDPEARL/12-0703TPX Flat Sheet 0.085D 5-10 Asker C 1.1M 2M 4mm</v>
          </cell>
          <cell r="F705">
            <v>2</v>
          </cell>
        </row>
        <row r="706">
          <cell r="B706" t="str">
            <v>F-2026-01-105</v>
          </cell>
          <cell r="C706" t="str">
            <v>BDB-000077</v>
          </cell>
          <cell r="D706" t="str">
            <v>PVN-004147</v>
          </cell>
          <cell r="E706" t="str">
            <v>OrthoLite X-25 SEEDPEARL/12-0703TPX Flat Sheet 0.12D 20+/-4 Asker C 1.1M 2M 5.5mm</v>
          </cell>
          <cell r="F706">
            <v>1</v>
          </cell>
        </row>
        <row r="707">
          <cell r="B707" t="str">
            <v>F-2026-01-109</v>
          </cell>
          <cell r="C707" t="str">
            <v>BDB-000149</v>
          </cell>
          <cell r="D707" t="str">
            <v>PVN-002827</v>
          </cell>
          <cell r="E707" t="str">
            <v>OrthoLite Regular-Hybrid-Nike SEEDPEARL/12-0703TPX Hybrid Flat Sheet 0.11D 25+/-4 Asker C 1.1M 2M 5mm</v>
          </cell>
          <cell r="F707">
            <v>1</v>
          </cell>
        </row>
        <row r="708">
          <cell r="B708" t="str">
            <v>F-2026-01-113</v>
          </cell>
          <cell r="C708" t="str">
            <v>BDB-000348</v>
          </cell>
          <cell r="D708" t="str">
            <v>PVN-004195</v>
          </cell>
          <cell r="E708" t="str">
            <v>OrthoLite IMPERIAL SEEDPEARL/12-0703TPX Flat Sheet 0.22D 25+/-4 Asker C 1.1M 1.47M 4mm</v>
          </cell>
          <cell r="F708">
            <v>39</v>
          </cell>
        </row>
        <row r="709">
          <cell r="B709" t="str">
            <v>F-2026-01-117</v>
          </cell>
          <cell r="C709" t="str">
            <v>BDB-000056</v>
          </cell>
          <cell r="D709" t="str">
            <v>PVN-001983</v>
          </cell>
          <cell r="E709" t="str">
            <v>OrthoLite X-40 SEEDPEARL/12-0703TPX Flat Sheet 0.16D 25+/-4 Asker C 1.1M 1.7M 5mm</v>
          </cell>
          <cell r="F709">
            <v>52</v>
          </cell>
        </row>
        <row r="710">
          <cell r="B710" t="str">
            <v>F-2026-01-120</v>
          </cell>
          <cell r="C710" t="str">
            <v>BDB-000265</v>
          </cell>
          <cell r="D710" t="str">
            <v>PVN-003997</v>
          </cell>
          <cell r="E710" t="str">
            <v>OrthoLite Ultra-Hybrid NINE IRON/19-3908TPX Hybrid Flat Sheet 0.085D 25+/-4 Asker C 1.1M 2M 4mm</v>
          </cell>
          <cell r="F710">
            <v>15</v>
          </cell>
        </row>
        <row r="711">
          <cell r="B711" t="str">
            <v>F-2026-01-141-2</v>
          </cell>
          <cell r="C711" t="str">
            <v>BDB-000058</v>
          </cell>
          <cell r="D711" t="str">
            <v>PVN-001277</v>
          </cell>
          <cell r="E711" t="str">
            <v>OrthoLite Ultra GREEN/16-5932TPX Flat Sheet 0.085D 25+/-4 Asker C 1.1M 2M 4mm</v>
          </cell>
          <cell r="F711">
            <v>2</v>
          </cell>
        </row>
        <row r="712">
          <cell r="B712" t="str">
            <v>F-2026-01-147</v>
          </cell>
          <cell r="C712" t="str">
            <v>BDB-000353</v>
          </cell>
          <cell r="D712" t="str">
            <v>PVN-004219</v>
          </cell>
          <cell r="E712" t="str">
            <v>OrthoLite Regular SEEDPEARL/12-0703TPX Flat Sheet 0.13D 35+/-4 Asker C 1.1M 1.47M 4mm</v>
          </cell>
          <cell r="F712">
            <v>7</v>
          </cell>
        </row>
        <row r="713">
          <cell r="B713" t="str">
            <v>F-2026-01-18</v>
          </cell>
          <cell r="C713" t="str">
            <v>BDB-000336</v>
          </cell>
          <cell r="D713" t="str">
            <v>PVN-004168</v>
          </cell>
          <cell r="E713" t="str">
            <v>OrthoLite X-40-Nike SEEDPEARL/12-0703TPX Flat Sheet 0.16D 35+/-4 Asker C 1.1M 2M 4.5mm</v>
          </cell>
          <cell r="F713">
            <v>8</v>
          </cell>
        </row>
        <row r="714">
          <cell r="B714" t="str">
            <v>F-2026-01-188</v>
          </cell>
          <cell r="C714" t="str">
            <v>BDB-000011</v>
          </cell>
          <cell r="D714" t="str">
            <v>PVN-000258</v>
          </cell>
          <cell r="E714" t="str">
            <v>OrthoLite Regular AIR BLUE/16-4134TPX Flat Sheet 0.13D 35+/-4 Asker C 1.1M 2M 2.5mm</v>
          </cell>
          <cell r="F714">
            <v>2</v>
          </cell>
        </row>
        <row r="715">
          <cell r="B715" t="str">
            <v>F-2026-01-67</v>
          </cell>
          <cell r="C715" t="str">
            <v>BDB-000105</v>
          </cell>
          <cell r="D715" t="str">
            <v>PVN-003127</v>
          </cell>
          <cell r="E715" t="str">
            <v>OrthoLite Eco LT-Hybrid AIR BLUE/16-4134TPX Hybrid Flat Sheet 0.13D 35+/-4 Asker C 1.1M 2M 3mm</v>
          </cell>
          <cell r="F715">
            <v>8</v>
          </cell>
        </row>
        <row r="716">
          <cell r="B716" t="str">
            <v>F-2026-01-90</v>
          </cell>
          <cell r="C716" t="str">
            <v>BDB-000051</v>
          </cell>
          <cell r="D716" t="str">
            <v>PVN-003320</v>
          </cell>
          <cell r="E716" t="str">
            <v>OrthoLite X-40 TRUE BLUE/19-4057TPX Flat Sheet 0.16D 25+/-4 Asker C 1.1M 1.7M 2mm</v>
          </cell>
          <cell r="F716">
            <v>2</v>
          </cell>
        </row>
        <row r="717">
          <cell r="B717" t="str">
            <v>F-2026-01-93</v>
          </cell>
          <cell r="C717" t="str">
            <v>BDB-000077</v>
          </cell>
          <cell r="D717" t="str">
            <v>PVN-003513</v>
          </cell>
          <cell r="E717" t="str">
            <v>OrthoLite X-25 SEEDPEARL/12-0703TPX Flat Sheet 0.12D 20+/-4 Asker C 1.1M 2M 2mm</v>
          </cell>
          <cell r="F717">
            <v>3</v>
          </cell>
        </row>
        <row r="718">
          <cell r="B718" t="str">
            <v>F-2025-10-235</v>
          </cell>
          <cell r="C718" t="str">
            <v>BDB-000160</v>
          </cell>
          <cell r="D718" t="str">
            <v>PVN-001562</v>
          </cell>
          <cell r="E718" t="str">
            <v>OrthoLite Ultra-Nike LIME GREEN/14-0452TPX 0.085D 25+/-4 Asker C 1.1M 2M 4mm</v>
          </cell>
          <cell r="F718">
            <v>69</v>
          </cell>
        </row>
        <row r="719">
          <cell r="B719" t="str">
            <v>F-2025-12-30</v>
          </cell>
          <cell r="C719" t="str">
            <v>BDB-000125</v>
          </cell>
          <cell r="D719" t="str">
            <v>PVN-002413</v>
          </cell>
          <cell r="E719" t="str">
            <v>OrthoLite Regular-Nike AIR BLUE/16-4134TPX 0.11D 25+/-4 Asker C 1.1M 2M 4.2mm</v>
          </cell>
          <cell r="F719">
            <v>35</v>
          </cell>
        </row>
        <row r="720">
          <cell r="B720" t="str">
            <v>F-2025-12-414</v>
          </cell>
          <cell r="C720" t="str">
            <v>BDB-000129</v>
          </cell>
          <cell r="D720" t="str">
            <v>PVN-001550</v>
          </cell>
          <cell r="E720" t="str">
            <v>OrthoLite Regular-Nike AIR BLUE/16-4134TPX 0.11D 25+/-4 Asker C 1.1M 1.7M 2mm</v>
          </cell>
          <cell r="F720">
            <v>16</v>
          </cell>
        </row>
        <row r="721">
          <cell r="B721" t="str">
            <v>F-2025-12-420</v>
          </cell>
          <cell r="C721" t="str">
            <v>BDB-000157</v>
          </cell>
          <cell r="D721" t="str">
            <v>PVN-003573</v>
          </cell>
          <cell r="E721" t="str">
            <v>OrthoLite X-35-Hybrid-Nike SEEDPEARL/12-0703TPX Hybrid 0.145D 25+/-4 Asker C 1.1M 2M 4.2mm</v>
          </cell>
          <cell r="F721">
            <v>91</v>
          </cell>
        </row>
        <row r="722">
          <cell r="B722" t="str">
            <v>F-2025-12-514</v>
          </cell>
          <cell r="C722" t="str">
            <v>BDB-000123</v>
          </cell>
          <cell r="D722" t="str">
            <v>PVN-003298</v>
          </cell>
          <cell r="E722" t="str">
            <v>OrthoLite Ultra-Hybrid SEEDPEARL/12-0703TPX Hybrid 0.085D 25+/-4 Asker C 1.1M 2M 4mm</v>
          </cell>
          <cell r="F722">
            <v>172</v>
          </cell>
        </row>
        <row r="723">
          <cell r="B723" t="str">
            <v>F-2025-12-59-2</v>
          </cell>
          <cell r="C723" t="str">
            <v>BDB-000113</v>
          </cell>
          <cell r="D723" t="str">
            <v>PVN-003414</v>
          </cell>
          <cell r="E723" t="str">
            <v>OrthoLite Regular-Hybrid SEEDPEARL/12-0703TPX Hybrid Flat Sheet 0.11D 25+/-4 Asker C 1.1M 2M 12mm</v>
          </cell>
          <cell r="F723">
            <v>132</v>
          </cell>
        </row>
        <row r="724">
          <cell r="B724" t="str">
            <v>F-2026-01-138</v>
          </cell>
          <cell r="C724" t="str">
            <v>BDB-000057</v>
          </cell>
          <cell r="D724" t="str">
            <v>PVN-000925</v>
          </cell>
          <cell r="E724" t="str">
            <v>OrthoLite Ultra YELLOW/13-0858TPX Flat Sheet 0.085D 25+/-4 Asker C 1.1M 2M 5mm</v>
          </cell>
          <cell r="F724">
            <v>9</v>
          </cell>
        </row>
        <row r="725">
          <cell r="B725" t="str">
            <v>F-2026-01-142</v>
          </cell>
          <cell r="C725" t="str">
            <v>BDB-000058</v>
          </cell>
          <cell r="D725" t="str">
            <v>PVN-001319</v>
          </cell>
          <cell r="E725" t="str">
            <v>OrthoLite Ultra GREEN/16-5932TPX 0.085D 25+/-4 Asker C 1.1M 2M 5mm</v>
          </cell>
          <cell r="F725">
            <v>34</v>
          </cell>
        </row>
        <row r="726">
          <cell r="B726" t="str">
            <v>F-2026-01-148</v>
          </cell>
          <cell r="C726" t="str">
            <v>BDB-000129</v>
          </cell>
          <cell r="D726" t="str">
            <v>PVN-001550</v>
          </cell>
          <cell r="E726" t="str">
            <v>OrthoLite Regular-Nike AIR BLUE/16-4134TPX Flat Sheet 0.11D 25+/-4 Asker C 1.1M 1.7M 2mm</v>
          </cell>
          <cell r="F726">
            <v>4</v>
          </cell>
        </row>
        <row r="727">
          <cell r="B727" t="str">
            <v>F-2026-01-170</v>
          </cell>
          <cell r="C727" t="str">
            <v>BDB-000058</v>
          </cell>
          <cell r="D727" t="str">
            <v>PVN-001277</v>
          </cell>
          <cell r="E727" t="str">
            <v>OrthoLite Ultra GREEN/16-5932TPX Flat Sheet 0.085D 25+/-4 Asker C 1.1M 2M 4mm</v>
          </cell>
          <cell r="F727">
            <v>8</v>
          </cell>
        </row>
        <row r="728">
          <cell r="B728" t="str">
            <v>F-2026-01-189</v>
          </cell>
          <cell r="C728" t="str">
            <v>BDB-000058</v>
          </cell>
          <cell r="D728" t="str">
            <v>PVN-001277</v>
          </cell>
          <cell r="E728" t="str">
            <v>OrthoLite Ultra GREEN/16-5932TPX Flat Sheet 0.085D 25+/-4 Asker C 1.1M 2M 4mm</v>
          </cell>
          <cell r="F728">
            <v>41</v>
          </cell>
        </row>
        <row r="729">
          <cell r="B729" t="str">
            <v>F-2026-01-23</v>
          </cell>
          <cell r="C729" t="str">
            <v>BDB-000235</v>
          </cell>
          <cell r="D729" t="str">
            <v>PVN-003576</v>
          </cell>
          <cell r="E729" t="str">
            <v>OrthoLite X-55-Hybrid FOSSIL/17-0909TPX Hybrid Flat Sheet 0.16D 25+/-4 Asker C 1.1M 1.7M 12mm</v>
          </cell>
          <cell r="F729">
            <v>192</v>
          </cell>
        </row>
        <row r="730">
          <cell r="B730" t="str">
            <v>F-2026-01-73</v>
          </cell>
          <cell r="C730" t="str">
            <v>BDB-000217</v>
          </cell>
          <cell r="D730" t="str">
            <v>PVN-003539</v>
          </cell>
          <cell r="E730" t="str">
            <v>OrthoLite X-40-Hybrid SEEDPEARL/12-0703TPX Hybrid Flat Sheet 0.16D 35+/-4 Asker C 1.1M 1.7M 6.2mm</v>
          </cell>
          <cell r="F730">
            <v>11</v>
          </cell>
        </row>
        <row r="731">
          <cell r="B731" t="str">
            <v>F-2026-01-95</v>
          </cell>
          <cell r="C731" t="str">
            <v>BDB-000118</v>
          </cell>
          <cell r="D731" t="str">
            <v>PVN-004001</v>
          </cell>
          <cell r="E731" t="str">
            <v>OrthoLite X-40-Hybrid SEEDPEARL/12-0703TPX Hybrid Flat Sheet 0.16D 25+/-4 Asker C 1.1M 1.7M 3mm</v>
          </cell>
          <cell r="F731">
            <v>3</v>
          </cell>
        </row>
        <row r="732">
          <cell r="B732" t="str">
            <v>OIN-2026.01.10-01</v>
          </cell>
          <cell r="C732" t="str">
            <v>BDB-000025</v>
          </cell>
          <cell r="D732" t="str">
            <v>PVN-003785</v>
          </cell>
          <cell r="E732" t="str">
            <v>[116-247] Regular 25+/-4 Asker C 0.11D Green 16-5932 Tpx 1.10M X 2.00M 47mm</v>
          </cell>
          <cell r="F732">
            <v>15</v>
          </cell>
        </row>
        <row r="733">
          <cell r="B733" t="str">
            <v>S-2026-01-54</v>
          </cell>
          <cell r="C733" t="str">
            <v>BDB-000186</v>
          </cell>
          <cell r="D733" t="str">
            <v>PVN-001787</v>
          </cell>
          <cell r="E733" t="str">
            <v>OrthoLite X-40-Nike SEEDPEARL/12-0703TPX Flat Sheet 0.16D 35+/-4 Asker C 1.1M 1.7M 4mm</v>
          </cell>
          <cell r="F733">
            <v>1</v>
          </cell>
        </row>
        <row r="734">
          <cell r="B734" t="str">
            <v>S-2026-01-62</v>
          </cell>
          <cell r="C734" t="str">
            <v>BDB-000368</v>
          </cell>
          <cell r="D734" t="str">
            <v>PVN-004287</v>
          </cell>
          <cell r="E734" t="str">
            <v>OrthoLite X-40-Hybrid CASTLEROCK/18-0201TPX Hybrid Flat Sheet 0.16D 25+/-4 Asker C 1.1M 2M 5.5mm</v>
          </cell>
          <cell r="F734">
            <v>1</v>
          </cell>
        </row>
        <row r="735">
          <cell r="B735" t="str">
            <v>S-2026-01-63</v>
          </cell>
          <cell r="C735" t="str">
            <v>BDB-000157</v>
          </cell>
          <cell r="D735" t="str">
            <v>PVN-004083</v>
          </cell>
          <cell r="E735" t="str">
            <v>OrthoLite X-35-Hybrid-Nike SEEDPEARL/12-0703TPX Hybrid Flat Sheet 0.145D 25+/-4 Asker C 1.1M 2M 4mm</v>
          </cell>
          <cell r="F735">
            <v>1</v>
          </cell>
        </row>
        <row r="736">
          <cell r="B736" t="str">
            <v>S-2026-01-65</v>
          </cell>
          <cell r="C736" t="str">
            <v>BDB-000157</v>
          </cell>
          <cell r="D736" t="str">
            <v>PVN-003642</v>
          </cell>
          <cell r="E736" t="str">
            <v>OrthoLite X-35-Hybrid-Nike SEEDPEARL/12-0703TPX Hybrid Flat Sheet 0.145D 25+/-4 Asker C 1.1M 2M 6.2mm</v>
          </cell>
          <cell r="F736">
            <v>2</v>
          </cell>
        </row>
        <row r="737">
          <cell r="B737" t="str">
            <v>S-2026-01-70</v>
          </cell>
          <cell r="C737" t="str">
            <v>BDB-000123</v>
          </cell>
          <cell r="D737" t="str">
            <v>PVN-003298</v>
          </cell>
          <cell r="E737" t="str">
            <v>OrthoLite Ultra-Hybrid SEEDPEARL/12-0703TPX Hybrid 0.085D 25+/-4 Asker C 1.1M 2M 4mm</v>
          </cell>
          <cell r="F737">
            <v>6</v>
          </cell>
        </row>
        <row r="738">
          <cell r="B738" t="str">
            <v>S-2026-01-74</v>
          </cell>
          <cell r="C738" t="str">
            <v>BDB-000123</v>
          </cell>
          <cell r="D738" t="str">
            <v>PVN-003298</v>
          </cell>
          <cell r="E738" t="str">
            <v>OrthoLite Ultra-Hybrid SEEDPEARL/12-0703TPX Hybrid Flat Sheet 0.085D 25+/-4 Asker C 1.1M 2M 4mm</v>
          </cell>
          <cell r="F738">
            <v>6</v>
          </cell>
        </row>
        <row r="739">
          <cell r="B739" t="str">
            <v>S-2026-01-75</v>
          </cell>
          <cell r="C739" t="str">
            <v>BDB-000369</v>
          </cell>
          <cell r="D739" t="str">
            <v>PVN-004291</v>
          </cell>
          <cell r="E739" t="str">
            <v>OrthoLite X-40 GREY/17-1501TPX Flat Sheet 0.16D 35+/-4 Asker C 1.1M 1.7M 3.2mm</v>
          </cell>
          <cell r="F739">
            <v>1</v>
          </cell>
        </row>
        <row r="740">
          <cell r="B740" t="str">
            <v>S-2026-01-77</v>
          </cell>
          <cell r="C740" t="str">
            <v>BDB-000123</v>
          </cell>
          <cell r="D740" t="str">
            <v>PVN-003298</v>
          </cell>
          <cell r="E740" t="str">
            <v>OrthoLite Ultra-Hybrid SEEDPEARL/12-0703TPX Hybrid 0.085D 25+/-4 Asker C 1.1M 2M 4mm</v>
          </cell>
          <cell r="F740">
            <v>9</v>
          </cell>
        </row>
        <row r="741">
          <cell r="B741" t="str">
            <v>F-2025-10-235</v>
          </cell>
          <cell r="C741" t="str">
            <v>BDB-000160</v>
          </cell>
          <cell r="D741" t="str">
            <v>PVN-001562</v>
          </cell>
          <cell r="E741" t="str">
            <v>OrthoLite Ultra-Nike LIME GREEN/14-0452TPX 0.085D 25+/-4 Asker C 1.1M 2M 4mm</v>
          </cell>
          <cell r="F741">
            <v>10</v>
          </cell>
        </row>
        <row r="742">
          <cell r="B742" t="str">
            <v>F-2025-10-248</v>
          </cell>
          <cell r="C742" t="str">
            <v>BDB-000161</v>
          </cell>
          <cell r="D742" t="str">
            <v>PVN-001560</v>
          </cell>
          <cell r="E742" t="str">
            <v>OrthoLite Ultra-Nike FOSSIL/17-0909TPX 0.085D 25+/-4 Asker C 1.1M 2M 4mm</v>
          </cell>
          <cell r="F742">
            <v>29</v>
          </cell>
        </row>
        <row r="743">
          <cell r="B743" t="str">
            <v>F-2025-12-30</v>
          </cell>
          <cell r="C743" t="str">
            <v>BDB-000125</v>
          </cell>
          <cell r="D743" t="str">
            <v>PVN-002413</v>
          </cell>
          <cell r="E743" t="str">
            <v>OrthoLite Regular-Nike AIR BLUE/16-4134TPX 0.11D 25+/-4 Asker C 1.1M 2M 4.2mm</v>
          </cell>
          <cell r="F743">
            <v>41</v>
          </cell>
        </row>
        <row r="744">
          <cell r="B744" t="str">
            <v>F-2025-12-320</v>
          </cell>
          <cell r="C744" t="str">
            <v>BDB-000217</v>
          </cell>
          <cell r="D744" t="str">
            <v>PVN-003539</v>
          </cell>
          <cell r="E744" t="str">
            <v>OrthoLite X-40-Hybrid SEEDPEARL/12-0703TPX Hybrid Flat Sheet 0.16D 35+/-4 Asker C 1.1M 1.7M 6.2mm</v>
          </cell>
          <cell r="F744">
            <v>45</v>
          </cell>
        </row>
        <row r="745">
          <cell r="B745" t="str">
            <v>F-2025-12-400</v>
          </cell>
          <cell r="C745" t="str">
            <v>BDB-000162</v>
          </cell>
          <cell r="D745" t="str">
            <v>PVN-001566</v>
          </cell>
          <cell r="E745" t="str">
            <v>OrthoLite Ultra-Nike SEEDPEARL/12-0703TPX 0.085D 25+/-4 Asker C 1.1M 2M 4mm</v>
          </cell>
          <cell r="F745">
            <v>9</v>
          </cell>
        </row>
        <row r="746">
          <cell r="B746" t="str">
            <v>F-2025-12-401-1</v>
          </cell>
          <cell r="C746" t="str">
            <v>BDB-000162</v>
          </cell>
          <cell r="D746" t="str">
            <v>PVN-001566</v>
          </cell>
          <cell r="E746" t="str">
            <v>OrthoLite Ultra-Nike SEEDPEARL/12-0703TPX 0.085D 25+/-4 Asker C 1.1M 2M 4mm</v>
          </cell>
          <cell r="F746">
            <v>29</v>
          </cell>
        </row>
        <row r="747">
          <cell r="B747" t="str">
            <v>F-2025-12-403</v>
          </cell>
          <cell r="C747" t="str">
            <v>BDB-000175</v>
          </cell>
          <cell r="D747" t="str">
            <v>PVN-002966</v>
          </cell>
          <cell r="E747" t="str">
            <v>OrthoLite Ultra-Hybrid-Nike SEEDPEARL/12-0703TPX Hybrid 0.085D 25+/-4 Asker C 1.1M 2M 4mm</v>
          </cell>
          <cell r="F747">
            <v>100</v>
          </cell>
        </row>
        <row r="748">
          <cell r="B748" t="str">
            <v>F-2025-12-414</v>
          </cell>
          <cell r="C748" t="str">
            <v>BDB-000129</v>
          </cell>
          <cell r="D748" t="str">
            <v>PVN-001550</v>
          </cell>
          <cell r="E748" t="str">
            <v>OrthoLite Regular-Nike AIR BLUE/16-4134TPX 0.11D 25+/-4 Asker C 1.1M 1.7M 2mm</v>
          </cell>
          <cell r="F748">
            <v>2</v>
          </cell>
        </row>
        <row r="749">
          <cell r="B749" t="str">
            <v>F-2025-12-418</v>
          </cell>
          <cell r="C749" t="str">
            <v>BDB-000175</v>
          </cell>
          <cell r="D749" t="str">
            <v>PVN-002875</v>
          </cell>
          <cell r="E749" t="str">
            <v>OrthoLite Ultra-Hybrid-Nike SEEDPEARL/12-0703TPX Hybrid 0.085D 25+/-4 Asker C 1.1M 2M 3mm</v>
          </cell>
          <cell r="F749">
            <v>22</v>
          </cell>
        </row>
        <row r="750">
          <cell r="B750" t="str">
            <v>F-2025-12-517</v>
          </cell>
          <cell r="C750" t="str">
            <v>BDB-000123</v>
          </cell>
          <cell r="D750" t="str">
            <v>PVN-003299</v>
          </cell>
          <cell r="E750" t="str">
            <v>OrthoLite Ultra-Hybrid SEEDPEARL/12-0703TPX Hybrid 0.085D 25+/-4 Asker C 1.1M 2M 3mm</v>
          </cell>
          <cell r="F750">
            <v>11</v>
          </cell>
        </row>
        <row r="751">
          <cell r="B751" t="str">
            <v>F-2025-12-530</v>
          </cell>
          <cell r="C751" t="str">
            <v>BDB-000123</v>
          </cell>
          <cell r="D751" t="str">
            <v>PVN-003299</v>
          </cell>
          <cell r="E751" t="str">
            <v>OrthoLite Ultra-Hybrid SEEDPEARL/12-0703TPX Hybrid 0.085D 25+/-4 Asker C 1.1M 2M 3mm</v>
          </cell>
          <cell r="F751">
            <v>44</v>
          </cell>
        </row>
        <row r="752">
          <cell r="B752" t="str">
            <v>F-2025-12-59-2</v>
          </cell>
          <cell r="C752" t="str">
            <v>BDB-000113</v>
          </cell>
          <cell r="D752" t="str">
            <v>PVN-003414</v>
          </cell>
          <cell r="E752" t="str">
            <v>OrthoLite Regular-Hybrid SEEDPEARL/12-0703TPX Hybrid Flat Sheet 0.11D 25+/-4 Asker C 1.1M 2M 12mm</v>
          </cell>
          <cell r="F752">
            <v>86</v>
          </cell>
        </row>
        <row r="753">
          <cell r="B753" t="str">
            <v>F-2025-12-63</v>
          </cell>
          <cell r="C753" t="str">
            <v>BDB-000113</v>
          </cell>
          <cell r="D753" t="str">
            <v>PVN-002465</v>
          </cell>
          <cell r="E753" t="str">
            <v>OrthoLite Regular-Hybrid SEEDPEARL/12-0703TPX Hybrid Flat Sheet 0.11D 25+/-4 Asker C 1.1M 2M 5mm</v>
          </cell>
          <cell r="F753">
            <v>106</v>
          </cell>
        </row>
        <row r="754">
          <cell r="B754" t="str">
            <v>F-2025-12-641</v>
          </cell>
          <cell r="C754" t="str">
            <v>BDB-000180</v>
          </cell>
          <cell r="D754" t="str">
            <v>PVN-003236</v>
          </cell>
          <cell r="E754" t="str">
            <v>OrthoLite Eco LT-Hybrid-Converse SEEDPEARL/12-0703TPX Hybrid 0.13D 25+/-4 Asker C 1.1M 2M 5mm</v>
          </cell>
          <cell r="F754">
            <v>36</v>
          </cell>
        </row>
        <row r="755">
          <cell r="B755" t="str">
            <v>F-2026-01-120</v>
          </cell>
          <cell r="C755" t="str">
            <v>BDB-000265</v>
          </cell>
          <cell r="D755" t="str">
            <v>PVN-003997</v>
          </cell>
          <cell r="E755" t="str">
            <v>OrthoLite Ultra-Hybrid NINE IRON/19-3908TPX Hybrid Flat Sheet 0.085D 25+/-4 Asker C 1.1M 2M 4mm</v>
          </cell>
          <cell r="F755">
            <v>4</v>
          </cell>
        </row>
        <row r="756">
          <cell r="B756" t="str">
            <v>F-2026-01-13</v>
          </cell>
          <cell r="C756" t="str">
            <v>BDB-000157</v>
          </cell>
          <cell r="D756" t="str">
            <v>PVN-003642</v>
          </cell>
          <cell r="E756" t="str">
            <v>OrthoLite X-35-Hybrid-Nike SEEDPEARL/12-0703TPX Hybrid Flat Sheet 0.145D 25+/-4 Asker C 1.1M 2M 6.2mm</v>
          </cell>
          <cell r="F756">
            <v>2</v>
          </cell>
        </row>
        <row r="757">
          <cell r="B757" t="str">
            <v>F-2026-01-151</v>
          </cell>
          <cell r="C757" t="str">
            <v>BDB-000217</v>
          </cell>
          <cell r="D757" t="str">
            <v>PVN-003539</v>
          </cell>
          <cell r="E757" t="str">
            <v>OrthoLite X-40-Hybrid SEEDPEARL/12-0703TPX Hybrid Flat Sheet 0.16D 35+/-4 Asker C 1.1M 1.7M 6.2mm</v>
          </cell>
          <cell r="F757">
            <v>1</v>
          </cell>
        </row>
        <row r="758">
          <cell r="B758" t="str">
            <v>F-2026-01-180</v>
          </cell>
          <cell r="C758" t="str">
            <v>BDB-000164</v>
          </cell>
          <cell r="D758" t="str">
            <v>PVN-001618</v>
          </cell>
          <cell r="E758" t="str">
            <v>OrthoLite Ultra-Nike GREY/17-1501TPX Flat Sheet 0.085D 25+/-4 Asker C 1.1M 2M 4mm</v>
          </cell>
          <cell r="F758">
            <v>1</v>
          </cell>
        </row>
        <row r="759">
          <cell r="B759" t="str">
            <v>F-2026-01-185</v>
          </cell>
          <cell r="C759" t="str">
            <v>BDB-000055</v>
          </cell>
          <cell r="D759" t="str">
            <v>PVN-003326</v>
          </cell>
          <cell r="E759" t="str">
            <v>OrthoLite X-40 TRUE BLUE/19-4057TPX Flat Sheet 0.16D 35+/-4 Asker C 1.1M 1.7M 14mm</v>
          </cell>
          <cell r="F759">
            <v>42</v>
          </cell>
        </row>
        <row r="760">
          <cell r="B760" t="str">
            <v>F-2026-01-22</v>
          </cell>
          <cell r="C760" t="str">
            <v>BDB-000235</v>
          </cell>
          <cell r="D760" t="str">
            <v>PVN-003576</v>
          </cell>
          <cell r="E760" t="str">
            <v>OrthoLite X-55-Hybrid FOSSIL/17-0909TPX Hybrid Flat Sheet 0.16D 25+/-4 Asker C 1.1M 1.7M 12mm</v>
          </cell>
          <cell r="F760">
            <v>9</v>
          </cell>
        </row>
        <row r="761">
          <cell r="B761" t="str">
            <v>F-2026-01-32</v>
          </cell>
          <cell r="C761" t="str">
            <v>BDB-000346</v>
          </cell>
          <cell r="D761" t="str">
            <v>PVN-004188</v>
          </cell>
          <cell r="E761" t="str">
            <v>OrthoLite Float NEUTRAL GRAY/17-4402TPX Flat Sheet 0.12D 21+/-4 Asker C 1.1M 1.47M 5.5mm</v>
          </cell>
          <cell r="F761">
            <v>3</v>
          </cell>
        </row>
        <row r="762">
          <cell r="B762" t="str">
            <v>OIN-2026.01.09-01</v>
          </cell>
          <cell r="C762" t="str">
            <v>BDB-000123</v>
          </cell>
          <cell r="D762" t="str">
            <v>PVN-003784</v>
          </cell>
          <cell r="E762" t="str">
            <v xml:space="preserve">[116-311] Ultra Hybrid 25+/-4 Asker C 0.085D Seedpearl 12-0703 Tpx 1.10M X 2.00M 47mm </v>
          </cell>
          <cell r="F762">
            <v>318</v>
          </cell>
        </row>
        <row r="763">
          <cell r="B763" t="str">
            <v>F-2025-12-29</v>
          </cell>
          <cell r="C763" t="str">
            <v>BDB-000125</v>
          </cell>
          <cell r="D763" t="str">
            <v>PVN-002413</v>
          </cell>
          <cell r="E763" t="str">
            <v>OrthoLite Regular-Nike AIR BLUE/16-4134TPX 0.11D 25+/-4 Asker C 1.1M 2M 4.2mm</v>
          </cell>
          <cell r="F763">
            <v>76</v>
          </cell>
        </row>
        <row r="764">
          <cell r="B764" t="str">
            <v>F-2025-12-318</v>
          </cell>
          <cell r="C764" t="str">
            <v>BDB-000362</v>
          </cell>
          <cell r="D764" t="str">
            <v>PVN-004259</v>
          </cell>
          <cell r="E764" t="str">
            <v>OrthoLite X-60-Hybrid SEEDPEARL/12-0703TPX Hybrid Flat Sheet 0.19D 28+/-4 Asker C 1.1M 1.7M 12mm</v>
          </cell>
          <cell r="F764">
            <v>98</v>
          </cell>
        </row>
        <row r="765">
          <cell r="B765" t="str">
            <v>F-2025-12-472</v>
          </cell>
          <cell r="C765" t="str">
            <v>BDB-000123</v>
          </cell>
          <cell r="D765" t="str">
            <v>PVN-002539</v>
          </cell>
          <cell r="E765" t="str">
            <v>OrthoLite Ultra-Hybrid SEEDPEARL/12-0703TPX Hybrid Flat Sheet 0.085D 25+/-4 Asker C 1.1M 2M 5mm</v>
          </cell>
          <cell r="F765">
            <v>45</v>
          </cell>
        </row>
        <row r="766">
          <cell r="B766" t="str">
            <v>F-2025-12-514</v>
          </cell>
          <cell r="C766" t="str">
            <v>BDB-000123</v>
          </cell>
          <cell r="D766" t="str">
            <v>PVN-003298</v>
          </cell>
          <cell r="E766" t="str">
            <v>OrthoLite Ultra-Hybrid SEEDPEARL/12-0703TPX Hybrid 0.085D 25+/-4 Asker C 1.1M 2M 4mm</v>
          </cell>
          <cell r="F766">
            <v>7</v>
          </cell>
        </row>
        <row r="767">
          <cell r="B767" t="str">
            <v>F-2025-12-565</v>
          </cell>
          <cell r="C767" t="str">
            <v>BDB-000348</v>
          </cell>
          <cell r="D767" t="str">
            <v>PVN-004195</v>
          </cell>
          <cell r="E767" t="str">
            <v>OrthoLite IMPERIAL SEEDPEARL/12-0703TPX Flat Sheet 0.22D 25+/-4 Asker C 1.1M 1.47M 4mm</v>
          </cell>
          <cell r="F767">
            <v>44</v>
          </cell>
        </row>
        <row r="768">
          <cell r="B768" t="str">
            <v>F-2025-12-59-2</v>
          </cell>
          <cell r="C768" t="str">
            <v>BDB-000113</v>
          </cell>
          <cell r="D768" t="str">
            <v>PVN-003414</v>
          </cell>
          <cell r="E768" t="str">
            <v>OrthoLite Regular-Hybrid SEEDPEARL/12-0703TPX Hybrid Flat Sheet 0.11D 25+/-4 Asker C 1.1M 2M 12mm</v>
          </cell>
          <cell r="F768">
            <v>10</v>
          </cell>
        </row>
        <row r="769">
          <cell r="B769" t="str">
            <v>F-2025-12-63</v>
          </cell>
          <cell r="C769" t="str">
            <v>BDB-000113</v>
          </cell>
          <cell r="D769" t="str">
            <v>PVN-002465</v>
          </cell>
          <cell r="E769" t="str">
            <v>OrthoLite Regular-Hybrid SEEDPEARL/12-0703TPX Hybrid Flat Sheet 0.11D 25+/-4 Asker C 1.1M 2M 5mm</v>
          </cell>
          <cell r="F769">
            <v>2</v>
          </cell>
        </row>
        <row r="770">
          <cell r="B770" t="str">
            <v>F-2025-12-64-1</v>
          </cell>
          <cell r="C770" t="str">
            <v>BDB-000113</v>
          </cell>
          <cell r="D770" t="str">
            <v>PVN-002465</v>
          </cell>
          <cell r="E770" t="str">
            <v>OrthoLite Regular-Hybrid SEEDPEARL/12-0703TPX Hybrid Flat Sheet 0.11D 25+/-4 Asker C 1.1M 2M 5mm</v>
          </cell>
          <cell r="F770">
            <v>54</v>
          </cell>
        </row>
        <row r="771">
          <cell r="B771" t="str">
            <v>F-2026-01-09</v>
          </cell>
          <cell r="C771" t="str">
            <v>BDB-000113</v>
          </cell>
          <cell r="D771" t="str">
            <v>PVN-002501</v>
          </cell>
          <cell r="E771" t="str">
            <v>OrthoLite Regular-Hybrid SEEDPEARL/12-0703TPX Hybrid Flat Sheet 0.11D 25+/-4 Asker C 1.1M 2M 2mm</v>
          </cell>
          <cell r="F771">
            <v>2</v>
          </cell>
        </row>
        <row r="772">
          <cell r="B772" t="str">
            <v>F-2026-01-122</v>
          </cell>
          <cell r="C772" t="str">
            <v>BDB-000129</v>
          </cell>
          <cell r="D772" t="str">
            <v>PVN-001550</v>
          </cell>
          <cell r="E772" t="str">
            <v>OrthoLite Regular-Nike AIR BLUE/16-4134TPX Flat Sheet 0.11D 25+/-4 Asker C 1.1M 1.7M 2mm</v>
          </cell>
          <cell r="F772">
            <v>4</v>
          </cell>
        </row>
        <row r="773">
          <cell r="B773" t="str">
            <v>F-2026-01-123</v>
          </cell>
          <cell r="C773" t="str">
            <v>BDB-000209</v>
          </cell>
          <cell r="D773" t="str">
            <v>PVN-003462</v>
          </cell>
          <cell r="E773" t="str">
            <v>OrthoLite HybridPlus-Recycled MINT GREEN/11-4805TPX Hybrid Flat Sheet 0.12D 25+/-4 Asker C 1.1M 2M 12mm</v>
          </cell>
          <cell r="F773">
            <v>4</v>
          </cell>
        </row>
        <row r="774">
          <cell r="B774" t="str">
            <v>F-2026-01-127</v>
          </cell>
          <cell r="C774" t="str">
            <v>BDB-000125</v>
          </cell>
          <cell r="D774" t="str">
            <v>PVN-001579</v>
          </cell>
          <cell r="E774" t="str">
            <v>OrthoLite Regular-Nike AIR BLUE/16-4134TPX Flat Sheet 0.11D 25+/-4 Asker C 1.1M 2M 4mm</v>
          </cell>
          <cell r="F774">
            <v>13</v>
          </cell>
        </row>
        <row r="775">
          <cell r="B775" t="str">
            <v>F-2026-01-132</v>
          </cell>
          <cell r="C775" t="str">
            <v>BDB-000123</v>
          </cell>
          <cell r="D775" t="str">
            <v>PVN-002884</v>
          </cell>
          <cell r="E775" t="str">
            <v>OrthoLite Ultra-Hybrid SEEDPEARL/12-0703TPX Hybrid Flat Sheet 0.085D 25+/-4 Asker C 1.1M 2M 10mm</v>
          </cell>
          <cell r="F775">
            <v>11</v>
          </cell>
        </row>
        <row r="776">
          <cell r="B776" t="str">
            <v>F-2026-01-159</v>
          </cell>
          <cell r="C776" t="str">
            <v>BDB-000348</v>
          </cell>
          <cell r="D776" t="str">
            <v>PVN-004195</v>
          </cell>
          <cell r="E776" t="str">
            <v>OrthoLite IMPERIAL SEEDPEARL/12-0703TPX Flat Sheet 0.22D 25+/-4 Asker C 1.1M 1.47M 4mm</v>
          </cell>
          <cell r="F776">
            <v>16</v>
          </cell>
        </row>
        <row r="777">
          <cell r="B777" t="str">
            <v>F-2026-01-163</v>
          </cell>
          <cell r="C777" t="str">
            <v>BDB-000123</v>
          </cell>
          <cell r="D777" t="str">
            <v>PVN-003315</v>
          </cell>
          <cell r="E777" t="str">
            <v>OrthoLite Ultra-Hybrid SEEDPEARL/12-0703TPX Hybrid 0.085D 25+/-4 Asker C 1.1M 2M 3.5mm</v>
          </cell>
          <cell r="F777">
            <v>1</v>
          </cell>
        </row>
        <row r="778">
          <cell r="B778" t="str">
            <v>F-2026-01-175</v>
          </cell>
          <cell r="C778" t="str">
            <v>BDB-000265</v>
          </cell>
          <cell r="D778" t="str">
            <v>PVN-003997</v>
          </cell>
          <cell r="E778" t="str">
            <v>OrthoLite Ultra-Hybrid NINE IRON/19-3908TPX Hybrid Flat Sheet 0.085D 25+/-4 Asker C 1.1M 2M 4mm</v>
          </cell>
          <cell r="F778">
            <v>6</v>
          </cell>
        </row>
        <row r="779">
          <cell r="B779" t="str">
            <v>F-2026-01-211</v>
          </cell>
          <cell r="C779" t="str">
            <v>BDB-000235</v>
          </cell>
          <cell r="D779" t="str">
            <v>PVN-003576</v>
          </cell>
          <cell r="E779" t="str">
            <v>OrthoLite X-55-Hybrid FOSSIL/17-0909TPX Hybrid Flat Sheet 0.16D 25+/-4 Asker C 1.1M 1.7M 12mm</v>
          </cell>
          <cell r="F779">
            <v>1</v>
          </cell>
        </row>
        <row r="780">
          <cell r="B780" t="str">
            <v>F-2026-01-213</v>
          </cell>
          <cell r="C780" t="str">
            <v>BDB-000319</v>
          </cell>
          <cell r="D780" t="str">
            <v>PVN-004247</v>
          </cell>
          <cell r="E780" t="str">
            <v>OrthoLite X-40-Hybrid-Nike SEEDPEARL/12-0703TPX Hybrid Flat Sheet 0.16D 25+/-4 Asker C 1.1M 2M 4.2mm</v>
          </cell>
          <cell r="F780">
            <v>3</v>
          </cell>
        </row>
        <row r="781">
          <cell r="B781" t="str">
            <v>F-2026-01-218</v>
          </cell>
          <cell r="C781" t="str">
            <v>BDB-000097</v>
          </cell>
          <cell r="D781" t="str">
            <v>PVN-003671</v>
          </cell>
          <cell r="E781" t="str">
            <v>OrthoLite Eco LT-Hybrid SEEDPEARL/12-0703TPX Hybrid Flat Sheet 0.11D 25+/-4 Asker C 1.1M 2M 13mm</v>
          </cell>
          <cell r="F781">
            <v>1</v>
          </cell>
        </row>
        <row r="782">
          <cell r="B782" t="str">
            <v>F-2026-01-222</v>
          </cell>
          <cell r="C782" t="str">
            <v>BDB-000129</v>
          </cell>
          <cell r="D782" t="str">
            <v>PVN-004071</v>
          </cell>
          <cell r="E782" t="str">
            <v>OrthoLite Regular-Nike AIR BLUE/16-4134TPX Flat Sheet 0.11D 25+/-4 Asker C 1.1M 1.7M 2.5mm</v>
          </cell>
          <cell r="F782">
            <v>2</v>
          </cell>
        </row>
        <row r="783">
          <cell r="B783" t="str">
            <v>F-2026-01-23</v>
          </cell>
          <cell r="C783" t="str">
            <v>BDB-000235</v>
          </cell>
          <cell r="D783" t="str">
            <v>PVN-003576</v>
          </cell>
          <cell r="E783" t="str">
            <v>OrthoLite X-55-Hybrid FOSSIL/17-0909TPX Hybrid Flat Sheet 0.16D 25+/-4 Asker C 1.1M 1.7M 12mm</v>
          </cell>
          <cell r="F783">
            <v>9</v>
          </cell>
        </row>
        <row r="784">
          <cell r="B784" t="str">
            <v>F-2026-01-253</v>
          </cell>
          <cell r="C784" t="str">
            <v>BDB-000235</v>
          </cell>
          <cell r="D784" t="str">
            <v>PVN-003576</v>
          </cell>
          <cell r="E784" t="str">
            <v>OrthoLite X-55-Hybrid FOSSIL/17-0909TPX Hybrid Flat Sheet 0.16D 25+/-4 Asker C 1.1M 1.7M 12mm</v>
          </cell>
          <cell r="F784">
            <v>1</v>
          </cell>
        </row>
        <row r="785">
          <cell r="B785" t="str">
            <v>F-2026-01-51</v>
          </cell>
          <cell r="C785" t="str">
            <v>BDB-000052</v>
          </cell>
          <cell r="D785" t="str">
            <v>PVN-003603</v>
          </cell>
          <cell r="E785" t="str">
            <v>OrthoLite X-40 TRUE BLUE/19-4057TPX Flat Sheet 0.16D 25+/-4 Asker C 1.1M 1.47M 12mm</v>
          </cell>
          <cell r="F785">
            <v>8</v>
          </cell>
        </row>
        <row r="786">
          <cell r="B786" t="str">
            <v>F-2026-01-69</v>
          </cell>
          <cell r="C786" t="str">
            <v>BDB-000097</v>
          </cell>
          <cell r="D786" t="str">
            <v>PVN-002478</v>
          </cell>
          <cell r="E786" t="str">
            <v>OrthoLite Eco LT-Hybrid SEEDPEARL/12-0703TPX Hybrid Flat Sheet 0.11D 25+/-4 Asker C 1.1M 2M 4mm</v>
          </cell>
          <cell r="F786">
            <v>87</v>
          </cell>
        </row>
        <row r="787">
          <cell r="B787" t="str">
            <v>F-2026-01-97</v>
          </cell>
          <cell r="C787" t="str">
            <v>BDB-000129</v>
          </cell>
          <cell r="D787" t="str">
            <v>PVN-001550</v>
          </cell>
          <cell r="E787" t="str">
            <v>OrthoLite Regular-Nike AIR BLUE/16-4134TPX Flat Sheet 0.11D 25+/-4 Asker C 1.1M 1.7M 2mm</v>
          </cell>
          <cell r="F787">
            <v>2</v>
          </cell>
        </row>
        <row r="788">
          <cell r="B788" t="str">
            <v>OIN-2026.01.09-01</v>
          </cell>
          <cell r="C788" t="str">
            <v>BDB-000123</v>
          </cell>
          <cell r="D788" t="str">
            <v>PVN-003784</v>
          </cell>
          <cell r="E788" t="str">
            <v xml:space="preserve">[116-311] Ultra Hybrid 25+/-4 Asker C 0.085D Seedpearl 12-0703 Tpx 1.10M X 2.00M 47mm </v>
          </cell>
          <cell r="F788">
            <v>16</v>
          </cell>
        </row>
        <row r="789">
          <cell r="B789" t="str">
            <v>OIN-2026.01.10-02</v>
          </cell>
          <cell r="C789" t="str">
            <v>BDB-000123</v>
          </cell>
          <cell r="D789" t="str">
            <v>PVN-003784</v>
          </cell>
          <cell r="E789" t="str">
            <v xml:space="preserve">[116-311] Ultra Hybrid 25+/-4 Asker C 0.085D Seedpearl 12-0703 Tpx 1.10M X 2.00M 47mm </v>
          </cell>
          <cell r="F789">
            <v>178</v>
          </cell>
        </row>
        <row r="790">
          <cell r="B790" t="str">
            <v>F-2025-10-230</v>
          </cell>
          <cell r="C790" t="str">
            <v>BDB-000160</v>
          </cell>
          <cell r="D790" t="str">
            <v>PVN-001562</v>
          </cell>
          <cell r="E790" t="str">
            <v>OrthoLite Ultra-Nike LIME GREEN/14-0452TPX 0.085D 25+/-4 Asker C 1.1M 2M 4mm</v>
          </cell>
          <cell r="F790">
            <v>72</v>
          </cell>
        </row>
        <row r="791">
          <cell r="B791" t="str">
            <v>F-2025-12-24</v>
          </cell>
          <cell r="C791" t="str">
            <v>BDB-000165</v>
          </cell>
          <cell r="D791" t="str">
            <v>PVN-002053</v>
          </cell>
          <cell r="E791" t="str">
            <v>OrthoLite Ultra-Nike LIME GREEN/14-0452TPX Flat Sheet 0.085D 15+/-4 Asker C 1.1M 2M 5mm</v>
          </cell>
          <cell r="F791">
            <v>36</v>
          </cell>
        </row>
        <row r="792">
          <cell r="B792" t="str">
            <v>F-2025-12-318</v>
          </cell>
          <cell r="C792" t="str">
            <v>BDB-000362</v>
          </cell>
          <cell r="D792" t="str">
            <v>PVN-004259</v>
          </cell>
          <cell r="E792" t="str">
            <v>OrthoLite X-60-Hybrid SEEDPEARL/12-0703TPX Hybrid Flat Sheet 0.19D 28+/-4 Asker C 1.1M 1.7M 12mm</v>
          </cell>
          <cell r="F792">
            <v>3</v>
          </cell>
        </row>
        <row r="793">
          <cell r="B793" t="str">
            <v>F-2025-12-412</v>
          </cell>
          <cell r="C793" t="str">
            <v>BDB-000131</v>
          </cell>
          <cell r="D793" t="str">
            <v>PVN-001565</v>
          </cell>
          <cell r="E793" t="str">
            <v>OrthoLite Regular-Nike AIR BLUE/16-4134TPX 0.11D 15+/-4 Asker C 1.1M 2M 4mm</v>
          </cell>
          <cell r="F793">
            <v>29</v>
          </cell>
        </row>
        <row r="794">
          <cell r="B794" t="str">
            <v>F-2025-12-415</v>
          </cell>
          <cell r="C794" t="str">
            <v>BDB-000129</v>
          </cell>
          <cell r="D794" t="str">
            <v>PVN-001550</v>
          </cell>
          <cell r="E794" t="str">
            <v>OrthoLite Regular-Nike AIR BLUE/16-4134TPX 0.11D 25+/-4 Asker C 1.1M 1.7M 2mm</v>
          </cell>
          <cell r="F794">
            <v>39</v>
          </cell>
        </row>
        <row r="795">
          <cell r="B795" t="str">
            <v>F-2025-12-512</v>
          </cell>
          <cell r="C795" t="str">
            <v>BDB-000123</v>
          </cell>
          <cell r="D795" t="str">
            <v>PVN-003298</v>
          </cell>
          <cell r="E795" t="str">
            <v>OrthoLite Ultra-Hybrid SEEDPEARL/12-0703TPX Hybrid 0.085D 25+/-4 Asker C 1.1M 2M 4mm</v>
          </cell>
          <cell r="F795">
            <v>200</v>
          </cell>
        </row>
        <row r="796">
          <cell r="B796" t="str">
            <v>F-2025-12-520</v>
          </cell>
          <cell r="C796" t="str">
            <v>BDB-000123</v>
          </cell>
          <cell r="D796" t="str">
            <v>PVN-003299</v>
          </cell>
          <cell r="E796" t="str">
            <v>OrthoLite Ultra-Hybrid SEEDPEARL/12-0703TPX Hybrid 0.085D 25+/-4 Asker C 1.1M 2M 3mm</v>
          </cell>
          <cell r="F796">
            <v>153</v>
          </cell>
        </row>
        <row r="797">
          <cell r="B797" t="str">
            <v>F-2025-12-63</v>
          </cell>
          <cell r="C797" t="str">
            <v>BDB-000113</v>
          </cell>
          <cell r="D797" t="str">
            <v>PVN-002465</v>
          </cell>
          <cell r="E797" t="str">
            <v>OrthoLite Regular-Hybrid SEEDPEARL/12-0703TPX Hybrid Flat Sheet 0.11D 25+/-4 Asker C 1.1M 2M 5mm</v>
          </cell>
          <cell r="F797">
            <v>7</v>
          </cell>
        </row>
        <row r="798">
          <cell r="B798" t="str">
            <v>F-2025-12-645</v>
          </cell>
          <cell r="C798" t="str">
            <v>BDB-000180</v>
          </cell>
          <cell r="D798" t="str">
            <v>PVN-003236</v>
          </cell>
          <cell r="E798" t="str">
            <v>OrthoLite Eco LT-Hybrid-Converse SEEDPEARL/12-0703TPX Hybrid 0.13D 25+/-4 Asker C 1.1M 2M 5mm</v>
          </cell>
          <cell r="F798">
            <v>33</v>
          </cell>
        </row>
        <row r="799">
          <cell r="B799" t="str">
            <v>F-2025-12-646</v>
          </cell>
          <cell r="C799" t="str">
            <v>BDB-000181</v>
          </cell>
          <cell r="D799" t="str">
            <v>PVN-003238</v>
          </cell>
          <cell r="E799" t="str">
            <v>OrthoLite Eco LT-Hybrid-Converse SEEDPEARL/12-0703TPX Hybrid 0.11D 25+/-4 Asker C 1.1M 2M 5mm</v>
          </cell>
          <cell r="F799">
            <v>22</v>
          </cell>
        </row>
        <row r="800">
          <cell r="B800" t="str">
            <v>F-2026-01-102</v>
          </cell>
          <cell r="C800" t="str">
            <v>BDB-000217</v>
          </cell>
          <cell r="D800" t="str">
            <v>PVN-003539</v>
          </cell>
          <cell r="E800" t="str">
            <v>OrthoLite X-40-Hybrid SEEDPEARL/12-0703TPX Hybrid Flat Sheet 0.16D 35+/-4 Asker C 1.1M 1.7M 6.2mm</v>
          </cell>
          <cell r="F800">
            <v>78</v>
          </cell>
        </row>
        <row r="801">
          <cell r="B801" t="str">
            <v>F-2026-01-125</v>
          </cell>
          <cell r="C801" t="str">
            <v>BDB-000083</v>
          </cell>
          <cell r="D801" t="str">
            <v>PVN-003969</v>
          </cell>
          <cell r="E801" t="str">
            <v>OrthoLite Eco LT 300C(ADIDAS BLUEBIRD) Flat Sheet 0.11D 25+/-4 Asker C 1.1M 2M 12mm</v>
          </cell>
          <cell r="F801">
            <v>6</v>
          </cell>
        </row>
        <row r="802">
          <cell r="B802" t="str">
            <v>F-2026-01-126</v>
          </cell>
          <cell r="C802" t="str">
            <v>BDB-000067</v>
          </cell>
          <cell r="D802" t="str">
            <v>PVN-002129</v>
          </cell>
          <cell r="E802" t="str">
            <v>OrthoLite Ultra SEEDPEARL/12-0703TPX Flat Sheet 0.085D 25+/-4 Asker C 1.1M 2M 6mm</v>
          </cell>
          <cell r="F802">
            <v>4</v>
          </cell>
        </row>
        <row r="803">
          <cell r="B803" t="str">
            <v>F-2026-01-129</v>
          </cell>
          <cell r="C803" t="str">
            <v>BDB-000218</v>
          </cell>
          <cell r="D803" t="str">
            <v>PVN-003488</v>
          </cell>
          <cell r="E803" t="str">
            <v>OrthoLite Ultra-Nike SEEDPEARL/12-0703TPX Flat Sheet 0.085D 5-10 Asker C 1.1M 2M 4mm</v>
          </cell>
          <cell r="F803">
            <v>4</v>
          </cell>
        </row>
        <row r="804">
          <cell r="B804" t="str">
            <v>F-2026-01-130</v>
          </cell>
          <cell r="C804" t="str">
            <v>BDB-000197</v>
          </cell>
          <cell r="D804" t="str">
            <v>PVN-003406</v>
          </cell>
          <cell r="E804" t="str">
            <v>OrthoLite Ultra-Hybrid SEEDPEARL/12-0703TPX Hybrid Flat Sheet 0.085D 5-10 Asker C 1.1M 2M 2mm</v>
          </cell>
          <cell r="F804">
            <v>2</v>
          </cell>
        </row>
        <row r="805">
          <cell r="B805" t="str">
            <v>F-2026-01-131</v>
          </cell>
          <cell r="C805" t="str">
            <v>BDB-000175</v>
          </cell>
          <cell r="D805" t="str">
            <v>PVN-002875</v>
          </cell>
          <cell r="E805" t="str">
            <v>OrthoLite Ultra-Hybrid-Nike SEEDPEARL/12-0703TPX Hybrid Flat Sheet 0.085D 25+/-4 Asker C 1.1M 2M 3mm</v>
          </cell>
          <cell r="F805">
            <v>10</v>
          </cell>
        </row>
        <row r="806">
          <cell r="B806" t="str">
            <v>F-2026-01-136</v>
          </cell>
          <cell r="C806" t="str">
            <v>BDB-000039</v>
          </cell>
          <cell r="D806" t="str">
            <v>PVN-002019</v>
          </cell>
          <cell r="E806" t="str">
            <v>OrthoLite Regular NEUTRAL GRAY/17-4402TPX Flat Sheet 0.11D 25+/-4 Asker C 1.1M 2M 13mm</v>
          </cell>
          <cell r="F806">
            <v>13</v>
          </cell>
        </row>
        <row r="807">
          <cell r="B807" t="str">
            <v>F-2026-01-154</v>
          </cell>
          <cell r="C807" t="str">
            <v>BDB-000039</v>
          </cell>
          <cell r="D807" t="str">
            <v>PVN-002019</v>
          </cell>
          <cell r="E807" t="str">
            <v>OrthoLite Regular NEUTRAL GRAY/17-4402TPX Flat Sheet 0.11D 25+/-4 Asker C 1.1M 2M 13mm</v>
          </cell>
          <cell r="F807">
            <v>20</v>
          </cell>
        </row>
        <row r="808">
          <cell r="B808" t="str">
            <v>F-2026-01-158</v>
          </cell>
          <cell r="C808" t="str">
            <v>BDB-000066</v>
          </cell>
          <cell r="D808" t="str">
            <v>PVN-004012</v>
          </cell>
          <cell r="E808" t="str">
            <v>OrthoLite Ultra GREY/17-1501TPX Flat Sheet 0.085D 25+/-4 Asker C 1.1M 2M 4mm</v>
          </cell>
          <cell r="F808">
            <v>1</v>
          </cell>
        </row>
        <row r="809">
          <cell r="B809" t="str">
            <v>F-2026-01-176</v>
          </cell>
          <cell r="C809" t="str">
            <v>BDB-000129</v>
          </cell>
          <cell r="D809" t="str">
            <v>PVN-001550</v>
          </cell>
          <cell r="E809" t="str">
            <v>OrthoLite Regular-Nike AIR BLUE/16-4134TPX Flat Sheet 0.11D 25+/-4 Asker C 1.1M 1.7M 2mm</v>
          </cell>
          <cell r="F809">
            <v>12</v>
          </cell>
        </row>
        <row r="810">
          <cell r="B810" t="str">
            <v>F-2026-01-178</v>
          </cell>
          <cell r="C810" t="str">
            <v>BDB-000217</v>
          </cell>
          <cell r="D810" t="str">
            <v>PVN-003483</v>
          </cell>
          <cell r="E810" t="str">
            <v>OrthoLite X-40-Hybrid SEEDPEARL/12-0703TPX Hybrid Flat Sheet 0.16D 35+/-4 Asker C 1.1M 1.7M 12mm</v>
          </cell>
          <cell r="F810">
            <v>19</v>
          </cell>
        </row>
        <row r="811">
          <cell r="B811" t="str">
            <v>F-2026-01-190</v>
          </cell>
          <cell r="C811" t="str">
            <v>BDB-000154</v>
          </cell>
          <cell r="D811" t="str">
            <v>PVN-003347</v>
          </cell>
          <cell r="E811" t="str">
            <v>OrthoLite X-40-Nike TRUE BLUE/19-4057TPX Flat Sheet 0.16D 35+/-4 Asker C 1.1M 1.7M 4mm</v>
          </cell>
          <cell r="F811">
            <v>1</v>
          </cell>
        </row>
        <row r="812">
          <cell r="B812" t="str">
            <v>F-2026-01-203</v>
          </cell>
          <cell r="C812" t="str">
            <v>BDB-000058</v>
          </cell>
          <cell r="D812" t="str">
            <v>PVN-001277</v>
          </cell>
          <cell r="E812" t="str">
            <v>OrthoLite Ultra GREEN/16-5932TPX Flat Sheet 0.085D 25+/-4 Asker C 1.1M 2M 4mm</v>
          </cell>
          <cell r="F812">
            <v>55</v>
          </cell>
        </row>
        <row r="813">
          <cell r="B813" t="str">
            <v>F-2026-01-208</v>
          </cell>
          <cell r="C813" t="str">
            <v>BDB-000077</v>
          </cell>
          <cell r="D813" t="str">
            <v>PVN-004147</v>
          </cell>
          <cell r="E813" t="str">
            <v>OrthoLite X-25 SEEDPEARL/12-0703TPX Flat Sheet 0.12D 20+/-4 Asker C 1.1M 2M 5.5mm</v>
          </cell>
          <cell r="F813">
            <v>13</v>
          </cell>
        </row>
        <row r="814">
          <cell r="B814" t="str">
            <v>F-2026-01-213</v>
          </cell>
          <cell r="C814" t="str">
            <v>BDB-000319</v>
          </cell>
          <cell r="D814" t="str">
            <v>PVN-004247</v>
          </cell>
          <cell r="E814" t="str">
            <v>OrthoLite X-40-Hybrid-Nike SEEDPEARL/12-0703TPX Hybrid Flat Sheet 0.16D 25+/-4 Asker C 1.1M 2M 4.2mm</v>
          </cell>
          <cell r="F814">
            <v>3</v>
          </cell>
        </row>
        <row r="815">
          <cell r="B815" t="str">
            <v>F-2026-01-214</v>
          </cell>
          <cell r="C815" t="str">
            <v>BDB-000157</v>
          </cell>
          <cell r="D815" t="str">
            <v>PVN-003642</v>
          </cell>
          <cell r="E815" t="str">
            <v>OrthoLite X-35-Hybrid-Nike SEEDPEARL/12-0703TPX Hybrid Flat Sheet 0.145D 25+/-4 Asker C 1.1M 2M 6.2mm</v>
          </cell>
          <cell r="F815">
            <v>1</v>
          </cell>
        </row>
        <row r="816">
          <cell r="B816" t="str">
            <v>F-2026-01-215</v>
          </cell>
          <cell r="C816" t="str">
            <v>BDB-000039</v>
          </cell>
          <cell r="D816" t="str">
            <v>PVN-002019</v>
          </cell>
          <cell r="E816" t="str">
            <v>OrthoLite Regular NEUTRAL GRAY/17-4402TPX Flat Sheet 0.11D 25+/-4 Asker C 1.1M 2M 13mm</v>
          </cell>
          <cell r="F816">
            <v>1</v>
          </cell>
        </row>
        <row r="817">
          <cell r="B817" t="str">
            <v>F-2026-01-25</v>
          </cell>
          <cell r="C817" t="str">
            <v>BDB-000217</v>
          </cell>
          <cell r="D817" t="str">
            <v>PVN-003539</v>
          </cell>
          <cell r="E817" t="str">
            <v>OrthoLite X-40-Hybrid SEEDPEARL/12-0703TPX Hybrid Flat Sheet 0.16D 35+/-4 Asker C 1.1M 1.7M 6.2mm</v>
          </cell>
          <cell r="F817">
            <v>37</v>
          </cell>
        </row>
        <row r="818">
          <cell r="B818" t="str">
            <v>F-2026-01-50</v>
          </cell>
          <cell r="C818" t="str">
            <v>BDB-000113</v>
          </cell>
          <cell r="D818" t="str">
            <v>PVN-002465</v>
          </cell>
          <cell r="E818" t="str">
            <v>OrthoLite Regular-Hybrid SEEDPEARL/12-0703TPX Hybrid Flat Sheet 0.11D 25+/-4 Asker C 1.1M 2M 5mm (OIN-RM)</v>
          </cell>
          <cell r="F818">
            <v>2</v>
          </cell>
        </row>
        <row r="819">
          <cell r="B819" t="str">
            <v>OIN-2026.01.14-05</v>
          </cell>
          <cell r="C819" t="str">
            <v>BDB-000110</v>
          </cell>
          <cell r="D819" t="str">
            <v>PVN-003910</v>
          </cell>
          <cell r="E819" t="str">
            <v>[116-1493] Eco Lite Hybrid 15+/-4 Asker C 0.085D Seedpearl 12-0703 Tpx 1.10M X 2.00M 47mm</v>
          </cell>
          <cell r="F819">
            <v>46</v>
          </cell>
        </row>
        <row r="820">
          <cell r="B820" t="str">
            <v>S-2026-01-56</v>
          </cell>
          <cell r="C820" t="str">
            <v>BDB-000117</v>
          </cell>
          <cell r="D820" t="str">
            <v>PVN-003148</v>
          </cell>
          <cell r="E820" t="str">
            <v>OrthoLite X-35-Hybrid SEEDPEARL/12-0703TPX Hybrid 0.145D 25+/-4 Asker C 1.1M 2M 4.5mm</v>
          </cell>
          <cell r="F820">
            <v>1</v>
          </cell>
        </row>
        <row r="821">
          <cell r="B821" t="str">
            <v>S-2026-01-64</v>
          </cell>
          <cell r="C821" t="str">
            <v>BDB-000076</v>
          </cell>
          <cell r="D821" t="str">
            <v>PVN-003745</v>
          </cell>
          <cell r="E821" t="str">
            <v>OrthoLite X-25 BILLIARD/16-5427TPX Flat Sheet 0.12D 20+/-4 Asker C 1.1M 2M 16mm</v>
          </cell>
          <cell r="F821">
            <v>4</v>
          </cell>
        </row>
        <row r="822">
          <cell r="B822" t="str">
            <v>S-2026-01-68</v>
          </cell>
          <cell r="C822" t="str">
            <v>BDB-000221</v>
          </cell>
          <cell r="D822" t="str">
            <v>PVN-003702</v>
          </cell>
          <cell r="E822" t="str">
            <v>OrthoLite X-40-Hybrid-Nike SEEDPEARL/12-0703TPX Hybrid Flat Sheet 0.16D 25+/-4 Asker C 1.1M 1.7M 5.2mm</v>
          </cell>
          <cell r="F822">
            <v>2</v>
          </cell>
        </row>
        <row r="823">
          <cell r="B823" t="str">
            <v>S-2026-01-76</v>
          </cell>
          <cell r="C823" t="str">
            <v>BDB-000181</v>
          </cell>
          <cell r="D823" t="str">
            <v>PVN-003238</v>
          </cell>
          <cell r="E823" t="str">
            <v>OrthoLite Eco LT-Hybrid-Converse SEEDPEARL/12-0703TPX Hybrid Flat Sheet 0.11D 25+/-4 Asker C 1.1M 2M 5mm</v>
          </cell>
          <cell r="F823">
            <v>4</v>
          </cell>
        </row>
        <row r="824">
          <cell r="B824" t="str">
            <v>F-2025-12-318</v>
          </cell>
          <cell r="C824" t="str">
            <v>BDB-000362</v>
          </cell>
          <cell r="D824" t="str">
            <v>PVN-004259</v>
          </cell>
          <cell r="E824" t="str">
            <v>OrthoLite X-60-Hybrid SEEDPEARL/12-0703TPX Hybrid Flat Sheet 0.19D 28+/-4 Asker C 1.1M 1.7M 12mm</v>
          </cell>
          <cell r="F824">
            <v>4</v>
          </cell>
        </row>
        <row r="825">
          <cell r="B825" t="str">
            <v>F-2025-12-371</v>
          </cell>
          <cell r="C825" t="str">
            <v>BDB-000339</v>
          </cell>
          <cell r="D825" t="str">
            <v>PVN-004178</v>
          </cell>
          <cell r="E825" t="str">
            <v>OrthoLite Float NEUTRAL GRAY/17-4402TPX Flat Sheet 0.12D 21+/-4 Asker C 1.1M 2M 5.5mm</v>
          </cell>
          <cell r="F825">
            <v>49</v>
          </cell>
        </row>
        <row r="826">
          <cell r="B826" t="str">
            <v>F-2025-12-401-2</v>
          </cell>
          <cell r="C826" t="str">
            <v>BDB-000162</v>
          </cell>
          <cell r="D826" t="str">
            <v>PVN-001566</v>
          </cell>
          <cell r="E826" t="str">
            <v>OrthoLite Ultra-Nike SEEDPEARL/12-0703TPX 0.085D 25+/-4 Asker C 1.1M 2M 4mm</v>
          </cell>
          <cell r="F826">
            <v>55</v>
          </cell>
        </row>
        <row r="827">
          <cell r="B827" t="str">
            <v>F-2025-12-403</v>
          </cell>
          <cell r="C827" t="str">
            <v>BDB-000175</v>
          </cell>
          <cell r="D827" t="str">
            <v>PVN-002966</v>
          </cell>
          <cell r="E827" t="str">
            <v>OrthoLite Ultra-Hybrid-Nike SEEDPEARL/12-0703TPX Hybrid 0.085D 25+/-4 Asker C 1.1M 2M 4mm</v>
          </cell>
          <cell r="F827">
            <v>4</v>
          </cell>
        </row>
        <row r="828">
          <cell r="B828" t="str">
            <v>F-2025-12-421</v>
          </cell>
          <cell r="C828" t="str">
            <v>BDB-000157</v>
          </cell>
          <cell r="D828" t="str">
            <v>PVN-003573</v>
          </cell>
          <cell r="E828" t="str">
            <v>OrthoLite X-35-Hybrid-Nike SEEDPEARL/12-0703TPX Hybrid 0.145D 25+/-4 Asker C 1.1M 2M 4.2mm</v>
          </cell>
          <cell r="F828">
            <v>91</v>
          </cell>
        </row>
        <row r="829">
          <cell r="B829" t="str">
            <v>F-2025-12-538</v>
          </cell>
          <cell r="C829" t="str">
            <v>BDB-000076</v>
          </cell>
          <cell r="D829" t="str">
            <v>PVN-003448</v>
          </cell>
          <cell r="E829" t="str">
            <v>OrthoLite X-25 BILLIARD/16-5427TPX 0.12D 20+/-4 Asker C 1.1M 2M 6.2mm</v>
          </cell>
          <cell r="F829">
            <v>23</v>
          </cell>
        </row>
        <row r="830">
          <cell r="B830" t="str">
            <v>F-2025-12-60</v>
          </cell>
          <cell r="C830" t="str">
            <v>BDB-000113</v>
          </cell>
          <cell r="D830" t="str">
            <v>PVN-003414</v>
          </cell>
          <cell r="E830" t="str">
            <v>OrthoLite Regular-Hybrid SEEDPEARL/12-0703TPX Hybrid Flat Sheet 0.11D 25+/-4 Asker C 1.1M 2M 12mm</v>
          </cell>
          <cell r="F830">
            <v>265</v>
          </cell>
        </row>
        <row r="831">
          <cell r="B831" t="str">
            <v>F-2025-12-64-2</v>
          </cell>
          <cell r="C831" t="str">
            <v>BDB-000113</v>
          </cell>
          <cell r="D831" t="str">
            <v>PVN-002465</v>
          </cell>
          <cell r="E831" t="str">
            <v>OrthoLite Regular-Hybrid SEEDPEARL/12-0703TPX Hybrid Flat Sheet 0.11D 25+/-4 Asker C 1.1M 2M 5mm</v>
          </cell>
          <cell r="F831">
            <v>54</v>
          </cell>
        </row>
        <row r="832">
          <cell r="B832" t="str">
            <v>F-2025-12-645</v>
          </cell>
          <cell r="C832" t="str">
            <v>BDB-000180</v>
          </cell>
          <cell r="D832" t="str">
            <v>PVN-003236</v>
          </cell>
          <cell r="E832" t="str">
            <v>OrthoLite Eco LT-Hybrid-Converse SEEDPEARL/12-0703TPX Hybrid 0.13D 25+/-4 Asker C 1.1M 2M 5mm</v>
          </cell>
          <cell r="F832">
            <v>2</v>
          </cell>
        </row>
        <row r="833">
          <cell r="B833" t="str">
            <v>F-2026-01-124</v>
          </cell>
          <cell r="C833" t="str">
            <v>BDB-000097</v>
          </cell>
          <cell r="D833" t="str">
            <v>PVN-002478</v>
          </cell>
          <cell r="E833" t="str">
            <v>OrthoLite Eco LT-Hybrid SEEDPEARL/12-0703TPX Hybrid Flat Sheet 0.11D 25+/-4 Asker C 1.1M 2M 4mm</v>
          </cell>
          <cell r="F833">
            <v>51</v>
          </cell>
        </row>
        <row r="834">
          <cell r="B834" t="str">
            <v>F-2026-01-149</v>
          </cell>
          <cell r="C834" t="str">
            <v>BDB-000097</v>
          </cell>
          <cell r="D834" t="str">
            <v>PVN-002478</v>
          </cell>
          <cell r="E834" t="str">
            <v>OrthoLite Eco LT-Hybrid SEEDPEARL/12-0703TPX Hybrid Flat Sheet 0.11D 25+/-4 Asker C 1.1M 2M 4mm</v>
          </cell>
          <cell r="F834">
            <v>20</v>
          </cell>
        </row>
        <row r="835">
          <cell r="B835" t="str">
            <v>F-2026-01-16</v>
          </cell>
          <cell r="C835" t="str">
            <v>BDB-000149</v>
          </cell>
          <cell r="D835" t="str">
            <v>PVN-002827</v>
          </cell>
          <cell r="E835" t="str">
            <v>OrthoLite Regular-Hybrid-Nike SEEDPEARL/12-0703TPX Hybrid Flat Sheet 0.11D 25+/-4 Asker C 1.1M 2M 5mm</v>
          </cell>
          <cell r="F835">
            <v>4</v>
          </cell>
        </row>
        <row r="836">
          <cell r="B836" t="str">
            <v>F-2026-01-161</v>
          </cell>
          <cell r="C836" t="str">
            <v>BDB-000056</v>
          </cell>
          <cell r="D836" t="str">
            <v>PVN-001983</v>
          </cell>
          <cell r="E836" t="str">
            <v>OrthoLite X-40 SEEDPEARL/12-0703TPX Flat Sheet 0.16D 25+/-4 Asker C 1.1M 1.7M 5mm</v>
          </cell>
          <cell r="F836">
            <v>74</v>
          </cell>
        </row>
        <row r="837">
          <cell r="B837" t="str">
            <v>F-2026-01-171</v>
          </cell>
          <cell r="C837" t="str">
            <v>BDB-000123</v>
          </cell>
          <cell r="D837" t="str">
            <v>PVN-003300</v>
          </cell>
          <cell r="E837" t="str">
            <v>OrthoLite Ultra-Hybrid SEEDPEARL/12-0703TPX Hybrid Flat Sheet 0.085D 25+/-4 Asker C 1.1M 2M 2mm</v>
          </cell>
          <cell r="F837">
            <v>6</v>
          </cell>
        </row>
        <row r="838">
          <cell r="B838" t="str">
            <v>F-2026-01-172</v>
          </cell>
          <cell r="C838" t="str">
            <v>BDB-000200</v>
          </cell>
          <cell r="D838" t="str">
            <v>PVN-003425</v>
          </cell>
          <cell r="E838" t="str">
            <v>OrthoLite Ultra SEEDPEARL/12-0703TPX Flat Sheet 0.085D 78-90 Asker F 1.1M 2M 4mm</v>
          </cell>
          <cell r="F838">
            <v>23</v>
          </cell>
        </row>
        <row r="839">
          <cell r="B839" t="str">
            <v>F-2026-01-173</v>
          </cell>
          <cell r="C839" t="str">
            <v>BDB-000077</v>
          </cell>
          <cell r="D839" t="str">
            <v>PVN-003478</v>
          </cell>
          <cell r="E839" t="str">
            <v>Ortholite X-25 SEEDPEARL/12-0703TPX Flat Sheet 0.12D 20+/-4 Asker C 1.1M 2M 4mm</v>
          </cell>
          <cell r="F839">
            <v>2</v>
          </cell>
        </row>
        <row r="840">
          <cell r="B840" t="str">
            <v>F-2026-01-174</v>
          </cell>
          <cell r="C840" t="str">
            <v>BDB-000117</v>
          </cell>
          <cell r="D840" t="str">
            <v>PVN-003588</v>
          </cell>
          <cell r="E840" t="str">
            <v>OrthoLite X-35-Hybrid SEEDPEARL/12-0703TPX Hybrid 0.145D 25+/-4 Asker C 1.1M 2M 5mm</v>
          </cell>
          <cell r="F840">
            <v>60</v>
          </cell>
        </row>
        <row r="841">
          <cell r="B841" t="str">
            <v>F-2026-01-175</v>
          </cell>
          <cell r="C841" t="str">
            <v>BDB-000265</v>
          </cell>
          <cell r="D841" t="str">
            <v>PVN-003997</v>
          </cell>
          <cell r="E841" t="str">
            <v>OrthoLite Ultra-Hybrid NINE IRON/19-3908TPX Hybrid Flat Sheet 0.085D 25+/-4 Asker C 1.1M 2M 4mm</v>
          </cell>
          <cell r="F841">
            <v>9</v>
          </cell>
        </row>
        <row r="842">
          <cell r="B842" t="str">
            <v>F-2026-01-177</v>
          </cell>
          <cell r="C842" t="str">
            <v>BDB-000209</v>
          </cell>
          <cell r="D842" t="str">
            <v>PVN-003462</v>
          </cell>
          <cell r="E842" t="str">
            <v>OrthoLite HybridPlus-Recycled MINT GREEN/11-4805TPX Hybrid Flat Sheet 0.12D 25+/-4 Asker C 1.1M 2M 12mm</v>
          </cell>
          <cell r="F842">
            <v>30</v>
          </cell>
        </row>
        <row r="843">
          <cell r="B843" t="str">
            <v>F-2026-01-181</v>
          </cell>
          <cell r="C843" t="str">
            <v>BDB-000175</v>
          </cell>
          <cell r="D843" t="str">
            <v>PVN-002875</v>
          </cell>
          <cell r="E843" t="str">
            <v>OrthoLite Ultra-Hybrid-Nike SEEDPEARL/12-0703TPX Hybrid Flat Sheet 0.085D 25+/-4 Asker C 1.1M 2M 3mm</v>
          </cell>
          <cell r="F843">
            <v>2</v>
          </cell>
        </row>
        <row r="844">
          <cell r="B844" t="str">
            <v>F-2026-01-183</v>
          </cell>
          <cell r="C844" t="str">
            <v>BDB-000123</v>
          </cell>
          <cell r="D844" t="str">
            <v>PVN-002539</v>
          </cell>
          <cell r="E844" t="str">
            <v>OrthoLite Ultra-Hybrid SEEDPEARL/12-0703TPX Hybrid Flat Sheet 0.085D 25+/-4 Asker C 1.1M 2M 5mm</v>
          </cell>
          <cell r="F844">
            <v>1</v>
          </cell>
        </row>
        <row r="845">
          <cell r="B845" t="str">
            <v>F-2026-01-184</v>
          </cell>
          <cell r="C845" t="str">
            <v>BDB-000229</v>
          </cell>
          <cell r="D845" t="str">
            <v>PVN-003692</v>
          </cell>
          <cell r="E845" t="str">
            <v>OrthoLite Ultra-Hybrid SEEDPEARL/12-0703TPX Hybrid Flat Sheet 0.095D 33+/-4 Asker C 1.1M 2M 15.5mm</v>
          </cell>
          <cell r="F845">
            <v>8</v>
          </cell>
        </row>
        <row r="846">
          <cell r="B846" t="str">
            <v>F-2026-01-186</v>
          </cell>
          <cell r="C846" t="str">
            <v>BDB-000094</v>
          </cell>
          <cell r="D846" t="str">
            <v>PVN-004255</v>
          </cell>
          <cell r="E846" t="str">
            <v>OrthoLite Eco LT 300C(ADIDAS BLUEBIRD) Flat Sheet 0.11D 25+/-4 Asker C 1.1M 1.47M 12mm</v>
          </cell>
          <cell r="F846">
            <v>36</v>
          </cell>
        </row>
        <row r="847">
          <cell r="B847" t="str">
            <v>F-2026-01-192</v>
          </cell>
          <cell r="C847" t="str">
            <v>BDB-000212</v>
          </cell>
          <cell r="D847" t="str">
            <v>PVN-003460</v>
          </cell>
          <cell r="E847" t="str">
            <v>OrthoLite X-25-Hybrid SEEDPEARL/12-0703TPX Hybrid Flat Sheet 0.12D 20+/-4 Asker C 1.1M 2M 5.5mm</v>
          </cell>
          <cell r="F847">
            <v>24</v>
          </cell>
        </row>
        <row r="848">
          <cell r="B848" t="str">
            <v>F-2026-01-195</v>
          </cell>
          <cell r="C848" t="str">
            <v>BDB-000332</v>
          </cell>
          <cell r="D848" t="str">
            <v>PVN-004146</v>
          </cell>
          <cell r="E848" t="str">
            <v>OrthoLite X-25 CASTLEROCK/18-0201TPX Flat Sheet 0.12D 20+/-4 Asker C 1.1M 2M 5.5mm</v>
          </cell>
          <cell r="F848">
            <v>20</v>
          </cell>
        </row>
        <row r="849">
          <cell r="B849" t="str">
            <v>F-2026-01-196</v>
          </cell>
          <cell r="C849" t="str">
            <v>BDB-000077</v>
          </cell>
          <cell r="D849" t="str">
            <v>PVN-004147</v>
          </cell>
          <cell r="E849" t="str">
            <v>OrthoLite X-25 SEEDPEARL/12-0703TPX Flat Sheet 0.12D 20+/-4 Asker C 1.1M 2M 5.5mm</v>
          </cell>
          <cell r="F849">
            <v>3</v>
          </cell>
        </row>
        <row r="850">
          <cell r="B850" t="str">
            <v>F-2026-01-205</v>
          </cell>
          <cell r="C850" t="str">
            <v>BDB-000200</v>
          </cell>
          <cell r="D850" t="str">
            <v>PVN-003425</v>
          </cell>
          <cell r="E850" t="str">
            <v>OrthoLite Ultra SEEDPEARL/12-0703TPX Flat Sheet 0.085D 78-90 Asker F 1.1M 2M 4mm</v>
          </cell>
          <cell r="F850">
            <v>6</v>
          </cell>
        </row>
        <row r="851">
          <cell r="B851" t="str">
            <v>F-2026-01-98</v>
          </cell>
          <cell r="C851" t="str">
            <v>BDB-000209</v>
          </cell>
          <cell r="D851" t="str">
            <v>PVN-003462</v>
          </cell>
          <cell r="E851" t="str">
            <v>OrthoLite HybridPlus-Recycled MINT GREEN/11-4805TPX Hybrid Flat Sheet 0.12D 25+/-4 Asker C 1.1M 2M 12mm</v>
          </cell>
          <cell r="F851">
            <v>4</v>
          </cell>
        </row>
        <row r="852">
          <cell r="B852" t="str">
            <v>F-2026-01-99</v>
          </cell>
          <cell r="C852" t="str">
            <v>BDB-000097</v>
          </cell>
          <cell r="D852" t="str">
            <v>PVN-002478</v>
          </cell>
          <cell r="E852" t="str">
            <v>OrthoLite Eco LT-Hybrid SEEDPEARL/12-0703TPX Hybrid Flat Sheet 0.11D 25+/-4 Asker C 1.1M 2M 4mm</v>
          </cell>
          <cell r="F852">
            <v>9</v>
          </cell>
        </row>
        <row r="853">
          <cell r="B853" t="str">
            <v>OIN-2026.01.10-02</v>
          </cell>
          <cell r="C853" t="str">
            <v>BDB-000123</v>
          </cell>
          <cell r="D853" t="str">
            <v>PVN-003784</v>
          </cell>
          <cell r="E853" t="str">
            <v xml:space="preserve">[116-311] Ultra Hybrid 25+/-4 Asker C 0.085D Seedpearl 12-0703 Tpx 1.10M X 2.00M 47mm </v>
          </cell>
          <cell r="F853">
            <v>15</v>
          </cell>
        </row>
        <row r="854">
          <cell r="B854" t="str">
            <v>OIN-2026.01.14-01</v>
          </cell>
          <cell r="C854" t="str">
            <v>BDB-000097</v>
          </cell>
          <cell r="D854" t="str">
            <v>PVN-003977</v>
          </cell>
          <cell r="E854" t="str">
            <v>[116-3829] Eco Lite Hybrid 25+/-4 Asker C 0.11D Seedpearl 12-0703 Tpx 1.10M X 2.00M 47mm</v>
          </cell>
          <cell r="F854">
            <v>9</v>
          </cell>
        </row>
        <row r="855">
          <cell r="B855" t="str">
            <v>OIN-2026.01.14-02</v>
          </cell>
          <cell r="C855" t="str">
            <v>BDB-000200</v>
          </cell>
          <cell r="D855" t="str">
            <v>PVN-003418</v>
          </cell>
          <cell r="E855" t="str">
            <v>[116-470] Ultra 78 - 90 Asker F 0.085D Seedpearl 12-0703 Tpx 1.10M X 2.00M 5mm</v>
          </cell>
          <cell r="F855">
            <v>22</v>
          </cell>
        </row>
        <row r="856">
          <cell r="B856" t="str">
            <v>OIN-2026.01.14-04</v>
          </cell>
          <cell r="C856" t="str">
            <v>BDB-000057</v>
          </cell>
          <cell r="D856" t="str">
            <v>PVN-004173</v>
          </cell>
          <cell r="E856" t="str">
            <v>[116-11320] Ultra 25+/-4 Asker C 0.085D Yellow 13-0858 Tpx 1.10M X 2.00M 47mm</v>
          </cell>
          <cell r="F856">
            <v>36</v>
          </cell>
        </row>
        <row r="857">
          <cell r="B857" t="str">
            <v>OIN-2026.01.14-06</v>
          </cell>
          <cell r="C857" t="str">
            <v>BDB-000020</v>
          </cell>
          <cell r="D857" t="str">
            <v>PVN-004180</v>
          </cell>
          <cell r="E857" t="str">
            <v>[116-013] Regular 35+/-4 Asker C 0.13D Red 19-1764 Tpx 1.10M X 2.00M 12.5mm</v>
          </cell>
          <cell r="F857">
            <v>20</v>
          </cell>
        </row>
        <row r="858">
          <cell r="B858" t="str">
            <v>OIN-2026.01.14-08</v>
          </cell>
          <cell r="C858" t="str">
            <v>BDB-000025</v>
          </cell>
          <cell r="D858" t="str">
            <v>PVN-003785</v>
          </cell>
          <cell r="E858" t="str">
            <v>[116-247] Regular 25+/-4 Asker C 0.11D Green 16-5932 Tpx 1.10M X 2.00M 47mm</v>
          </cell>
          <cell r="F858">
            <v>15</v>
          </cell>
        </row>
        <row r="859">
          <cell r="B859" t="str">
            <v>S-2026-01-51</v>
          </cell>
          <cell r="C859" t="str">
            <v>BDB-000083</v>
          </cell>
          <cell r="D859" t="str">
            <v>PVN-003969</v>
          </cell>
          <cell r="E859" t="str">
            <v>OrthoLite Eco LT 300C(ADIDAS BLUEBIRD) Flat Sheet 0.11D 25+/-4 Asker C 1.1M 2M 12mm</v>
          </cell>
          <cell r="F859">
            <v>5</v>
          </cell>
        </row>
        <row r="860">
          <cell r="B860" t="str">
            <v>S-2026-01-69</v>
          </cell>
          <cell r="C860" t="str">
            <v>BDB-000179</v>
          </cell>
          <cell r="D860" t="str">
            <v>PVN-004059</v>
          </cell>
          <cell r="E860" t="str">
            <v>OrthoLite X-55 RED/19-1764TPX Flat Sheet 0.16D 25+/-4 Asker C 1.1M 1.7M 5.2mm</v>
          </cell>
          <cell r="F860">
            <v>1</v>
          </cell>
        </row>
        <row r="861">
          <cell r="B861" t="str">
            <v>S-2026-01-71</v>
          </cell>
          <cell r="C861" t="str">
            <v>BDB-000011</v>
          </cell>
          <cell r="D861" t="str">
            <v>PVN-000258</v>
          </cell>
          <cell r="E861" t="str">
            <v>OrthoLite Regular AIR BLUE/16-4134TPX Flat Sheet 0.13D 35+/-4 Asker C 1.1M 2M 2.5mm</v>
          </cell>
          <cell r="F861">
            <v>1</v>
          </cell>
        </row>
        <row r="862">
          <cell r="B862" t="str">
            <v>S-2026-01-72</v>
          </cell>
          <cell r="C862" t="str">
            <v>BDB-000083</v>
          </cell>
          <cell r="D862" t="str">
            <v>PVN-003969</v>
          </cell>
          <cell r="E862" t="str">
            <v>OrthoLite Eco LT 300C(ADIDAS BLUEBIRD) Flat Sheet 0.11D 25+/-4 Asker C 1.1M 2M 12mm</v>
          </cell>
          <cell r="F862">
            <v>7</v>
          </cell>
        </row>
        <row r="863">
          <cell r="B863" t="str">
            <v>F-2025-12-39</v>
          </cell>
          <cell r="C863" t="str">
            <v>BDB-000259</v>
          </cell>
          <cell r="D863" t="str">
            <v>PVN-003684</v>
          </cell>
          <cell r="E863" t="str">
            <v>OrthoLite Nike PP002 GLACIER GRAY/14-4102TPX Flat Sheet 0.145D 25+/-4 asker C 1.1M 2M 4.2mm</v>
          </cell>
          <cell r="F863">
            <v>91</v>
          </cell>
        </row>
        <row r="864">
          <cell r="B864" t="str">
            <v>F-2025-12-412</v>
          </cell>
          <cell r="C864" t="str">
            <v>BDB-000131</v>
          </cell>
          <cell r="D864" t="str">
            <v>PVN-001565</v>
          </cell>
          <cell r="E864" t="str">
            <v>OrthoLite Regular-Nike AIR BLUE/16-4134TPX 0.11D 15+/-4 Asker C 1.1M 2M 4mm</v>
          </cell>
          <cell r="F864">
            <v>2</v>
          </cell>
        </row>
        <row r="865">
          <cell r="B865" t="str">
            <v>F-2025-12-512</v>
          </cell>
          <cell r="C865" t="str">
            <v>BDB-000123</v>
          </cell>
          <cell r="D865" t="str">
            <v>PVN-003298</v>
          </cell>
          <cell r="E865" t="str">
            <v>OrthoLite Ultra-Hybrid SEEDPEARL/12-0703TPX Hybrid 0.085D 25+/-4 Asker C 1.1M 2M 4mm</v>
          </cell>
          <cell r="F865">
            <v>15</v>
          </cell>
        </row>
        <row r="866">
          <cell r="B866" t="str">
            <v>F-2025-12-521</v>
          </cell>
          <cell r="C866" t="str">
            <v>BDB-000123</v>
          </cell>
          <cell r="D866" t="str">
            <v>PVN-003299</v>
          </cell>
          <cell r="E866" t="str">
            <v>OrthoLite Ultra-Hybrid SEEDPEARL/12-0703TPX Hybrid 0.085D 25+/-4 Asker C 1.1M 2M 3mm</v>
          </cell>
          <cell r="F866">
            <v>153</v>
          </cell>
        </row>
        <row r="867">
          <cell r="B867" t="str">
            <v>F-2025-12-563</v>
          </cell>
          <cell r="C867" t="str">
            <v>BDB-000123</v>
          </cell>
          <cell r="D867" t="str">
            <v>PVN-003298</v>
          </cell>
          <cell r="E867" t="str">
            <v>OrthoLite Ultra-Hybrid SEEDPEARL/12-0703TPX Hybrid 0.085D 25+/-4 Asker C 1.1M 2M 4mm</v>
          </cell>
          <cell r="F867">
            <v>180</v>
          </cell>
        </row>
        <row r="868">
          <cell r="B868" t="str">
            <v>F-2025-12-565</v>
          </cell>
          <cell r="C868" t="str">
            <v>BDB-000348</v>
          </cell>
          <cell r="D868" t="str">
            <v>PVN-004195</v>
          </cell>
          <cell r="E868" t="str">
            <v>OrthoLite IMPERIAL SEEDPEARL/12-0703TPX Flat Sheet 0.22D 25+/-4 Asker C 1.1M 1.47M 4mm</v>
          </cell>
          <cell r="F868">
            <v>6</v>
          </cell>
        </row>
        <row r="869">
          <cell r="B869" t="str">
            <v>F-2025-12-60</v>
          </cell>
          <cell r="C869" t="str">
            <v>BDB-000113</v>
          </cell>
          <cell r="D869" t="str">
            <v>PVN-003414</v>
          </cell>
          <cell r="E869" t="str">
            <v>OrthoLite Regular-Hybrid SEEDPEARL/12-0703TPX Hybrid Flat Sheet 0.11D 25+/-4 Asker C 1.1M 2M 12mm</v>
          </cell>
          <cell r="F869">
            <v>83</v>
          </cell>
        </row>
        <row r="870">
          <cell r="B870" t="str">
            <v>F-2025-12-640</v>
          </cell>
          <cell r="C870" t="str">
            <v>BDB-000234</v>
          </cell>
          <cell r="D870" t="str">
            <v>PVN-003581</v>
          </cell>
          <cell r="E870" t="str">
            <v>OrthoLite X-30-Hybrid BROWN SUGAR/17-1134TPX Hybrid Flat Sheet 0.13D 25+/-4 Asker C 1.1M 2M 12mm</v>
          </cell>
          <cell r="F870">
            <v>48</v>
          </cell>
        </row>
        <row r="871">
          <cell r="B871" t="str">
            <v>F-2025-12-646</v>
          </cell>
          <cell r="C871" t="str">
            <v>BDB-000181</v>
          </cell>
          <cell r="D871" t="str">
            <v>PVN-003238</v>
          </cell>
          <cell r="E871" t="str">
            <v>OrthoLite Eco LT-Hybrid-Converse SEEDPEARL/12-0703TPX Hybrid 0.11D 25+/-4 Asker C 1.1M 2M 5mm</v>
          </cell>
          <cell r="F871">
            <v>4</v>
          </cell>
        </row>
        <row r="872">
          <cell r="B872" t="str">
            <v>F-2026-01-167</v>
          </cell>
          <cell r="C872" t="str">
            <v>BDB-000209</v>
          </cell>
          <cell r="D872" t="str">
            <v>PVN-003537</v>
          </cell>
          <cell r="E872" t="str">
            <v>OrthoLite HybridPlus-Recycled MINT GREEN/11-4805TPX Hybrid Flat Sheet 0.12D 25+/-4 Asker C 1.1M 2M 4.5mm</v>
          </cell>
          <cell r="F872">
            <v>2</v>
          </cell>
        </row>
        <row r="873">
          <cell r="B873" t="str">
            <v>F-2026-01-179</v>
          </cell>
          <cell r="C873" t="str">
            <v>BDB-000209</v>
          </cell>
          <cell r="D873" t="str">
            <v>PVN-003537</v>
          </cell>
          <cell r="E873" t="str">
            <v>OrthoLite HybridPlus-Recycled MINT GREEN/11-4805TPX Hybrid Flat Sheet 0.12D 25+/-4 Asker C 1.1M 2M 4.5mm</v>
          </cell>
          <cell r="F873">
            <v>28</v>
          </cell>
        </row>
        <row r="874">
          <cell r="B874" t="str">
            <v>F-2026-01-191</v>
          </cell>
          <cell r="C874" t="str">
            <v>BDB-000209</v>
          </cell>
          <cell r="D874" t="str">
            <v>PVN-003462</v>
          </cell>
          <cell r="E874" t="str">
            <v>OrthoLite HybridPlus-Recycled MINT GREEN/11-4805TPX Hybrid Flat Sheet 0.12D 25+/-4 Asker C 1.1M 2M 12mm</v>
          </cell>
          <cell r="F874">
            <v>12</v>
          </cell>
        </row>
        <row r="875">
          <cell r="B875" t="str">
            <v>F-2026-01-199</v>
          </cell>
          <cell r="C875" t="str">
            <v>BDB-000123</v>
          </cell>
          <cell r="D875" t="str">
            <v>PVN-002884</v>
          </cell>
          <cell r="E875" t="str">
            <v>OrthoLite Ultra-Hybrid SEEDPEARL/12-0703TPX Hybrid Flat Sheet 0.085D 25+/-4 Asker C 1.1M 2M 10mm</v>
          </cell>
          <cell r="F875">
            <v>1</v>
          </cell>
        </row>
        <row r="876">
          <cell r="B876" t="str">
            <v>F-2026-01-202</v>
          </cell>
          <cell r="C876" t="str">
            <v>BDB-000229</v>
          </cell>
          <cell r="D876" t="str">
            <v>PVN-003878</v>
          </cell>
          <cell r="E876" t="str">
            <v>OrthoLite Ultra-Hybrid SEEDPEARL/12-0703TPX Hybrid Flat Sheet 0.095D 33+/-4 Asker C 1.1M 2M 4mm</v>
          </cell>
          <cell r="F876">
            <v>9</v>
          </cell>
        </row>
        <row r="877">
          <cell r="B877" t="str">
            <v>F-2026-01-203</v>
          </cell>
          <cell r="C877" t="str">
            <v>BDB-000058</v>
          </cell>
          <cell r="D877" t="str">
            <v>PVN-001277</v>
          </cell>
          <cell r="E877" t="str">
            <v>OrthoLite Ultra GREEN/16-5932TPX Flat Sheet 0.085D 25+/-4 Asker C 1.1M 2M 4mm</v>
          </cell>
          <cell r="F877">
            <v>10</v>
          </cell>
        </row>
        <row r="878">
          <cell r="B878" t="str">
            <v>F-2026-01-204</v>
          </cell>
          <cell r="C878" t="str">
            <v>BDB-000123</v>
          </cell>
          <cell r="D878" t="str">
            <v>PVN-003300</v>
          </cell>
          <cell r="E878" t="str">
            <v>OrthoLite Ultra-Hybrid SEEDPEARL/12-0703TPX Hybrid Flat Sheet 0.085D 25+/-4 Asker C 1.1M 2M 2mm</v>
          </cell>
          <cell r="F878">
            <v>7</v>
          </cell>
        </row>
        <row r="879">
          <cell r="B879" t="str">
            <v>F-2026-01-208</v>
          </cell>
          <cell r="C879" t="str">
            <v>BDB-000077</v>
          </cell>
          <cell r="D879" t="str">
            <v>PVN-004147</v>
          </cell>
          <cell r="E879" t="str">
            <v>OrthoLite X-25 SEEDPEARL/12-0703TPX Flat Sheet 0.12D 20+/-4 Asker C 1.1M 2M 5.5mm</v>
          </cell>
          <cell r="F879">
            <v>10</v>
          </cell>
        </row>
        <row r="880">
          <cell r="B880" t="str">
            <v>F-2026-01-210</v>
          </cell>
          <cell r="C880" t="str">
            <v>BDB-000273</v>
          </cell>
          <cell r="D880" t="str">
            <v>PVN-004138</v>
          </cell>
          <cell r="E880" t="str">
            <v>OrthoLite X-40-Hybrid SEEDPEARL/12-0703TPX Hybrid Flat Sheet 0.16D 25+/-4 Asker C 1.1M 2M 5.5mm</v>
          </cell>
          <cell r="F880">
            <v>14</v>
          </cell>
        </row>
        <row r="881">
          <cell r="B881" t="str">
            <v>F-2026-01-224</v>
          </cell>
          <cell r="C881" t="str">
            <v>BDB-000226</v>
          </cell>
          <cell r="D881" t="str">
            <v>PVN-003517</v>
          </cell>
          <cell r="E881" t="str">
            <v>OrthoLite Regular GREY/17-1501TPX Flat Sheet 0.16D 51+/-4 Asker C 1.1M 1.7M 12mm</v>
          </cell>
          <cell r="F881">
            <v>83</v>
          </cell>
        </row>
        <row r="882">
          <cell r="B882" t="str">
            <v>F-2026-01-261</v>
          </cell>
          <cell r="C882" t="str">
            <v>BDB-000113</v>
          </cell>
          <cell r="D882" t="str">
            <v>PVN-002501</v>
          </cell>
          <cell r="E882" t="str">
            <v>OrthoLite Regular-Hybrid SEEDPEARL/12-0703TPX Hybrid Flat Sheet 0.11D 25+/-4 Asker C 1.1M 2M 2mm</v>
          </cell>
          <cell r="F882">
            <v>25</v>
          </cell>
        </row>
        <row r="883">
          <cell r="B883" t="str">
            <v>F-2026-01-52</v>
          </cell>
          <cell r="C883" t="str">
            <v>BDB-000234</v>
          </cell>
          <cell r="D883" t="str">
            <v>PVN-003581</v>
          </cell>
          <cell r="E883" t="str">
            <v>OrthoLite X-30-Hybrid BROWN SUGAR/17-1134TPX Hybrid Flat Sheet 0.13D 25+/-4 Asker C 1.1M 2M 12mm</v>
          </cell>
          <cell r="F883">
            <v>15</v>
          </cell>
        </row>
        <row r="884">
          <cell r="B884" t="str">
            <v>OIN-2026.01.14-04</v>
          </cell>
          <cell r="C884" t="str">
            <v>BDB-000057</v>
          </cell>
          <cell r="D884" t="str">
            <v>PVN-004173</v>
          </cell>
          <cell r="E884" t="str">
            <v>[116-11320] Ultra 25+/-4 Asker C 0.085D Yellow 13-0858 Tpx 1.10M X 2.00M 47mm</v>
          </cell>
          <cell r="F884">
            <v>7</v>
          </cell>
        </row>
        <row r="885">
          <cell r="B885" t="str">
            <v>OIN-2026.01.14-07</v>
          </cell>
          <cell r="C885" t="str">
            <v>BDB-000364</v>
          </cell>
          <cell r="D885" t="str">
            <v>PVN-004262</v>
          </cell>
          <cell r="E885" t="str">
            <v>[116-12921] Ultra Hybrid 15+/-4 Asker C 0.085D Neutral Grey 17-4402 Tpx 1.10M X 2.00M 47mm</v>
          </cell>
          <cell r="F885">
            <v>15</v>
          </cell>
        </row>
        <row r="886">
          <cell r="B886" t="str">
            <v>s-2026-01-79</v>
          </cell>
          <cell r="C886" t="str">
            <v>BDB-000123</v>
          </cell>
          <cell r="D886" t="str">
            <v>PVN-002884</v>
          </cell>
          <cell r="E886" t="str">
            <v>OrthoLite Ultra-Hybrid SEEDPEARL/12-0703TPX Hybrid Flat Sheet 0.085D 25+/-4 Asker C 1.1M 2M 10mm</v>
          </cell>
          <cell r="F886">
            <v>6</v>
          </cell>
        </row>
        <row r="887">
          <cell r="B887" t="str">
            <v>s-2026-01-83</v>
          </cell>
          <cell r="C887" t="str">
            <v>BDB-000125</v>
          </cell>
          <cell r="D887" t="str">
            <v>PVN-001579</v>
          </cell>
          <cell r="E887" t="str">
            <v>OrthoLite Regular-Nike AIR BLUE/16-4134TPX Flat Sheet 0.11D 25+/-4 Asker C 1.1M 2M 4mm</v>
          </cell>
          <cell r="F887">
            <v>1</v>
          </cell>
        </row>
        <row r="888">
          <cell r="B888" t="str">
            <v>s-2026-01-87</v>
          </cell>
          <cell r="C888" t="str">
            <v>BDB-000016</v>
          </cell>
          <cell r="D888" t="str">
            <v>PVN-000338</v>
          </cell>
          <cell r="E888" t="str">
            <v>OrthoLite Regular GREEN/16-5932TPX Flat Sheet 0.13D 35+/-4 Asker C 1.1M 2M 4mm</v>
          </cell>
          <cell r="F888">
            <v>2</v>
          </cell>
        </row>
        <row r="889">
          <cell r="B889" t="str">
            <v>s-2026-01-88</v>
          </cell>
          <cell r="C889" t="str">
            <v>BDB-000016</v>
          </cell>
          <cell r="D889" t="str">
            <v>PVN-000458</v>
          </cell>
          <cell r="E889" t="str">
            <v>OrthoLite Regular GREEN/16-5932TPX Flat Sheet 0.13D 35+/-4 Asker C 1.1M 2M 3mm</v>
          </cell>
          <cell r="F889">
            <v>2</v>
          </cell>
        </row>
        <row r="890">
          <cell r="B890" t="str">
            <v>s-2026-01-89</v>
          </cell>
          <cell r="C890" t="str">
            <v>BDB-000209</v>
          </cell>
          <cell r="D890" t="str">
            <v>PVN-003537</v>
          </cell>
          <cell r="E890" t="str">
            <v>OrthoLite HybridPlus-Recycled MINT GREEN/11-4805TPX Hybrid 0.12D 25+/-4 Asker C 1.1M 2M 4.5mm</v>
          </cell>
          <cell r="F890">
            <v>4</v>
          </cell>
        </row>
        <row r="891">
          <cell r="B891" t="str">
            <v>s-2026-01-91</v>
          </cell>
          <cell r="C891" t="str">
            <v>BDB-000123</v>
          </cell>
          <cell r="D891" t="str">
            <v>PVN-003298</v>
          </cell>
          <cell r="E891" t="str">
            <v>OrthoLite Ultra-Hybrid SEEDPEARL/12-0703TPX Hybrid Flat Sheet 0.085D 25+/-4 Asker C 1.1M 2M 4mm</v>
          </cell>
          <cell r="F891">
            <v>9</v>
          </cell>
        </row>
        <row r="892">
          <cell r="B892" t="str">
            <v>F-2026-01-175</v>
          </cell>
          <cell r="C892" t="str">
            <v>BDB-000265</v>
          </cell>
          <cell r="D892" t="str">
            <v>PVN-003997</v>
          </cell>
          <cell r="E892" t="str">
            <v>OrthoLite Ultra-Hybrid NINE IRON/19-3908TPX Hybrid Flat Sheet 0.085D 25+/-4 Asker C 1.1M 2M 4mm</v>
          </cell>
          <cell r="F892">
            <v>3</v>
          </cell>
        </row>
        <row r="893">
          <cell r="B893" t="str">
            <v>s-2026-01-93</v>
          </cell>
          <cell r="C893" t="str">
            <v>BDB-000123</v>
          </cell>
          <cell r="D893" t="str">
            <v>PVN-003299</v>
          </cell>
          <cell r="E893" t="str">
            <v>OrthoLite Ultra-Hybrid SEEDPEARL/12-0703TPX Hybrid Flat Sheet 0.085D 25+/-4 Asker C 1.1M 2M 3mm</v>
          </cell>
          <cell r="F893">
            <v>5</v>
          </cell>
        </row>
        <row r="894">
          <cell r="B894" t="str">
            <v>F-2025-10-230</v>
          </cell>
          <cell r="C894" t="str">
            <v>BDB-000160</v>
          </cell>
          <cell r="D894" t="str">
            <v>PVN-001562</v>
          </cell>
          <cell r="E894" t="str">
            <v>OrthoLite Ultra-Nike LIME GREEN/14-0452TPX 0.085D 25+/-4 Asker C 1.1M 2M 4mm</v>
          </cell>
          <cell r="F894">
            <v>17</v>
          </cell>
        </row>
        <row r="895">
          <cell r="B895" t="str">
            <v>F-2025-12-31</v>
          </cell>
          <cell r="C895" t="str">
            <v>BDB-000125</v>
          </cell>
          <cell r="D895" t="str">
            <v>PVN-002413</v>
          </cell>
          <cell r="E895" t="str">
            <v>OrthoLite Regular-Nike AIR BLUE/16-4134TPX 0.11D 25+/-4 Asker C 1.1M 2M 4.2mm</v>
          </cell>
          <cell r="F895">
            <v>76</v>
          </cell>
        </row>
        <row r="896">
          <cell r="B896" t="str">
            <v>F-2025-12-322</v>
          </cell>
          <cell r="C896" t="str">
            <v>BDB-000217</v>
          </cell>
          <cell r="D896" t="str">
            <v>PVN-003539</v>
          </cell>
          <cell r="E896" t="str">
            <v>OrthoLite X-40-Hybrid SEEDPEARL/12-0703TPX Hybrid Flat Sheet 0.16D 35+/-4 Asker C 1.1M 1.7M 6.2mm</v>
          </cell>
          <cell r="F896">
            <v>32</v>
          </cell>
        </row>
        <row r="897">
          <cell r="B897" t="str">
            <v>F-2025-12-39</v>
          </cell>
          <cell r="C897" t="str">
            <v>BDB-000259</v>
          </cell>
          <cell r="D897" t="str">
            <v>PVN-003684</v>
          </cell>
          <cell r="E897" t="str">
            <v>OrthoLite Nike PP002 GLACIER GRAY/14-4102TPX Flat Sheet 0.145D 25+/-4 asker C 1.1M 2M 4.2mm</v>
          </cell>
          <cell r="F897">
            <v>7</v>
          </cell>
        </row>
        <row r="898">
          <cell r="B898" t="str">
            <v>F-2025-12-40</v>
          </cell>
          <cell r="C898" t="str">
            <v>BDB-000259</v>
          </cell>
          <cell r="D898" t="str">
            <v>PVN-003684</v>
          </cell>
          <cell r="E898" t="str">
            <v>OrthoLite Nike PP002 GLACIER GRAY/14-4102TPX Flat Sheet 0.145D 25+/-4 asker C 1.1M 2M 4.2mm</v>
          </cell>
          <cell r="F898">
            <v>84</v>
          </cell>
        </row>
        <row r="899">
          <cell r="B899" t="str">
            <v>F-2025-12-415</v>
          </cell>
          <cell r="C899" t="str">
            <v>BDB-000129</v>
          </cell>
          <cell r="D899" t="str">
            <v>PVN-001550</v>
          </cell>
          <cell r="E899" t="str">
            <v>OrthoLite Regular-Nike AIR BLUE/16-4134TPX 0.11D 25+/-4 Asker C 1.1M 1.7M 2mm</v>
          </cell>
          <cell r="F899">
            <v>4</v>
          </cell>
        </row>
        <row r="900">
          <cell r="B900" t="str">
            <v>F-2025-12-421</v>
          </cell>
          <cell r="C900" t="str">
            <v>BDB-000157</v>
          </cell>
          <cell r="D900" t="str">
            <v>PVN-003573</v>
          </cell>
          <cell r="E900" t="str">
            <v>OrthoLite X-35-Hybrid-Nike SEEDPEARL/12-0703TPX Hybrid 0.145D 25+/-4 Asker C 1.1M 2M 4.2mm</v>
          </cell>
          <cell r="F900">
            <v>4</v>
          </cell>
        </row>
        <row r="901">
          <cell r="B901" t="str">
            <v>F-2025-12-513</v>
          </cell>
          <cell r="C901" t="str">
            <v>BDB-000123</v>
          </cell>
          <cell r="D901" t="str">
            <v>PVN-003298</v>
          </cell>
          <cell r="E901" t="str">
            <v>OrthoLite Ultra-Hybrid SEEDPEARL/12-0703TPX Hybrid 0.085D 25+/-4 Asker C 1.1M 2M 4mm</v>
          </cell>
          <cell r="F901">
            <v>186</v>
          </cell>
        </row>
        <row r="902">
          <cell r="B902" t="str">
            <v>F-2025-12-542</v>
          </cell>
          <cell r="C902" t="str">
            <v>BDB-000348</v>
          </cell>
          <cell r="D902" t="str">
            <v>PVN-004195</v>
          </cell>
          <cell r="E902" t="str">
            <v>OrthoLite IMPERIAL SEEDPEARL/12-0703TPX Flat Sheet 0.22D 25+/-4 Asker C 1.1M 1.47M 4mm</v>
          </cell>
          <cell r="F902">
            <v>28</v>
          </cell>
        </row>
        <row r="903">
          <cell r="B903" t="str">
            <v>F-2025-12-65</v>
          </cell>
          <cell r="C903" t="str">
            <v>BDB-000113</v>
          </cell>
          <cell r="D903" t="str">
            <v>PVN-002465</v>
          </cell>
          <cell r="E903" t="str">
            <v>OrthoLite Regular-Hybrid SEEDPEARL/12-0703TPX Hybrid Flat Sheet 0.11D 25+/-4 Asker C 1.1M 2M 5mm</v>
          </cell>
          <cell r="F903">
            <v>75</v>
          </cell>
        </row>
        <row r="904">
          <cell r="B904" t="str">
            <v>F-2026-01-161</v>
          </cell>
          <cell r="C904" t="str">
            <v>BDB-000056</v>
          </cell>
          <cell r="D904" t="str">
            <v>PVN-001983</v>
          </cell>
          <cell r="E904" t="str">
            <v>OrthoLite X-40 SEEDPEARL/12-0703TPX Flat Sheet 0.16D 25+/-4 Asker C 1.1M 1.7M 5mm</v>
          </cell>
          <cell r="F904">
            <v>1</v>
          </cell>
        </row>
        <row r="905">
          <cell r="B905" t="str">
            <v>F-2026-01-174</v>
          </cell>
          <cell r="C905" t="str">
            <v>BDB-000117</v>
          </cell>
          <cell r="D905" t="str">
            <v>PVN-003588</v>
          </cell>
          <cell r="E905" t="str">
            <v>OrthoLite X-35-Hybrid SEEDPEARL/12-0703TPX Hybrid 0.145D 25+/-4 Asker C 1.1M 2M 5mm</v>
          </cell>
          <cell r="F905">
            <v>5</v>
          </cell>
        </row>
        <row r="906">
          <cell r="B906" t="str">
            <v>F-2026-01-195</v>
          </cell>
          <cell r="C906" t="str">
            <v>BDB-000332</v>
          </cell>
          <cell r="D906" t="str">
            <v>PVN-004146</v>
          </cell>
          <cell r="E906" t="str">
            <v>OrthoLite X-25 CASTLEROCK/18-0201TPX Flat Sheet 0.12D 20+/-4 Asker C 1.1M 2M 5.5mm</v>
          </cell>
          <cell r="F906">
            <v>6</v>
          </cell>
        </row>
        <row r="907">
          <cell r="B907" t="str">
            <v>F-2026-01-200</v>
          </cell>
          <cell r="C907" t="str">
            <v>BDB-000362</v>
          </cell>
          <cell r="D907" t="str">
            <v>PVN-004259</v>
          </cell>
          <cell r="E907" t="str">
            <v>OrthoLite X-60-Hybrid SEEDPEARL/12-0703TPX Hybrid Flat Sheet 0.19D 28+/-4 Asker C 1.1M 1.7M 12mm</v>
          </cell>
          <cell r="F907">
            <v>2</v>
          </cell>
        </row>
        <row r="908">
          <cell r="B908" t="str">
            <v>F-2026-01-201</v>
          </cell>
          <cell r="C908" t="str">
            <v>BDB-000339</v>
          </cell>
          <cell r="D908" t="str">
            <v>PVN-004223</v>
          </cell>
          <cell r="E908" t="str">
            <v>OrthoLite Float NEUTRAL GRAY/17-4402TPX Flat Sheet 0.12D 21+/-4 Asker C 1.1M 2M 5mm</v>
          </cell>
          <cell r="F908">
            <v>7</v>
          </cell>
        </row>
        <row r="909">
          <cell r="B909" t="str">
            <v>F-2026-01-230</v>
          </cell>
          <cell r="C909" t="str">
            <v>BDB-000362</v>
          </cell>
          <cell r="D909" t="str">
            <v>PVN-004259</v>
          </cell>
          <cell r="E909" t="str">
            <v>OrthoLite X-60-Hybrid SEEDPEARL/12-0703TPX Hybrid Flat Sheet 0.19D 28+/-4 Asker C 1.1M 1.7M 12mm</v>
          </cell>
          <cell r="F909">
            <v>59</v>
          </cell>
        </row>
        <row r="910">
          <cell r="B910" t="str">
            <v>F-2026-01-250</v>
          </cell>
          <cell r="C910" t="str">
            <v>BDB-000348</v>
          </cell>
          <cell r="D910" t="str">
            <v>PVN-004195</v>
          </cell>
          <cell r="E910" t="str">
            <v>OrthoLite IMPERIAL SEEDPEARL/12-0703TPX Flat Sheet 0.22D 25+/-4 Asker C 1.1M 1.47M 4mm</v>
          </cell>
          <cell r="F910">
            <v>24</v>
          </cell>
        </row>
        <row r="911">
          <cell r="B911" t="str">
            <v>F-2026-01-84</v>
          </cell>
          <cell r="C911" t="str">
            <v>BDB-000113</v>
          </cell>
          <cell r="D911" t="str">
            <v>PVN-003414</v>
          </cell>
          <cell r="E911" t="str">
            <v>OrthoLite Regular-Hybrid SEEDPEARL/12-0703TPX Hybrid Flat Sheet 0.11D 25+/-4 Asker C 1.1M 2M 12mm</v>
          </cell>
          <cell r="F911">
            <v>68</v>
          </cell>
        </row>
        <row r="912">
          <cell r="B912" t="str">
            <v>OIN-2026.01.14-03</v>
          </cell>
          <cell r="C912" t="str">
            <v>BDB-000123</v>
          </cell>
          <cell r="D912" t="str">
            <v>PVN-003784</v>
          </cell>
          <cell r="E912" t="str">
            <v>[116-311] Ultra Hybrid 25+/-4 Asker C 0.085D Seedpearl 12-0703 Tpx 1.10M X 2.00M 47mm</v>
          </cell>
          <cell r="F912">
            <v>93</v>
          </cell>
        </row>
        <row r="913">
          <cell r="B913" t="str">
            <v>OIN-2026.01.14-05</v>
          </cell>
          <cell r="C913" t="str">
            <v>BDB-000110</v>
          </cell>
          <cell r="D913" t="str">
            <v>PVN-003910</v>
          </cell>
          <cell r="E913" t="str">
            <v>[116-1493] Eco Lite Hybrid 15+/-4 Asker C 0.085D Seedpearl 12-0703 Tpx 1.10M X 2.00M 47mm</v>
          </cell>
          <cell r="F913">
            <v>5</v>
          </cell>
        </row>
        <row r="914">
          <cell r="B914" t="str">
            <v>OIN-2026.01.19-01</v>
          </cell>
          <cell r="C914" t="str">
            <v>BDB-000200</v>
          </cell>
          <cell r="D914" t="str">
            <v>PVN-003418</v>
          </cell>
          <cell r="E914" t="str">
            <v>[116-470] Ultra 78 - 90 Asker F 0.085D Seedpearl 12-0703 Tpx 1.10M X 2.00M 5mm</v>
          </cell>
          <cell r="F914">
            <v>15</v>
          </cell>
        </row>
        <row r="915">
          <cell r="B915" t="str">
            <v>F-2025-12-371</v>
          </cell>
          <cell r="C915" t="str">
            <v>BDB-000339</v>
          </cell>
          <cell r="D915" t="str">
            <v>PVN-004178</v>
          </cell>
          <cell r="E915" t="str">
            <v>OrthoLite Float NEUTRAL GRAY/17-4402TPX Flat Sheet 0.12D 21+/-4 Asker C 1.1M 2M 5.5mm</v>
          </cell>
          <cell r="F915">
            <v>10</v>
          </cell>
        </row>
        <row r="916">
          <cell r="B916" t="str">
            <v>F-2025-12-401-2</v>
          </cell>
          <cell r="C916" t="str">
            <v>BDB-000162</v>
          </cell>
          <cell r="D916" t="str">
            <v>PVN-001566</v>
          </cell>
          <cell r="E916" t="str">
            <v>OrthoLite Ultra-Nike SEEDPEARL/12-0703TPX 0.085D 25+/-4 Asker C 1.1M 2M 4mm</v>
          </cell>
          <cell r="F916">
            <v>3</v>
          </cell>
        </row>
        <row r="917">
          <cell r="B917" t="str">
            <v>F-2025-12-401-2</v>
          </cell>
          <cell r="C917" t="str">
            <v>BDB-000162</v>
          </cell>
          <cell r="D917" t="str">
            <v>PVN-001566</v>
          </cell>
          <cell r="E917" t="str">
            <v>OrthoLite Ultra-Nike SEEDPEARL/12-0703TPX 0.085D 25+/-4 Asker C 1.1M 2M 4mm</v>
          </cell>
          <cell r="F917">
            <v>8</v>
          </cell>
        </row>
        <row r="918">
          <cell r="B918" t="str">
            <v>F-2025-12-513</v>
          </cell>
          <cell r="C918" t="str">
            <v>BDB-000123</v>
          </cell>
          <cell r="D918" t="str">
            <v>PVN-003298</v>
          </cell>
          <cell r="E918" t="str">
            <v>OrthoLite Ultra-Hybrid SEEDPEARL/12-0703TPX Hybrid 0.085D 25+/-4 Asker C 1.1M 2M 4mm</v>
          </cell>
          <cell r="F918">
            <v>14</v>
          </cell>
        </row>
        <row r="919">
          <cell r="B919" t="str">
            <v>F-2025-12-521</v>
          </cell>
          <cell r="C919" t="str">
            <v>BDB-000123</v>
          </cell>
          <cell r="D919" t="str">
            <v>PVN-003299</v>
          </cell>
          <cell r="E919" t="str">
            <v>OrthoLite Ultra-Hybrid SEEDPEARL/12-0703TPX Hybrid 0.085D 25+/-4 Asker C 1.1M 2M 3mm</v>
          </cell>
          <cell r="F919">
            <v>5</v>
          </cell>
        </row>
        <row r="920">
          <cell r="B920" t="str">
            <v>F-2025-12-538</v>
          </cell>
          <cell r="C920" t="str">
            <v>BDB-000076</v>
          </cell>
          <cell r="D920" t="str">
            <v>PVN-003448</v>
          </cell>
          <cell r="E920" t="str">
            <v>OrthoLite X-25 BILLIARD/16-5427TPX 0.12D 20+/-4 Asker C 1.1M 2M 6.2mm</v>
          </cell>
          <cell r="F920">
            <v>2</v>
          </cell>
        </row>
        <row r="921">
          <cell r="B921" t="str">
            <v>F-2026-01-131</v>
          </cell>
          <cell r="C921" t="str">
            <v>BDB-000175</v>
          </cell>
          <cell r="D921" t="str">
            <v>PVN-002875</v>
          </cell>
          <cell r="E921" t="str">
            <v>OrthoLite Ultra-Hybrid-Nike SEEDPEARL/12-0703TPX Hybrid Flat Sheet 0.085D 25+/-4 Asker C 1.1M 2M 3mm</v>
          </cell>
          <cell r="F921">
            <v>2</v>
          </cell>
        </row>
        <row r="922">
          <cell r="B922" t="str">
            <v>F-2026-01-177</v>
          </cell>
          <cell r="C922" t="str">
            <v>BDB-000209</v>
          </cell>
          <cell r="D922" t="str">
            <v>PVN-003462</v>
          </cell>
          <cell r="E922" t="str">
            <v>OrthoLite HybridPlus-Recycled MINT GREEN/11-4805TPX Hybrid Flat Sheet 0.12D 25+/-4 Asker C 1.1M 2M 12mm</v>
          </cell>
          <cell r="F922">
            <v>4</v>
          </cell>
        </row>
        <row r="923">
          <cell r="B923" t="str">
            <v>F-2026-01-192</v>
          </cell>
          <cell r="C923" t="str">
            <v>BDB-000212</v>
          </cell>
          <cell r="D923" t="str">
            <v>PVN-003460</v>
          </cell>
          <cell r="E923" t="str">
            <v>OrthoLite X-25-Hybrid SEEDPEARL/12-0703TPX Hybrid Flat Sheet 0.12D 20+/-4 Asker C 1.1M 2M 5.5mm</v>
          </cell>
          <cell r="F923">
            <v>3</v>
          </cell>
        </row>
        <row r="924">
          <cell r="B924" t="str">
            <v>F-2026-01-272</v>
          </cell>
          <cell r="C924" t="str">
            <v>BDB-000235</v>
          </cell>
          <cell r="D924" t="str">
            <v>PVN-003576</v>
          </cell>
          <cell r="E924" t="str">
            <v>OrthoLite X-55-Hybrid FOSSIL/17-0909TPX Hybrid Flat Sheet 0.16D 25+/-4 Asker C 1.1M 1.7M 12mm</v>
          </cell>
          <cell r="F924">
            <v>122</v>
          </cell>
        </row>
        <row r="925">
          <cell r="B925" t="str">
            <v>F-2026-01-307</v>
          </cell>
          <cell r="C925" t="str">
            <v>BDB-000113</v>
          </cell>
          <cell r="D925" t="str">
            <v>PVN-002465</v>
          </cell>
          <cell r="E925" t="str">
            <v>OrthoLite Regular-Hybrid SEEDPEARL/12-0703TPX Hybrid Flat Sheet 0.11D 25+/-4 Asker C 1.1M 2M 5mm</v>
          </cell>
          <cell r="F925">
            <v>72</v>
          </cell>
        </row>
        <row r="926">
          <cell r="B926" t="str">
            <v>F-2026-01-320</v>
          </cell>
          <cell r="C926" t="str">
            <v>BDB-000235</v>
          </cell>
          <cell r="D926" t="str">
            <v>PVN-003576</v>
          </cell>
          <cell r="E926" t="str">
            <v>OrthoLite X-55-Hybrid FOSSIL/17-0909TPX Hybrid Flat Sheet 0.16D 25+/-4 Asker C 1.1M 1.7M 12mm</v>
          </cell>
          <cell r="F926">
            <v>150</v>
          </cell>
        </row>
        <row r="927">
          <cell r="B927" t="str">
            <v>F-2026-01-351</v>
          </cell>
          <cell r="C927" t="str">
            <v>BDB-000113</v>
          </cell>
          <cell r="D927" t="str">
            <v>PVN-002465</v>
          </cell>
          <cell r="E927" t="str">
            <v>OrthoLite Regular-Hybrid SEEDPEARL/12-0703TPX Hybrid Flat Sheet 0.11D 25+/-4 Asker C 1.1M 2M 5mm</v>
          </cell>
          <cell r="F927">
            <v>23</v>
          </cell>
        </row>
        <row r="928">
          <cell r="B928" t="str">
            <v>F-2026-01-84</v>
          </cell>
          <cell r="C928" t="str">
            <v>BDB-000113</v>
          </cell>
          <cell r="D928" t="str">
            <v>PVN-003414</v>
          </cell>
          <cell r="E928" t="str">
            <v>OrthoLite Regular-Hybrid SEEDPEARL/12-0703TPX Hybrid Flat Sheet 0.11D 25+/-4 Asker C 1.1M 2M 12mm</v>
          </cell>
          <cell r="F928">
            <v>198</v>
          </cell>
        </row>
        <row r="929">
          <cell r="B929" t="str">
            <v>OIN-2026.01.21-01</v>
          </cell>
          <cell r="C929" t="str">
            <v>BDB-000123</v>
          </cell>
          <cell r="D929" t="str">
            <v>PVN-003784</v>
          </cell>
          <cell r="E929" t="str">
            <v xml:space="preserve">[116-311] Ultra Hybrid 25+/-4 Asker C 0.085D Seedpearl 12-0703 Tpx 1.10M X 2.00M 47mm </v>
          </cell>
          <cell r="F929">
            <v>275</v>
          </cell>
        </row>
        <row r="930">
          <cell r="B930" t="str">
            <v>S-2026-01-90</v>
          </cell>
          <cell r="C930" t="str">
            <v>BDB-000348</v>
          </cell>
          <cell r="D930" t="str">
            <v>PVN-004274</v>
          </cell>
          <cell r="E930" t="str">
            <v>OrthoLite IMPERIAL SEEDPEARL/12-0703TPX Flat Sheet 0.22D 25+/-4 Asker C 1.1M 1.47M 13mm</v>
          </cell>
          <cell r="F930">
            <v>5</v>
          </cell>
        </row>
        <row r="931">
          <cell r="B931" t="str">
            <v>S-2026-01-92</v>
          </cell>
          <cell r="C931" t="str">
            <v>BDB-000200</v>
          </cell>
          <cell r="D931" t="str">
            <v>PVN-003418</v>
          </cell>
          <cell r="E931" t="str">
            <v>OrthoLite Ultra SEEDPEARL/12-0703TPX Flat Sheet 0.085D 78-90 Asker F 1.1M 2M 5mm</v>
          </cell>
          <cell r="F931">
            <v>4</v>
          </cell>
        </row>
        <row r="932">
          <cell r="B932" t="str">
            <v>S-2026-01-98</v>
          </cell>
          <cell r="C932" t="str">
            <v>BDB-000348</v>
          </cell>
          <cell r="D932" t="str">
            <v>PVN-004195</v>
          </cell>
          <cell r="E932" t="str">
            <v>OrthoLite IMPERIAL SEEDPEARL/12-0703TPX Flat Sheet 0.22D 25+/-4 Asker C 1.1M 1.47M 4mm</v>
          </cell>
          <cell r="F932">
            <v>6</v>
          </cell>
        </row>
        <row r="933">
          <cell r="B933" t="str">
            <v>F-2025-12-31</v>
          </cell>
          <cell r="C933" t="str">
            <v>BDB-000125</v>
          </cell>
          <cell r="D933" t="str">
            <v>PVN-002413</v>
          </cell>
          <cell r="E933" t="str">
            <v>OrthoLite Regular-Nike AIR BLUE/16-4134TPX 0.11D 25+/-4 Asker C 1.1M 2M 4.2mm</v>
          </cell>
          <cell r="F933">
            <v>14</v>
          </cell>
        </row>
        <row r="934">
          <cell r="B934" t="str">
            <v>F-2025-12-417</v>
          </cell>
          <cell r="C934" t="str">
            <v>BDB-000175</v>
          </cell>
          <cell r="D934" t="str">
            <v>PVN-002875</v>
          </cell>
          <cell r="E934" t="str">
            <v>OrthoLite Ultra-Hybrid-Nike SEEDPEARL/12-0703TPX Hybrid 0.085D 25+/-4 Asker C 1.1M 2M 3mm</v>
          </cell>
          <cell r="F934">
            <v>22</v>
          </cell>
        </row>
        <row r="935">
          <cell r="B935" t="str">
            <v>F-2025-12-513</v>
          </cell>
          <cell r="C935" t="str">
            <v>BDB-000123</v>
          </cell>
          <cell r="D935" t="str">
            <v>PVN-003298</v>
          </cell>
          <cell r="E935" t="str">
            <v>OrthoLite Ultra-Hybrid SEEDPEARL/12-0703TPX Hybrid 0.085D 25+/-4 Asker C 1.1M 2M 4mm</v>
          </cell>
          <cell r="F935">
            <v>39</v>
          </cell>
        </row>
        <row r="936">
          <cell r="B936" t="str">
            <v>F-2025-12-563</v>
          </cell>
          <cell r="C936" t="str">
            <v>BDB-000123</v>
          </cell>
          <cell r="D936" t="str">
            <v>PVN-003298</v>
          </cell>
          <cell r="E936" t="str">
            <v>OrthoLite Ultra-Hybrid SEEDPEARL/12-0703TPX Hybrid 0.085D 25+/-4 Asker C 1.1M 2M 4mm</v>
          </cell>
          <cell r="F936">
            <v>7</v>
          </cell>
        </row>
        <row r="937">
          <cell r="B937" t="str">
            <v>F-2025-12-60</v>
          </cell>
          <cell r="C937" t="str">
            <v>BDB-000113</v>
          </cell>
          <cell r="D937" t="str">
            <v>PVN-003414</v>
          </cell>
          <cell r="E937" t="str">
            <v>OrthoLite Regular-Hybrid SEEDPEARL/12-0703TPX Hybrid Flat Sheet 0.11D 25+/-4 Asker C 1.1M 2M 12mm</v>
          </cell>
          <cell r="F937">
            <v>20</v>
          </cell>
        </row>
        <row r="938">
          <cell r="B938" t="str">
            <v>F-2025-12-65</v>
          </cell>
          <cell r="C938" t="str">
            <v>BDB-000113</v>
          </cell>
          <cell r="D938" t="str">
            <v>PVN-002465</v>
          </cell>
          <cell r="E938" t="str">
            <v>OrthoLite Regular-Hybrid SEEDPEARL/12-0703TPX Hybrid Flat Sheet 0.11D 25+/-4 Asker C 1.1M 2M 5mm</v>
          </cell>
          <cell r="F938">
            <v>11</v>
          </cell>
        </row>
        <row r="939">
          <cell r="B939" t="str">
            <v>F-2026-01-198</v>
          </cell>
          <cell r="C939" t="str">
            <v>BDB-000273</v>
          </cell>
          <cell r="D939" t="str">
            <v>PVN-004138</v>
          </cell>
          <cell r="E939" t="str">
            <v>OrthoLite X-40-Hybrid SEEDPEARL/12-0703TPX Hybrid Flat Sheet 0.16D 25+/-4 Asker C 1.1M 2M 5.5mm</v>
          </cell>
          <cell r="F939">
            <v>51</v>
          </cell>
        </row>
        <row r="940">
          <cell r="B940" t="str">
            <v>F-2026-01-254</v>
          </cell>
          <cell r="C940" t="str">
            <v>BDB-000180</v>
          </cell>
          <cell r="D940" t="str">
            <v>PVN-003236</v>
          </cell>
          <cell r="E940" t="str">
            <v>OrthoLite Eco LT-Hybrid-Converse SEEDPEARL/12-0703TPX Hybrid Flat Sheet 0.13D 25+/-4 Asker C 1.1M 2M 5mm</v>
          </cell>
          <cell r="F940">
            <v>1</v>
          </cell>
        </row>
        <row r="941">
          <cell r="B941" t="str">
            <v>F-2026-01-264</v>
          </cell>
          <cell r="C941" t="str">
            <v>BDB-000077</v>
          </cell>
          <cell r="D941" t="str">
            <v>PVN-003478</v>
          </cell>
          <cell r="E941" t="str">
            <v>Ortholite X-25 SEEDPEARL/12-0703TPX Flat Sheet 0.12D 20+/-4 Asker C 1.1M 2M 4mm</v>
          </cell>
          <cell r="F941">
            <v>1</v>
          </cell>
        </row>
        <row r="942">
          <cell r="B942" t="str">
            <v>F-2026-01-302</v>
          </cell>
          <cell r="C942" t="str">
            <v>BDB-000077</v>
          </cell>
          <cell r="D942" t="str">
            <v>PVN-003478</v>
          </cell>
          <cell r="E942" t="str">
            <v>Ortholite X-25 SEEDPEARL/12-0703TPX Flat Sheet 0.12D 20+/-4 Asker C 1.1M 2M 4mm</v>
          </cell>
          <cell r="F942">
            <v>2</v>
          </cell>
        </row>
        <row r="943">
          <cell r="B943" t="str">
            <v>F-2026-01-304</v>
          </cell>
          <cell r="C943" t="str">
            <v>BDB-000129</v>
          </cell>
          <cell r="D943" t="str">
            <v>PVN-001550</v>
          </cell>
          <cell r="E943" t="str">
            <v>OrthoLite Regular-Nike AIR BLUE/16-4134TPX Flat Sheet 0.11D 25+/-4 Asker C 1.1M 1.7M 2mm</v>
          </cell>
          <cell r="F943">
            <v>18</v>
          </cell>
        </row>
        <row r="944">
          <cell r="B944" t="str">
            <v>F-2026-01-316</v>
          </cell>
          <cell r="C944" t="str">
            <v>BDB-000175</v>
          </cell>
          <cell r="D944" t="str">
            <v>PVN-002875</v>
          </cell>
          <cell r="E944" t="str">
            <v>OrthoLite Ultra-Hybrid-Nike SEEDPEARL/12-0703TPX Hybrid Flat Sheet 0.085D 25+/-4 Asker C 1.1M 2M 3mm</v>
          </cell>
          <cell r="F944">
            <v>8</v>
          </cell>
        </row>
        <row r="945">
          <cell r="B945" t="str">
            <v>F-2026-01-320</v>
          </cell>
          <cell r="C945" t="str">
            <v>BDB-000235</v>
          </cell>
          <cell r="D945" t="str">
            <v>PVN-003576</v>
          </cell>
          <cell r="E945" t="str">
            <v>OrthoLite X-55-Hybrid FOSSIL/17-0909TPX Hybrid Flat Sheet 0.16D 25+/-4 Asker C 1.1M 1.7M 12mm</v>
          </cell>
          <cell r="F945">
            <v>20</v>
          </cell>
        </row>
        <row r="946">
          <cell r="B946" t="str">
            <v>F-2026-01-342</v>
          </cell>
          <cell r="C946" t="str">
            <v>BDB-000097</v>
          </cell>
          <cell r="D946" t="str">
            <v>PVN-003671</v>
          </cell>
          <cell r="E946" t="str">
            <v>OrthoLite Eco LT-Hybrid SEEDPEARL/12-0703TPX Hybrid 0.11D 25+/-4 Asker C 1.1M 2M 13mm</v>
          </cell>
          <cell r="F946">
            <v>50</v>
          </cell>
        </row>
        <row r="947">
          <cell r="B947" t="str">
            <v>F-2026-01-401</v>
          </cell>
          <cell r="C947" t="str">
            <v>BDB-000125</v>
          </cell>
          <cell r="D947" t="str">
            <v>PVN-001579</v>
          </cell>
          <cell r="E947" t="str">
            <v>OrthoLite Regular-Nike AIR BLUE/16-4134TPX Flat Sheet 0.11D 25+/-4 Asker C 1.1M 2M 4mm</v>
          </cell>
          <cell r="F947">
            <v>29</v>
          </cell>
        </row>
        <row r="948">
          <cell r="B948" t="str">
            <v>F-2026-01-415</v>
          </cell>
          <cell r="C948" t="str">
            <v>BDB-000175</v>
          </cell>
          <cell r="D948" t="str">
            <v>PVN-002875</v>
          </cell>
          <cell r="E948" t="str">
            <v>OrthoLite Ultra-Hybrid-Nike SEEDPEARL/12-0703TPX Hybrid 0.085D 25+/-4 Asker C 1.1M 2M 3mm</v>
          </cell>
          <cell r="F948">
            <v>22</v>
          </cell>
        </row>
        <row r="949">
          <cell r="B949" t="str">
            <v>OIN-2026.01.14-02</v>
          </cell>
          <cell r="C949" t="str">
            <v>BDB-000200</v>
          </cell>
          <cell r="D949" t="str">
            <v>PVN-003418</v>
          </cell>
          <cell r="E949" t="str">
            <v>[116-470] Ultra 78 - 90 Asker F 0.085D Seedpearl 12-0703 Tpx 1.10M X 2.00M 5mm</v>
          </cell>
          <cell r="F949">
            <v>4</v>
          </cell>
        </row>
        <row r="950">
          <cell r="B950" t="str">
            <v>S-2026-01-66</v>
          </cell>
          <cell r="C950" t="str">
            <v>BDB-000314</v>
          </cell>
          <cell r="D950" t="str">
            <v>PVN-004066</v>
          </cell>
          <cell r="E950" t="str">
            <v>OrthoLite Regular NEUTRAL GRAY/17-4402TPX Flat Sheet 0.16D 51+/-4 Asker C 1.1M 1.7M 9.5mm</v>
          </cell>
          <cell r="F950">
            <v>3</v>
          </cell>
        </row>
        <row r="951">
          <cell r="B951" t="str">
            <v>S-2026-01-67</v>
          </cell>
          <cell r="C951" t="str">
            <v>BDB-000335</v>
          </cell>
          <cell r="D951" t="str">
            <v>PVN-004166</v>
          </cell>
          <cell r="E951" t="str">
            <v>OrthoLite Regular SEEDPEARL/12-0703TPX Flat Sheet 0.16D 51+/-4 Asker C 1.1M 1.7M 9.5mm</v>
          </cell>
          <cell r="F951">
            <v>3</v>
          </cell>
        </row>
        <row r="952">
          <cell r="B952" t="str">
            <v>S-2026-01-95</v>
          </cell>
          <cell r="C952" t="str">
            <v>BDB-000097</v>
          </cell>
          <cell r="D952" t="str">
            <v>PVN-003671</v>
          </cell>
          <cell r="E952" t="str">
            <v>OrthoLite Eco LT-Hybrid SEEDPEARL/12-0703TPX Hybrid Flat Sheet 0.11D 25+/-4 Asker C 1.1M 2M 13mm</v>
          </cell>
          <cell r="F952">
            <v>2</v>
          </cell>
        </row>
        <row r="953">
          <cell r="B953" t="str">
            <v>F-2025-12-428</v>
          </cell>
          <cell r="C953" t="str">
            <v>BDB-000339</v>
          </cell>
          <cell r="D953" t="str">
            <v>PVN-004178</v>
          </cell>
          <cell r="E953" t="str">
            <v>OrthoLite Float NEUTRAL GRAY/17-4402TPX Flat Sheet 0.12D 21+/-4 Asker C 1.1M 2M 5.5mm</v>
          </cell>
          <cell r="F953">
            <v>28</v>
          </cell>
        </row>
        <row r="954">
          <cell r="B954" t="str">
            <v>F-2025-12-525</v>
          </cell>
          <cell r="C954" t="str">
            <v>BDB-000123</v>
          </cell>
          <cell r="D954" t="str">
            <v>PVN-003299</v>
          </cell>
          <cell r="E954" t="str">
            <v>OrthoLite Ultra-Hybrid SEEDPEARL/12-0703TPX Hybrid 0.085D 25+/-4 Asker C 1.1M 2M 3mm</v>
          </cell>
          <cell r="F954">
            <v>153</v>
          </cell>
        </row>
        <row r="955">
          <cell r="B955" t="str">
            <v>F-2026-01-15</v>
          </cell>
          <cell r="C955" t="str">
            <v>BDB-000097</v>
          </cell>
          <cell r="D955" t="str">
            <v>PVN-002478</v>
          </cell>
          <cell r="E955" t="str">
            <v>OrthoLite Eco LT-Hybrid SEEDPEARL/12-0703TPX Hybrid Flat Sheet 0.11D 25+/-4 Asker C 1.1M 2M 4mm</v>
          </cell>
          <cell r="F955">
            <v>64</v>
          </cell>
        </row>
        <row r="956">
          <cell r="B956" t="str">
            <v>F-2026-01-187</v>
          </cell>
          <cell r="C956" t="str">
            <v>BDB-000348</v>
          </cell>
          <cell r="D956" t="str">
            <v>PVN-004195</v>
          </cell>
          <cell r="E956" t="str">
            <v>OrthoLite IMPERIAL SEEDPEARL/12-0703TPX Flat Sheet 0.22D 25+/-4 Asker C 1.1M 1.47M 4mm</v>
          </cell>
          <cell r="F956">
            <v>89</v>
          </cell>
        </row>
        <row r="957">
          <cell r="B957" t="str">
            <v>F-2026-01-193</v>
          </cell>
          <cell r="C957" t="str">
            <v>BDB-000209</v>
          </cell>
          <cell r="D957" t="str">
            <v>PVN-003537</v>
          </cell>
          <cell r="E957" t="str">
            <v>OrthoLite HybridPlus-Recycled MINT GREEN/11-4805TPX Hybrid Flat Sheet 0.12D 25+/-4 Asker C 1.1M 2M 4.5mm</v>
          </cell>
          <cell r="F957">
            <v>113</v>
          </cell>
        </row>
        <row r="958">
          <cell r="B958" t="str">
            <v>F-2026-01-221</v>
          </cell>
          <cell r="C958" t="str">
            <v>BDB-000355</v>
          </cell>
          <cell r="D958" t="str">
            <v>PVN-004231</v>
          </cell>
          <cell r="E958" t="str">
            <v>OrthoLite HybridPlus-Recycled CASTLEROCK/18-0201TPX Hybrid Flat Sheet 0.12D 25+/-4 Asker C 1.1M 2M 4.5mm</v>
          </cell>
          <cell r="F958">
            <v>8</v>
          </cell>
        </row>
        <row r="959">
          <cell r="B959" t="str">
            <v>F-2026-01-230</v>
          </cell>
          <cell r="C959" t="str">
            <v>BDB-000362</v>
          </cell>
          <cell r="D959" t="str">
            <v>PVN-004259</v>
          </cell>
          <cell r="E959" t="str">
            <v>OrthoLite X-60-Hybrid SEEDPEARL/12-0703TPX Hybrid Flat Sheet 0.19D 28+/-4 Asker C 1.1M 1.7M 12mm</v>
          </cell>
          <cell r="F959">
            <v>3</v>
          </cell>
        </row>
        <row r="960">
          <cell r="B960" t="str">
            <v>F-2026-01-272</v>
          </cell>
          <cell r="C960" t="str">
            <v>BDB-000235</v>
          </cell>
          <cell r="D960" t="str">
            <v>PVN-003576</v>
          </cell>
          <cell r="E960" t="str">
            <v>OrthoLite X-55-Hybrid FOSSIL/17-0909TPX Hybrid Flat Sheet 0.16D 25+/-4 Asker C 1.1M 1.7M 12mm</v>
          </cell>
          <cell r="F960">
            <v>52</v>
          </cell>
        </row>
        <row r="961">
          <cell r="B961" t="str">
            <v>F-2026-01-272</v>
          </cell>
          <cell r="C961" t="str">
            <v>BDB-000235</v>
          </cell>
          <cell r="D961" t="str">
            <v>PVN-003576</v>
          </cell>
          <cell r="E961" t="str">
            <v>OrthoLite X-55-Hybrid FOSSIL/17-0909TPX Hybrid Flat Sheet 0.16D 25+/-4 Asker C 1.1M 1.7M 12mm</v>
          </cell>
          <cell r="F961">
            <v>7</v>
          </cell>
        </row>
        <row r="962">
          <cell r="B962" t="str">
            <v>F-2026-01-273</v>
          </cell>
          <cell r="C962" t="str">
            <v>BDB-000235</v>
          </cell>
          <cell r="D962" t="str">
            <v>PVN-003576</v>
          </cell>
          <cell r="E962" t="str">
            <v>OrthoLite X-55-Hybrid FOSSIL/17-0909TPX Hybrid Flat Sheet 0.16D 25+/-4 Asker C 1.1M 1.7M 12mm</v>
          </cell>
          <cell r="F962">
            <v>236</v>
          </cell>
        </row>
        <row r="963">
          <cell r="B963" t="str">
            <v>F-2026-01-283</v>
          </cell>
          <cell r="C963" t="str">
            <v>BDB-000039</v>
          </cell>
          <cell r="D963" t="str">
            <v>PVN-002019</v>
          </cell>
          <cell r="E963" t="str">
            <v>OrthoLite Regular NEUTRAL GRAY/17-4402TPX Flat Sheet 0.11D 25+/-4 Asker C 1.1M 2M 13mm</v>
          </cell>
          <cell r="F963">
            <v>1</v>
          </cell>
        </row>
        <row r="964">
          <cell r="B964" t="str">
            <v>F-2026-01-341</v>
          </cell>
          <cell r="C964" t="str">
            <v>BDB-000039</v>
          </cell>
          <cell r="D964" t="str">
            <v>PVN-002019</v>
          </cell>
          <cell r="E964" t="str">
            <v>OrthoLite Regular NEUTRAL GRAY/17-4402TPX 0.11D 25+/-4 Asker C 1.1M 2M 13mm</v>
          </cell>
          <cell r="F964">
            <v>35</v>
          </cell>
        </row>
        <row r="965">
          <cell r="B965" t="str">
            <v>F-2026-01-84</v>
          </cell>
          <cell r="C965" t="str">
            <v>BDB-000113</v>
          </cell>
          <cell r="D965" t="str">
            <v>PVN-003414</v>
          </cell>
          <cell r="E965" t="str">
            <v>OrthoLite Regular-Hybrid SEEDPEARL/12-0703TPX Hybrid Flat Sheet 0.11D 25+/-4 Asker C 1.1M 2M 12mm</v>
          </cell>
          <cell r="F965">
            <v>82</v>
          </cell>
        </row>
        <row r="966">
          <cell r="B966" t="str">
            <v>OIN-2026.01.27-01</v>
          </cell>
          <cell r="C966" t="str">
            <v>BDB-000057</v>
          </cell>
          <cell r="D966" t="str">
            <v>PVN-004173</v>
          </cell>
          <cell r="E966" t="str">
            <v>[116-11320] Ultra 25+/-4 Asker C 0.085D Yellow 13-0858 Tpx 1.10M X 2.00M 47mm</v>
          </cell>
          <cell r="F966">
            <v>32</v>
          </cell>
        </row>
        <row r="967">
          <cell r="B967" t="str">
            <v>S-2026-01-78</v>
          </cell>
          <cell r="C967" t="str">
            <v>BDB-000083</v>
          </cell>
          <cell r="D967" t="str">
            <v>PVN-000930</v>
          </cell>
          <cell r="E967" t="str">
            <v>OrthoLite Eco LT 300C(ADIDAS BLUEBIRD) Flat Sheet 0.11D 25+/-4 Asker C 1.1M 2M 3mm</v>
          </cell>
          <cell r="F967">
            <v>2</v>
          </cell>
        </row>
        <row r="968">
          <cell r="B968" t="str">
            <v>F-2025-12-315</v>
          </cell>
          <cell r="C968" t="str">
            <v>BDB-000347</v>
          </cell>
          <cell r="D968" t="str">
            <v>PVN-004192</v>
          </cell>
          <cell r="E968" t="str">
            <v>OrthoLite X-55-Hybrid SEEDPEARL/12-0703TPX Hybrid 0.16D 25+/-4 Asker C 1.1M 2M 12mm</v>
          </cell>
          <cell r="F968">
            <v>73</v>
          </cell>
        </row>
        <row r="969">
          <cell r="B969" t="str">
            <v>F-2025-12-357</v>
          </cell>
          <cell r="C969" t="str">
            <v>BDB-000123</v>
          </cell>
          <cell r="D969" t="str">
            <v>PVN-003298</v>
          </cell>
          <cell r="E969" t="str">
            <v>OrthoLite Ultra-Hybrid SEEDPEARL/12-0703TPX Hybrid 0.085D 25+/-4 Asker C 1.1M 2M 4mm</v>
          </cell>
          <cell r="F969">
            <v>26</v>
          </cell>
        </row>
        <row r="970">
          <cell r="B970" t="str">
            <v>F-2025-12-40</v>
          </cell>
          <cell r="C970" t="str">
            <v>BDB-000259</v>
          </cell>
          <cell r="D970" t="str">
            <v>PVN-003684</v>
          </cell>
          <cell r="E970" t="str">
            <v>OrthoLite Nike PP002 GLACIER GRAY/14-4102TPX Flat Sheet 0.145D 25+/-4 asker C 1.1M 2M 4.2mm</v>
          </cell>
          <cell r="F970">
            <v>7</v>
          </cell>
        </row>
        <row r="971">
          <cell r="B971" t="str">
            <v>F-2025-12-422</v>
          </cell>
          <cell r="C971" t="str">
            <v>BDB-000157</v>
          </cell>
          <cell r="D971" t="str">
            <v>PVN-003573</v>
          </cell>
          <cell r="E971" t="str">
            <v>OrthoLite X-35-Hybrid-Nike SEEDPEARL/12-0703TPX Hybrid 0.145D 25+/-4 Asker C 1.1M 2M 4.2mm</v>
          </cell>
          <cell r="F971">
            <v>25</v>
          </cell>
        </row>
        <row r="972">
          <cell r="B972" t="str">
            <v>F-2025-12-535</v>
          </cell>
          <cell r="C972" t="str">
            <v>BDB-000076</v>
          </cell>
          <cell r="D972" t="str">
            <v>PVN-003448</v>
          </cell>
          <cell r="E972" t="str">
            <v>OrthoLite X-25 BILLIARD/16-5427TPX 0.12D 20+/-4 Asker C 1.1M 2M 6.2mm</v>
          </cell>
          <cell r="F972">
            <v>23</v>
          </cell>
        </row>
        <row r="973">
          <cell r="B973" t="str">
            <v>F-2025-12-644</v>
          </cell>
          <cell r="C973" t="str">
            <v>BDB-000180</v>
          </cell>
          <cell r="D973" t="str">
            <v>PVN-003236</v>
          </cell>
          <cell r="E973" t="str">
            <v>OrthoLite Eco LT-Hybrid-Converse SEEDPEARL/12-0703TPX Hybrid 0.13D 25+/-4 Asker C 1.1M 2M 5mm</v>
          </cell>
          <cell r="F973">
            <v>36</v>
          </cell>
        </row>
        <row r="974">
          <cell r="B974" t="str">
            <v>F-2026-01-168</v>
          </cell>
          <cell r="C974" t="str">
            <v>BDB-000346</v>
          </cell>
          <cell r="D974" t="str">
            <v>PVN-004188</v>
          </cell>
          <cell r="E974" t="str">
            <v>OrthoLite Float NEUTRAL GRAY/17-4402TPX Flat Sheet 0.12D 21+/-4 Asker C 1.1M 1.47M 5.5mm</v>
          </cell>
          <cell r="F974">
            <v>11</v>
          </cell>
        </row>
        <row r="975">
          <cell r="B975" t="str">
            <v>F-2026-01-197</v>
          </cell>
          <cell r="C975" t="str">
            <v>BDB-000346</v>
          </cell>
          <cell r="D975" t="str">
            <v>PVN-004188</v>
          </cell>
          <cell r="E975" t="str">
            <v>OrthoLite Float NEUTRAL GRAY/17-4402TPX Flat Sheet 0.12D 21+/-4 Asker C 1.1M 1.47M 5.5mm</v>
          </cell>
          <cell r="F975">
            <v>29</v>
          </cell>
        </row>
        <row r="976">
          <cell r="B976" t="str">
            <v>F-2026-01-207</v>
          </cell>
          <cell r="C976" t="str">
            <v>BDB-000332</v>
          </cell>
          <cell r="D976" t="str">
            <v>PVN-004146</v>
          </cell>
          <cell r="E976" t="str">
            <v>OrthoLite X-25 CASTLEROCK/18-0201TPX Flat Sheet 0.12D 20+/-4 Asker C 1.1M 2M 5.5mm</v>
          </cell>
          <cell r="F976">
            <v>28</v>
          </cell>
        </row>
        <row r="977">
          <cell r="B977" t="str">
            <v>F-2026-01-209</v>
          </cell>
          <cell r="C977" t="str">
            <v>BDB-000346</v>
          </cell>
          <cell r="D977" t="str">
            <v>PVN-004188</v>
          </cell>
          <cell r="E977" t="str">
            <v>OrthoLite Float NEUTRAL GRAY/17-4402TPX Flat Sheet 0.12D 21+/-4 Asker C 1.1M 1.47M 5.5mm</v>
          </cell>
          <cell r="F977">
            <v>11</v>
          </cell>
        </row>
        <row r="978">
          <cell r="B978" t="str">
            <v>F-2026-01-217</v>
          </cell>
          <cell r="C978" t="str">
            <v>BDB-000076</v>
          </cell>
          <cell r="D978" t="str">
            <v>PVN-003494</v>
          </cell>
          <cell r="E978" t="str">
            <v>OrthoLite X-25 BILLIARD/16-5427TPX Flat Sheet 0.12D 20+/-4 Asker C 1.1M 2M 5.5mm</v>
          </cell>
          <cell r="F978">
            <v>3</v>
          </cell>
        </row>
        <row r="979">
          <cell r="B979" t="str">
            <v>F-2026-01-225</v>
          </cell>
          <cell r="C979" t="str">
            <v>BDB-000010</v>
          </cell>
          <cell r="D979" t="str">
            <v>PVN-000093</v>
          </cell>
          <cell r="E979" t="str">
            <v>OrthoLite Regular AIR BLUE/16-4134TPX Flat Sheet 0.11D 25+/-4 Asker C 1.1M 2M 11mm</v>
          </cell>
          <cell r="F979">
            <v>1</v>
          </cell>
        </row>
        <row r="980">
          <cell r="B980" t="str">
            <v>F-2026-01-226</v>
          </cell>
          <cell r="C980" t="str">
            <v>BDB-000004</v>
          </cell>
          <cell r="D980" t="str">
            <v>PVN-000445</v>
          </cell>
          <cell r="E980" t="str">
            <v>OrthoLite Regular GREY/17-1501TPX 0.11D 25+/-4 Asker C 1.1M 2M 13mm</v>
          </cell>
          <cell r="F980">
            <v>4</v>
          </cell>
        </row>
        <row r="981">
          <cell r="B981" t="str">
            <v>F-2026-01-251</v>
          </cell>
          <cell r="C981" t="str">
            <v>BDB-000123</v>
          </cell>
          <cell r="D981" t="str">
            <v>PVN-003298</v>
          </cell>
          <cell r="E981" t="str">
            <v>OrthoLite Ultra-Hybrid SEEDPEARL/12-0703TPX Hybrid Flat Sheet 0.085D 25+/-4 Asker C 1.1M 2M 4mm</v>
          </cell>
          <cell r="F981">
            <v>68</v>
          </cell>
        </row>
        <row r="982">
          <cell r="B982" t="str">
            <v>F-2026-01-258</v>
          </cell>
          <cell r="C982" t="str">
            <v>BDB-000348</v>
          </cell>
          <cell r="D982" t="str">
            <v>PVN-004195</v>
          </cell>
          <cell r="E982" t="str">
            <v>OrthoLite IMPERIAL SEEDPEARL/12-0703TPX Flat Sheet 0.22D 25+/-4 Asker C 1.1M 1.47M 4mm</v>
          </cell>
          <cell r="F982">
            <v>43</v>
          </cell>
        </row>
        <row r="983">
          <cell r="B983" t="str">
            <v>F-2026-01-268</v>
          </cell>
          <cell r="C983" t="str">
            <v>BDB-000336</v>
          </cell>
          <cell r="D983" t="str">
            <v>PVN-004168</v>
          </cell>
          <cell r="E983" t="str">
            <v>OrthoLite X-40-Nike SEEDPEARL/12-0703TPX Flat Sheet 0.16D 35+/-4 Asker C 1.1M 2M 4.5mm</v>
          </cell>
          <cell r="F983">
            <v>2</v>
          </cell>
        </row>
        <row r="984">
          <cell r="B984" t="str">
            <v>F-2026-01-274</v>
          </cell>
          <cell r="C984" t="str">
            <v>BDB-000319</v>
          </cell>
          <cell r="D984" t="str">
            <v>PVN-004247</v>
          </cell>
          <cell r="E984" t="str">
            <v>OrthoLite X-40-Hybrid-Nike SEEDPEARL/12-0703TPX Hybrid Flat Sheet 0.16D 25+/-4 Asker C 1.1M 2M 4.2mm</v>
          </cell>
          <cell r="F984">
            <v>1</v>
          </cell>
        </row>
        <row r="985">
          <cell r="B985" t="str">
            <v>F-2026-01-275</v>
          </cell>
          <cell r="C985" t="str">
            <v>BDB-000319</v>
          </cell>
          <cell r="D985" t="str">
            <v>PVN-004081</v>
          </cell>
          <cell r="E985" t="str">
            <v>OrthoLite X-40-Hybrid-Nike SEEDPEARL/12-0703TPX Hybrid Flat Sheet 0.16D 25+/-4 Asker C 1.1M 2M 6mm</v>
          </cell>
          <cell r="F985">
            <v>2</v>
          </cell>
        </row>
        <row r="986">
          <cell r="B986" t="str">
            <v>F-2026-01-277</v>
          </cell>
          <cell r="C986" t="str">
            <v>BDB-000010</v>
          </cell>
          <cell r="D986" t="str">
            <v>PVN-003437</v>
          </cell>
          <cell r="E986" t="str">
            <v>OrthoLite Regular AIR BLUE/16-4134TPX Flat Sheet 0.11D 25+/-4 Asker C 1.1M 2M 10.5mm</v>
          </cell>
          <cell r="F986">
            <v>8</v>
          </cell>
        </row>
        <row r="987">
          <cell r="B987" t="str">
            <v>F-2026-01-280</v>
          </cell>
          <cell r="C987" t="str">
            <v>BDB-000076</v>
          </cell>
          <cell r="D987" t="str">
            <v>PVN-003740</v>
          </cell>
          <cell r="E987" t="str">
            <v>OrthoLite X-25 BILLIARD/16-5427TPX Flat Sheet 0.12D 20+/-4 Asker C 1.1M 2M 10.5mm</v>
          </cell>
          <cell r="F987">
            <v>1</v>
          </cell>
        </row>
        <row r="988">
          <cell r="B988" t="str">
            <v>F-2026-01-281</v>
          </cell>
          <cell r="C988" t="str">
            <v>BDB-000180</v>
          </cell>
          <cell r="D988" t="str">
            <v>PVN-003236</v>
          </cell>
          <cell r="E988" t="str">
            <v>OrthoLite Eco LT-Hybrid-Converse SEEDPEARL/12-0703TPX Hybrid Flat Sheet 0.13D 25+/-4 Asker C 1.1M 2M 5mm</v>
          </cell>
          <cell r="F988">
            <v>30</v>
          </cell>
        </row>
        <row r="989">
          <cell r="B989" t="str">
            <v>F-2026-01-282</v>
          </cell>
          <cell r="C989" t="str">
            <v>BDB-000076</v>
          </cell>
          <cell r="D989" t="str">
            <v>PVN-003494</v>
          </cell>
          <cell r="E989" t="str">
            <v>OrthoLite X-25 BILLIARD/16-5427TPX Flat Sheet 0.12D 20+/-4 Asker C 1.1M 2M 5.5mm</v>
          </cell>
          <cell r="F989">
            <v>1</v>
          </cell>
        </row>
        <row r="990">
          <cell r="B990" t="str">
            <v>F-2026-01-287</v>
          </cell>
          <cell r="C990" t="str">
            <v>BDB-000125</v>
          </cell>
          <cell r="D990" t="str">
            <v>PVN-001412</v>
          </cell>
          <cell r="E990" t="str">
            <v>OrthoLite Regular-Nike AIR BLUE/16-4134TPX Flat Sheet 0.11D 25+/-4 Asker C 1.1M 2M 5mm</v>
          </cell>
          <cell r="F990">
            <v>1</v>
          </cell>
        </row>
        <row r="991">
          <cell r="B991" t="str">
            <v>F-2026-01-288</v>
          </cell>
          <cell r="C991" t="str">
            <v>BDB-000076</v>
          </cell>
          <cell r="D991" t="str">
            <v>PVN-004119</v>
          </cell>
          <cell r="E991" t="str">
            <v>OrthoLite X-25 BILLIARD/16-5427TPX Flat Sheet 0.12D 20+/-4 Asker C 1.1M 2M 6.5mm</v>
          </cell>
          <cell r="F991">
            <v>4</v>
          </cell>
        </row>
        <row r="992">
          <cell r="B992" t="str">
            <v>F-2026-01-296</v>
          </cell>
          <cell r="C992" t="str">
            <v>BDB-000058</v>
          </cell>
          <cell r="D992" t="str">
            <v>PVN-001277</v>
          </cell>
          <cell r="E992" t="str">
            <v>OrthoLite Ultra GREEN/16-5932TPX Flat Sheet 0.085D 25+/-4 Asker C 1.1M 2M 4mm</v>
          </cell>
          <cell r="F992">
            <v>86</v>
          </cell>
        </row>
        <row r="993">
          <cell r="B993" t="str">
            <v>F-2026-01-297</v>
          </cell>
          <cell r="C993" t="str">
            <v>BDB-000058</v>
          </cell>
          <cell r="D993" t="str">
            <v>PVN-001277</v>
          </cell>
          <cell r="E993" t="str">
            <v>OrthoLite Ultra GREEN/16-5932TPX Flat Sheet 0.085D 25+/-4 Asker C 1.1M 2M 4mm</v>
          </cell>
          <cell r="F993">
            <v>98</v>
          </cell>
        </row>
        <row r="994">
          <cell r="B994" t="str">
            <v>F-2026-01-298</v>
          </cell>
          <cell r="C994" t="str">
            <v>BDB-000058</v>
          </cell>
          <cell r="D994" t="str">
            <v>PVN-001319</v>
          </cell>
          <cell r="E994" t="str">
            <v>OrthoLite Ultra GREEN/16-5932TPX 0.085D 25+/-4 Asker C 1.1M 2M 5mm</v>
          </cell>
          <cell r="F994">
            <v>22</v>
          </cell>
        </row>
        <row r="995">
          <cell r="B995" t="str">
            <v>F-2026-01-314</v>
          </cell>
          <cell r="C995" t="str">
            <v>BDB-000010</v>
          </cell>
          <cell r="D995" t="str">
            <v>PVN-003437</v>
          </cell>
          <cell r="E995" t="str">
            <v>OrthoLite Regular AIR BLUE/16-4134TPX Flat Sheet 0.11D 25+/-4 Asker C 1.1M 2M 10.5mm</v>
          </cell>
          <cell r="F995">
            <v>6</v>
          </cell>
        </row>
        <row r="996">
          <cell r="B996" t="str">
            <v>F-2026-01-341</v>
          </cell>
          <cell r="C996" t="str">
            <v>BDB-000039</v>
          </cell>
          <cell r="D996" t="str">
            <v>PVN-002019</v>
          </cell>
          <cell r="E996" t="str">
            <v>OrthoLite Regular NEUTRAL GRAY/17-4402TPX 0.11D 25+/-4 Asker C 1.1M 2M 13mm</v>
          </cell>
          <cell r="F996">
            <v>15</v>
          </cell>
        </row>
        <row r="997">
          <cell r="B997" t="str">
            <v>F-2026-01-350</v>
          </cell>
          <cell r="C997" t="str">
            <v>BDB-000058</v>
          </cell>
          <cell r="D997" t="str">
            <v>PVN-001277</v>
          </cell>
          <cell r="E997" t="str">
            <v>OrthoLite Ultra GREEN/16-5932TPX Flat Sheet 0.085D 25+/-4 Asker C 1.1M 2M 4mm</v>
          </cell>
          <cell r="F997">
            <v>2</v>
          </cell>
        </row>
        <row r="998">
          <cell r="B998" t="str">
            <v>F-2026-01-367</v>
          </cell>
          <cell r="C998" t="str">
            <v>BDB-000149</v>
          </cell>
          <cell r="D998" t="str">
            <v>PVN-002773</v>
          </cell>
          <cell r="E998" t="str">
            <v>OrthoLite Regular-Hybrid-Nike SEEDPEARL/12-0703TPX Hybrid Flat Sheet 0.11D 25+/-4 Asker C 1.1M 2M 4mm</v>
          </cell>
          <cell r="F998">
            <v>7</v>
          </cell>
        </row>
        <row r="999">
          <cell r="B999" t="str">
            <v>F-2026-01-370</v>
          </cell>
          <cell r="C999" t="str">
            <v>BDB-000113</v>
          </cell>
          <cell r="D999" t="str">
            <v>PVN-002699</v>
          </cell>
          <cell r="E999" t="str">
            <v>OrthoLite Regular-Hybrid SEEDPEARL/12-0703TPX Hybrid Flat Sheet 0.11D 25+/-4 Asker C 1.1M 2M 4.5mm</v>
          </cell>
          <cell r="F999">
            <v>13</v>
          </cell>
        </row>
        <row r="1000">
          <cell r="B1000" t="str">
            <v>F-2026-01-415</v>
          </cell>
          <cell r="C1000" t="str">
            <v>BDB-000175</v>
          </cell>
          <cell r="D1000" t="str">
            <v>PVN-002875</v>
          </cell>
          <cell r="E1000" t="str">
            <v>OrthoLite Ultra-Hybrid-Nike SEEDPEARL/12-0703TPX Hybrid 0.085D 25+/-4 Asker C 1.1M 2M 3mm</v>
          </cell>
          <cell r="F1000">
            <v>6</v>
          </cell>
        </row>
        <row r="1001">
          <cell r="B1001" t="str">
            <v>F-2026-01-427</v>
          </cell>
          <cell r="C1001" t="str">
            <v>BDB-000157</v>
          </cell>
          <cell r="D1001" t="str">
            <v>PVN-003244</v>
          </cell>
          <cell r="E1001" t="str">
            <v>OrthoLite X-35-Hybrid-Nike SEEDPEARL/12-0703TPX Hybrid 0.145D 25+/-4 Asker C 1.1M 2M 5.2mm</v>
          </cell>
          <cell r="F1001">
            <v>20</v>
          </cell>
        </row>
        <row r="1002">
          <cell r="B1002" t="str">
            <v>F-2026-01-442</v>
          </cell>
          <cell r="C1002" t="str">
            <v>BDB-000123</v>
          </cell>
          <cell r="D1002" t="str">
            <v>PVN-003300</v>
          </cell>
          <cell r="E1002" t="str">
            <v>OrthoLite Ultra-Hybrid SEEDPEARL/12-0703TPX Hybrid Flat Sheet 0.085D 25+/-4 Asker C 1.1M 2M 2mm</v>
          </cell>
          <cell r="F1002">
            <v>14</v>
          </cell>
        </row>
        <row r="1003">
          <cell r="B1003" t="str">
            <v>F-2026-01-453</v>
          </cell>
          <cell r="C1003" t="str">
            <v>BDB-000149</v>
          </cell>
          <cell r="D1003" t="str">
            <v>PVN-002773</v>
          </cell>
          <cell r="E1003" t="str">
            <v>OrthoLite Regular-Hybrid-Nike SEEDPEARL/12-0703TPX Hybrid Flat Sheet 0.11D 25+/-4 Asker C 1.1M 2M 4mm</v>
          </cell>
          <cell r="F1003">
            <v>16</v>
          </cell>
        </row>
        <row r="1004">
          <cell r="B1004" t="str">
            <v>F-2026-01-458</v>
          </cell>
          <cell r="C1004" t="str">
            <v>BDB-000058</v>
          </cell>
          <cell r="D1004" t="str">
            <v>PVN-001319</v>
          </cell>
          <cell r="E1004" t="str">
            <v>OrthoLite Ultra GREEN/16-5932TPX Flat Sheet 0.085D 25+/-4 Asker C 1.1M 2M 5mm</v>
          </cell>
          <cell r="F1004">
            <v>59</v>
          </cell>
        </row>
        <row r="1005">
          <cell r="B1005" t="str">
            <v>F-2026-01-464</v>
          </cell>
          <cell r="C1005" t="str">
            <v>BDB-000200</v>
          </cell>
          <cell r="D1005" t="str">
            <v>PVN-003425</v>
          </cell>
          <cell r="E1005" t="str">
            <v>OrthoLite Ultra SEEDPEARL/12-0703TPX Flat Sheet 0.085D 78-90 Asker F 1.1M 2M 4mm</v>
          </cell>
          <cell r="F1005">
            <v>5</v>
          </cell>
        </row>
        <row r="1006">
          <cell r="B1006" t="str">
            <v>F-2026-01-473</v>
          </cell>
          <cell r="C1006" t="str">
            <v>BDB-000149</v>
          </cell>
          <cell r="D1006" t="str">
            <v>PVN-002773</v>
          </cell>
          <cell r="E1006" t="str">
            <v>OrthoLite Regular-Hybrid-Nike SEEDPEARL/12-0703TPX Hybrid Flat Sheet 0.11D 25+/-4 Asker C 1.1M 2M 4mm</v>
          </cell>
          <cell r="F1006">
            <v>2</v>
          </cell>
        </row>
        <row r="1007">
          <cell r="B1007" t="str">
            <v>F-2026-01-474</v>
          </cell>
          <cell r="C1007" t="str">
            <v>BDB-000076</v>
          </cell>
          <cell r="D1007" t="str">
            <v>PVN-003494</v>
          </cell>
          <cell r="E1007" t="str">
            <v>OrthoLite X-25 BILLIARD/16-5427TPX Flat Sheet 0.12D 20+/-4 Asker C 1.1M 2M 5.5mm</v>
          </cell>
          <cell r="F1007">
            <v>1</v>
          </cell>
        </row>
        <row r="1008">
          <cell r="B1008" t="str">
            <v>F-2026-01-54</v>
          </cell>
          <cell r="C1008" t="str">
            <v>BDB-000346</v>
          </cell>
          <cell r="D1008" t="str">
            <v>PVN-004188</v>
          </cell>
          <cell r="E1008" t="str">
            <v>OrthoLite Float NEUTRAL GRAY/17-4402TPX Flat Sheet 0.12D 21+/-4 Asker C 1.1M 1.47M 5.5mm</v>
          </cell>
          <cell r="F1008">
            <v>25</v>
          </cell>
        </row>
        <row r="1009">
          <cell r="B1009" t="str">
            <v>F-2026-01-61</v>
          </cell>
          <cell r="C1009" t="str">
            <v>BDB-000123</v>
          </cell>
          <cell r="D1009" t="str">
            <v>PVN-003298</v>
          </cell>
          <cell r="E1009" t="str">
            <v>OrthoLite Ultra-Hybrid SEEDPEARL/12-0703TPX Hybrid 0.085D 25+/-4 Asker C 1.1M 2M 4mm</v>
          </cell>
          <cell r="F1009">
            <v>12</v>
          </cell>
        </row>
        <row r="1010">
          <cell r="B1010" t="str">
            <v>OIN-2026.01.21-01</v>
          </cell>
          <cell r="C1010" t="str">
            <v>BDB-000123</v>
          </cell>
          <cell r="D1010" t="str">
            <v>PVN-003784</v>
          </cell>
          <cell r="E1010" t="str">
            <v xml:space="preserve">[116-311] Ultra Hybrid 25+/-4 Asker C 0.085D Seedpearl 12-0703 Tpx 1.10M X 2.00M 47mm </v>
          </cell>
          <cell r="F1010">
            <v>80</v>
          </cell>
        </row>
        <row r="1011">
          <cell r="B1011" t="str">
            <v xml:space="preserve">bù sản xuất </v>
          </cell>
          <cell r="C1011" t="str">
            <v>BDB-000154</v>
          </cell>
          <cell r="D1011" t="str">
            <v>PVN-003347</v>
          </cell>
          <cell r="E1011" t="str">
            <v>OrthoLite X-40-Nike TRUE BLUE/19-4057TPX Flat Sheet 0.16D 35+/-4 Asker C 1.1M 1.7M 4mm</v>
          </cell>
          <cell r="F1011">
            <v>9</v>
          </cell>
        </row>
        <row r="1012">
          <cell r="B1012" t="str">
            <v>F-2025-12-315</v>
          </cell>
          <cell r="C1012" t="str">
            <v>BDB-000347</v>
          </cell>
          <cell r="D1012" t="str">
            <v>PVN-004192</v>
          </cell>
          <cell r="E1012" t="str">
            <v>OrthoLite X-55-Hybrid SEEDPEARL/12-0703TPX Hybrid 0.16D 25+/-4 Asker C 1.1M 2M 12mm</v>
          </cell>
          <cell r="F1012">
            <v>3</v>
          </cell>
        </row>
        <row r="1013">
          <cell r="B1013" t="str">
            <v>F-2025-12-644</v>
          </cell>
          <cell r="C1013" t="str">
            <v>BDB-000180</v>
          </cell>
          <cell r="D1013" t="str">
            <v>PVN-003236</v>
          </cell>
          <cell r="E1013" t="str">
            <v>OrthoLite Eco LT-Hybrid-Converse SEEDPEARL/12-0703TPX Hybrid 0.13D 25+/-4 Asker C 1.1M 2M 5mm</v>
          </cell>
          <cell r="F1013">
            <v>2</v>
          </cell>
        </row>
        <row r="1014">
          <cell r="B1014" t="str">
            <v>F-2025-12-70</v>
          </cell>
          <cell r="C1014" t="str">
            <v>BDB-000123</v>
          </cell>
          <cell r="D1014" t="str">
            <v>PVN-002973</v>
          </cell>
          <cell r="E1014" t="str">
            <v>OrthoLite Ultra-Hybrid SEEDPEARL/12-0703TPX Hybrid 0.085D 25+/-4 Asker C 1.1M 2M 4.5mm</v>
          </cell>
          <cell r="F1014">
            <v>30</v>
          </cell>
        </row>
        <row r="1015">
          <cell r="B1015" t="str">
            <v>F-2026-01-15</v>
          </cell>
          <cell r="C1015" t="str">
            <v>BDB-000097</v>
          </cell>
          <cell r="D1015" t="str">
            <v>PVN-002478</v>
          </cell>
          <cell r="E1015" t="str">
            <v>OrthoLite Eco LT-Hybrid SEEDPEARL/12-0703TPX Hybrid Flat Sheet 0.11D 25+/-4 Asker C 1.1M 2M 4mm</v>
          </cell>
          <cell r="F1015">
            <v>10</v>
          </cell>
        </row>
        <row r="1016">
          <cell r="B1016" t="str">
            <v>F-2026-01-182</v>
          </cell>
          <cell r="C1016" t="str">
            <v>BDB-000217</v>
          </cell>
          <cell r="D1016" t="str">
            <v>PVN-003539</v>
          </cell>
          <cell r="E1016" t="str">
            <v>OrthoLite X-40-Hybrid SEEDPEARL/12-0703TPX Hybrid Flat Sheet 0.16D 35+/-4 Asker C 1.1M 1.7M 6.2mm</v>
          </cell>
          <cell r="F1016">
            <v>104</v>
          </cell>
        </row>
        <row r="1017">
          <cell r="B1017" t="str">
            <v>F-2026-01-193</v>
          </cell>
          <cell r="C1017" t="str">
            <v>BDB-000209</v>
          </cell>
          <cell r="D1017" t="str">
            <v>PVN-003537</v>
          </cell>
          <cell r="E1017" t="str">
            <v>OrthoLite HybridPlus-Recycled MINT GREEN/11-4805TPX Hybrid Flat Sheet 0.12D 25+/-4 Asker C 1.1M 2M 4.5mm</v>
          </cell>
          <cell r="F1017">
            <v>6</v>
          </cell>
        </row>
        <row r="1018">
          <cell r="B1018" t="str">
            <v>F-2026-01-194</v>
          </cell>
          <cell r="C1018" t="str">
            <v>BDB-000209</v>
          </cell>
          <cell r="D1018" t="str">
            <v>PVN-003537</v>
          </cell>
          <cell r="E1018" t="str">
            <v>OrthoLite HybridPlus-Recycled MINT GREEN/11-4805TPX Hybrid Flat Sheet 0.12D 25+/-4 Asker C 1.1M 2M 4.5mm</v>
          </cell>
          <cell r="F1018">
            <v>114</v>
          </cell>
        </row>
        <row r="1019">
          <cell r="B1019" t="str">
            <v>F-2026-01-206</v>
          </cell>
          <cell r="C1019" t="str">
            <v>BDB-000209</v>
          </cell>
          <cell r="D1019" t="str">
            <v>PVN-003537</v>
          </cell>
          <cell r="E1019" t="str">
            <v>OrthoLite HybridPlus-Recycled MINT GREEN/11-4805TPX Hybrid Flat Sheet 0.12D 25+/-4 Asker C 1.1M 2M 4.5mm</v>
          </cell>
          <cell r="F1019">
            <v>2</v>
          </cell>
        </row>
        <row r="1020">
          <cell r="B1020" t="str">
            <v>F-2026-01-212-1</v>
          </cell>
          <cell r="C1020" t="str">
            <v>BDB-000181</v>
          </cell>
          <cell r="D1020" t="str">
            <v>PVN-003238</v>
          </cell>
          <cell r="E1020" t="str">
            <v>OrthoLite Eco LT-Hybrid-Converse SEEDPEARL/12-0703TPX Hybrid Flat Sheet 0.11D 25+/-4 Asker C 1.1M 2M 5mm</v>
          </cell>
          <cell r="F1020">
            <v>81</v>
          </cell>
        </row>
        <row r="1021">
          <cell r="B1021" t="str">
            <v>F-2026-01-220</v>
          </cell>
          <cell r="C1021" t="str">
            <v>BDB-000126</v>
          </cell>
          <cell r="D1021" t="str">
            <v>PVN-002325</v>
          </cell>
          <cell r="E1021" t="str">
            <v>OrthoLite Regular-Nike RED/19-1764TPX Flat Sheet 0.11D 25+/-4 Asker C 1.1M 2M 5.2mm</v>
          </cell>
          <cell r="F1021">
            <v>8</v>
          </cell>
        </row>
        <row r="1022">
          <cell r="B1022" t="str">
            <v>F-2026-01-251</v>
          </cell>
          <cell r="C1022" t="str">
            <v>BDB-000123</v>
          </cell>
          <cell r="D1022" t="str">
            <v>PVN-003298</v>
          </cell>
          <cell r="E1022" t="str">
            <v>OrthoLite Ultra-Hybrid SEEDPEARL/12-0703TPX Hybrid Flat Sheet 0.085D 25+/-4 Asker C 1.1M 2M 4mm</v>
          </cell>
          <cell r="F1022">
            <v>5</v>
          </cell>
        </row>
        <row r="1023">
          <cell r="B1023" t="str">
            <v>F-2026-01-252</v>
          </cell>
          <cell r="C1023" t="str">
            <v>BDB-000209</v>
          </cell>
          <cell r="D1023" t="str">
            <v>PVN-003537</v>
          </cell>
          <cell r="E1023" t="str">
            <v>OrthoLite HybridPlus-Recycled MINT GREEN/11-4805TPX Hybrid Flat Sheet 0.12D 25+/-4 Asker C 1.1M 2M 4.5mm</v>
          </cell>
          <cell r="F1023">
            <v>2</v>
          </cell>
        </row>
        <row r="1024">
          <cell r="B1024" t="str">
            <v>F-2026-01-255</v>
          </cell>
          <cell r="C1024" t="str">
            <v>BDB-000255</v>
          </cell>
          <cell r="D1024" t="str">
            <v>PVN-003730</v>
          </cell>
          <cell r="E1024" t="str">
            <v>OrthoLite Regular GREY/17-1501TPX Flat Sheet 0.15D 45+/-4 Asker C 1.1M 1.7M 2mm</v>
          </cell>
          <cell r="F1024">
            <v>11</v>
          </cell>
        </row>
        <row r="1025">
          <cell r="B1025" t="str">
            <v>F-2026-01-256</v>
          </cell>
          <cell r="C1025" t="str">
            <v>BDB-000217</v>
          </cell>
          <cell r="D1025" t="str">
            <v>PVN-003733</v>
          </cell>
          <cell r="E1025" t="str">
            <v>OrthoLite X-40-Hybrid SEEDPEARL/12-0703TPX Hybrid Flat Sheet 0.16D 35+/-4 Asker C 1.1M 1.7M 12.5mm</v>
          </cell>
          <cell r="F1025">
            <v>26</v>
          </cell>
        </row>
        <row r="1026">
          <cell r="B1026" t="str">
            <v>F-2026-01-267</v>
          </cell>
          <cell r="C1026" t="str">
            <v>BDB-000209</v>
          </cell>
          <cell r="D1026" t="str">
            <v>PVN-003462</v>
          </cell>
          <cell r="E1026" t="str">
            <v>OrthoLite HybridPlus-Recycled MINT GREEN/11-4805TPX Hybrid Flat Sheet 0.12D 25+/-4 Asker C 1.1M 2M 12mm</v>
          </cell>
          <cell r="F1026">
            <v>2</v>
          </cell>
        </row>
        <row r="1027">
          <cell r="B1027" t="str">
            <v>F-2026-01-269</v>
          </cell>
          <cell r="C1027" t="str">
            <v>BDB-000217</v>
          </cell>
          <cell r="D1027" t="str">
            <v>PVN-003483</v>
          </cell>
          <cell r="E1027" t="str">
            <v>OrthoLite X-40-Hybrid SEEDPEARL/12-0703TPX Hybrid Flat Sheet 0.16D 35+/-4 Asker C 1.1M 1.7M 12mm</v>
          </cell>
          <cell r="F1027">
            <v>15</v>
          </cell>
        </row>
        <row r="1028">
          <cell r="B1028" t="str">
            <v>F-2026-01-270</v>
          </cell>
          <cell r="C1028" t="str">
            <v>BDB-000347</v>
          </cell>
          <cell r="D1028" t="str">
            <v>PVN-004194</v>
          </cell>
          <cell r="E1028" t="str">
            <v>OrthoLite X-55-Hybrid SEEDPEARL/12-0703TPX Hybrid Flat Sheet 0.16D 25+/-4 Asker C 1.1M 2M 5.5mm</v>
          </cell>
          <cell r="F1028">
            <v>4</v>
          </cell>
        </row>
        <row r="1029">
          <cell r="B1029" t="str">
            <v>F-2026-01-271</v>
          </cell>
          <cell r="C1029" t="str">
            <v>BDB-000117</v>
          </cell>
          <cell r="D1029" t="str">
            <v>PVN-003148</v>
          </cell>
          <cell r="E1029" t="str">
            <v>OrthoLite X-35-Hybrid SEEDPEARL/12-0703TPX Hybrid Flat Sheet 0.145D 25+/-4 Asker C 1.1M 2M 4.5mm</v>
          </cell>
          <cell r="F1029">
            <v>12</v>
          </cell>
        </row>
        <row r="1030">
          <cell r="B1030" t="str">
            <v>F-2026-01-273</v>
          </cell>
          <cell r="C1030" t="str">
            <v>BDB-000235</v>
          </cell>
          <cell r="D1030" t="str">
            <v>PVN-003576</v>
          </cell>
          <cell r="E1030" t="str">
            <v>OrthoLite X-55-Hybrid FOSSIL/17-0909TPX Hybrid Flat Sheet 0.16D 25+/-4 Asker C 1.1M 1.7M 12mm</v>
          </cell>
          <cell r="F1030">
            <v>15</v>
          </cell>
        </row>
        <row r="1031">
          <cell r="B1031" t="str">
            <v>F-2026-01-279</v>
          </cell>
          <cell r="C1031" t="str">
            <v>BDB-000011</v>
          </cell>
          <cell r="D1031" t="str">
            <v>PVN-000184</v>
          </cell>
          <cell r="E1031" t="str">
            <v>OrthoLite Regular AIR BLUE/16-4134TPX Flat Sheet 0.13D 35+/-4 Asker C 1.1M 2M 14mm</v>
          </cell>
          <cell r="F1031">
            <v>1</v>
          </cell>
        </row>
        <row r="1032">
          <cell r="B1032" t="str">
            <v>F-2026-01-285</v>
          </cell>
          <cell r="C1032" t="str">
            <v>BDB-000217</v>
          </cell>
          <cell r="D1032" t="str">
            <v>PVN-003733</v>
          </cell>
          <cell r="E1032" t="str">
            <v>OrthoLite X-40-Hybrid SEEDPEARL/12-0703TPX Hybrid Flat Sheet 0.16D 35+/-4 Asker C 1.1M 1.7M 12.5mm</v>
          </cell>
          <cell r="F1032">
            <v>3</v>
          </cell>
        </row>
        <row r="1033">
          <cell r="B1033" t="str">
            <v>F-2026-01-286</v>
          </cell>
          <cell r="C1033" t="str">
            <v>BDB-000181</v>
          </cell>
          <cell r="D1033" t="str">
            <v>PVN-003238</v>
          </cell>
          <cell r="E1033" t="str">
            <v>OrthoLite Eco LT-Hybrid-Converse SEEDPEARL/12-0703TPX Hybrid Flat Sheet 0.11D 25+/-4 Asker C 1.1M 2M 5mm</v>
          </cell>
          <cell r="F1033">
            <v>3</v>
          </cell>
        </row>
        <row r="1034">
          <cell r="B1034" t="str">
            <v>F-2026-01-289</v>
          </cell>
          <cell r="C1034" t="str">
            <v>BDB-000113</v>
          </cell>
          <cell r="D1034" t="str">
            <v>PVN-003796</v>
          </cell>
          <cell r="E1034" t="str">
            <v>OrthoLite Regular-Hybrid SEEDPEARL/12-0703TPX Hybrid Flat Sheet 0.11D 25+/-4 Asker C 1.1M 2M 3.5mm</v>
          </cell>
          <cell r="F1034">
            <v>4</v>
          </cell>
        </row>
        <row r="1035">
          <cell r="B1035" t="str">
            <v>F-2026-01-290</v>
          </cell>
          <cell r="C1035" t="str">
            <v>BDB-000212</v>
          </cell>
          <cell r="D1035" t="str">
            <v>PVN-004055</v>
          </cell>
          <cell r="E1035" t="str">
            <v>OrthoLite X-25-Hybrid SEEDPEARL/12-0703TPX Hybrid Flat Sheet 0.12D 20+/-4 Asker C 1.1M 2M 9mm</v>
          </cell>
          <cell r="F1035">
            <v>2</v>
          </cell>
        </row>
        <row r="1036">
          <cell r="B1036" t="str">
            <v>F-2026-01-300</v>
          </cell>
          <cell r="C1036" t="str">
            <v>BDB-000113</v>
          </cell>
          <cell r="D1036" t="str">
            <v>PVN-002501</v>
          </cell>
          <cell r="E1036" t="str">
            <v>OrthoLite Regular-Hybrid SEEDPEARL/12-0703TPX Hybrid Flat Sheet 0.11D 25+/-4 Asker C 1.1M 2M 2mm</v>
          </cell>
          <cell r="F1036">
            <v>32</v>
          </cell>
        </row>
        <row r="1037">
          <cell r="B1037" t="str">
            <v>F-2026-01-308</v>
          </cell>
          <cell r="C1037" t="str">
            <v>BDB-000113</v>
          </cell>
          <cell r="D1037" t="str">
            <v>PVN-002465</v>
          </cell>
          <cell r="E1037" t="str">
            <v>OrthoLite Regular-Hybrid SEEDPEARL/12-0703TPX Hybrid Flat Sheet 0.11D 25+/-4 Asker C 1.1M 2M 5mm</v>
          </cell>
          <cell r="F1037">
            <v>58</v>
          </cell>
        </row>
        <row r="1038">
          <cell r="B1038" t="str">
            <v>F-2026-01-310</v>
          </cell>
          <cell r="C1038" t="str">
            <v>BDB-000209</v>
          </cell>
          <cell r="D1038" t="str">
            <v>PVN-003537</v>
          </cell>
          <cell r="E1038" t="str">
            <v>OrthoLite HybridPlus-Recycled MINT GREEN/11-4805TPX Hybrid Flat Sheet 0.12D 25+/-4 Asker C 1.1M 2M 4.5mm</v>
          </cell>
          <cell r="F1038">
            <v>15</v>
          </cell>
        </row>
        <row r="1039">
          <cell r="B1039" t="str">
            <v>F-2026-01-318</v>
          </cell>
          <cell r="C1039" t="str">
            <v>BDB-000212</v>
          </cell>
          <cell r="D1039" t="str">
            <v>PVN-003458</v>
          </cell>
          <cell r="E1039" t="str">
            <v>OrthoLite X-25-Hybrid SEEDPEARL/12-0703TPX Hybrid Flat Sheet 0.12D 20+/-4 Asker C 1.1M 2M 4mm</v>
          </cell>
          <cell r="F1039">
            <v>16</v>
          </cell>
        </row>
        <row r="1040">
          <cell r="B1040" t="str">
            <v>F-2026-01-345</v>
          </cell>
          <cell r="C1040" t="str">
            <v>BDB-000011</v>
          </cell>
          <cell r="D1040" t="str">
            <v>PVN-000258</v>
          </cell>
          <cell r="E1040" t="str">
            <v>OrthoLite Regular AIR BLUE/16-4134TPX Flat Sheet 0.13D 35+/-4 Asker C 1.1M 2M 2.5mm</v>
          </cell>
          <cell r="F1040">
            <v>6</v>
          </cell>
        </row>
        <row r="1041">
          <cell r="B1041" t="str">
            <v>F-2026-01-353</v>
          </cell>
          <cell r="C1041" t="str">
            <v>BDB-000123</v>
          </cell>
          <cell r="D1041" t="str">
            <v>PVN-003300</v>
          </cell>
          <cell r="E1041" t="str">
            <v>OrthoLite Ultra-Hybrid SEEDPEARL/12-0703TPX Hybrid Flat Sheet 0.085D 25+/-4 Asker C 1.1M 2M 2mm</v>
          </cell>
          <cell r="F1041">
            <v>2</v>
          </cell>
        </row>
        <row r="1042">
          <cell r="B1042" t="str">
            <v>F-2026-01-360</v>
          </cell>
          <cell r="C1042" t="str">
            <v>BDB-000113</v>
          </cell>
          <cell r="D1042" t="str">
            <v>PVN-002465</v>
          </cell>
          <cell r="E1042" t="str">
            <v>OrthoLite Regular-Hybrid SEEDPEARL/12-0703TPX Hybrid Flat Sheet 0.11D 25+/-4 Asker C 1.1M 2M 5mm</v>
          </cell>
          <cell r="F1042">
            <v>33</v>
          </cell>
        </row>
        <row r="1043">
          <cell r="B1043" t="str">
            <v>F-2026-01-361</v>
          </cell>
          <cell r="C1043" t="str">
            <v>BDB-000209</v>
          </cell>
          <cell r="D1043" t="str">
            <v>PVN-003537</v>
          </cell>
          <cell r="E1043" t="str">
            <v>OrthoLite HybridPlus-Recycled MINT GREEN/11-4805TPX Hybrid Flat Sheet 0.12D 25+/-4 Asker C 1.1M 2M 4.5mm</v>
          </cell>
          <cell r="F1043">
            <v>12</v>
          </cell>
        </row>
        <row r="1044">
          <cell r="B1044" t="str">
            <v>F-2026-01-403</v>
          </cell>
          <cell r="C1044" t="str">
            <v>BDB-000164</v>
          </cell>
          <cell r="D1044" t="str">
            <v>PVN-001618</v>
          </cell>
          <cell r="E1044" t="str">
            <v>OrthoLite Ultra-Nike GREY/17-1501TPX 0.085D 25+/-4 Asker C 1.1M 2M 4mm</v>
          </cell>
          <cell r="F1044">
            <v>18</v>
          </cell>
        </row>
        <row r="1045">
          <cell r="B1045" t="str">
            <v>F-2026-01-440</v>
          </cell>
          <cell r="C1045" t="str">
            <v>BDB-000011</v>
          </cell>
          <cell r="D1045" t="str">
            <v>PVN-000258</v>
          </cell>
          <cell r="E1045" t="str">
            <v>OrthoLite Regular AIR BLUE/16-4134TPX Flat Sheet 0.13D 35+/-4 Asker C 1.1M 2M 2.5mm</v>
          </cell>
          <cell r="F1045">
            <v>14</v>
          </cell>
        </row>
        <row r="1046">
          <cell r="B1046" t="str">
            <v>F-2026-01-442</v>
          </cell>
          <cell r="C1046" t="str">
            <v>BDB-000123</v>
          </cell>
          <cell r="D1046" t="str">
            <v>PVN-003300</v>
          </cell>
          <cell r="E1046" t="str">
            <v>OrthoLite Ultra-Hybrid SEEDPEARL/12-0703TPX Hybrid Flat Sheet 0.085D 25+/-4 Asker C 1.1M 2M 2mm</v>
          </cell>
          <cell r="F1046">
            <v>3</v>
          </cell>
        </row>
        <row r="1047">
          <cell r="B1047" t="str">
            <v>F-2026-01-447</v>
          </cell>
          <cell r="C1047" t="str">
            <v>BDB-000209</v>
          </cell>
          <cell r="D1047" t="str">
            <v>PVN-003537</v>
          </cell>
          <cell r="E1047" t="str">
            <v>OrthoLite HybridPlus-Recycled MINT GREEN/11-4805TPX Hybrid Flat Sheet 0.12D 25+/-4 Asker C 1.1M 2M 4.5mm</v>
          </cell>
          <cell r="F1047">
            <v>2</v>
          </cell>
        </row>
        <row r="1048">
          <cell r="B1048" t="str">
            <v>F-2026-01-468</v>
          </cell>
          <cell r="C1048" t="str">
            <v>BDB-000117</v>
          </cell>
          <cell r="D1048" t="str">
            <v>PVN-003148</v>
          </cell>
          <cell r="E1048" t="str">
            <v>OrthoLite X-35-Hybrid SEEDPEARL/12-0703TPX Hybrid Flat Sheet 0.145D 25+/-4 Asker C 1.1M 2M 4.5mm</v>
          </cell>
          <cell r="F1048">
            <v>2</v>
          </cell>
        </row>
        <row r="1049">
          <cell r="B1049" t="str">
            <v>F-2026-01-84</v>
          </cell>
          <cell r="C1049" t="str">
            <v>BDB-000113</v>
          </cell>
          <cell r="D1049" t="str">
            <v>PVN-003414</v>
          </cell>
          <cell r="E1049" t="str">
            <v>OrthoLite Regular-Hybrid SEEDPEARL/12-0703TPX Hybrid Flat Sheet 0.11D 25+/-4 Asker C 1.1M 2M 12mm</v>
          </cell>
          <cell r="F1049">
            <v>18</v>
          </cell>
        </row>
        <row r="1050">
          <cell r="B1050" t="str">
            <v>L-2026-02-20</v>
          </cell>
          <cell r="C1050" t="str">
            <v>BDB-000097</v>
          </cell>
          <cell r="D1050" t="str">
            <v>PVN-002893</v>
          </cell>
          <cell r="E1050" t="str">
            <v>OrthoLite Eco LT-Hybrid SEEDPEARL/12-0703TPX Hybrid 0.11D 25+/-4 Asker C 1.1M 2M 12mm</v>
          </cell>
          <cell r="F1050">
            <v>1</v>
          </cell>
        </row>
        <row r="1051">
          <cell r="B1051" t="str">
            <v>L-2026-02-21</v>
          </cell>
          <cell r="C1051" t="str">
            <v>BDB-000097</v>
          </cell>
          <cell r="D1051" t="str">
            <v>PVN-002478</v>
          </cell>
          <cell r="E1051" t="str">
            <v>OrthoLite Eco LT-Hybrid SEEDPEARL/12-0703TPX Hybrid Flat Sheet 0.11D 25+/-4 Asker C 1.1M 2M 4mm</v>
          </cell>
          <cell r="F1051">
            <v>1</v>
          </cell>
        </row>
        <row r="1052">
          <cell r="B1052" t="str">
            <v>OIN-2026.01.21-01</v>
          </cell>
          <cell r="C1052" t="str">
            <v>BDB-000123</v>
          </cell>
          <cell r="D1052" t="str">
            <v>PVN-003784</v>
          </cell>
          <cell r="E1052" t="str">
            <v xml:space="preserve">[116-311] Ultra Hybrid 25+/-4 Asker C 0.085D Seedpearl 12-0703 Tpx 1.10M X 2.00M 47mm </v>
          </cell>
          <cell r="F1052">
            <v>38</v>
          </cell>
        </row>
        <row r="1053">
          <cell r="B1053" t="str">
            <v>S-2026-01-82</v>
          </cell>
          <cell r="C1053" t="str">
            <v>BDB-000149</v>
          </cell>
          <cell r="D1053" t="str">
            <v>PVN-002773</v>
          </cell>
          <cell r="E1053" t="str">
            <v>OrthoLite Regular-Hybrid-Nike SEEDPEARL/12-0703TPX Hybrid 0.11D 25+/-4 Asker C 1.1M 2M 4mm</v>
          </cell>
          <cell r="F1053">
            <v>1</v>
          </cell>
        </row>
        <row r="1054">
          <cell r="B1054" t="str">
            <v>S-2026-01-94</v>
          </cell>
          <cell r="C1054" t="str">
            <v>BDB-000011</v>
          </cell>
          <cell r="D1054" t="str">
            <v>PVN-000258</v>
          </cell>
          <cell r="E1054" t="str">
            <v>OrthoLite Regular AIR BLUE/16-4134TPX Flat Sheet 0.13D 35+/-4 Asker C 1.1M 2M 2.5mm</v>
          </cell>
          <cell r="F1054">
            <v>1</v>
          </cell>
        </row>
        <row r="1055">
          <cell r="B1055" t="str">
            <v>S-2026-01-96</v>
          </cell>
          <cell r="C1055" t="str">
            <v>BDB-000011</v>
          </cell>
          <cell r="D1055" t="str">
            <v>PVN-000126</v>
          </cell>
          <cell r="E1055" t="str">
            <v>OrthoLite Regular AIR BLUE/16-4134TPX Flat Sheet 0.13D 35+/-4 Asker C 1.1M 2M 4mm</v>
          </cell>
          <cell r="F1055">
            <v>1</v>
          </cell>
        </row>
        <row r="1056">
          <cell r="B1056" t="str">
            <v>S-2026-01-97</v>
          </cell>
          <cell r="C1056" t="str">
            <v>BDB-000011</v>
          </cell>
          <cell r="D1056" t="str">
            <v>PVN-003965</v>
          </cell>
          <cell r="E1056" t="str">
            <v>OrthoLite Regular AIR BLUE/16-4134TPX Flat Sheet 0.13D 35+/-4 Asker C 1.1M 2M 2mm</v>
          </cell>
          <cell r="F1056">
            <v>1</v>
          </cell>
        </row>
        <row r="1057">
          <cell r="B1057" t="str">
            <v>S-2026-02-01</v>
          </cell>
          <cell r="C1057" t="str">
            <v>BDB-000016</v>
          </cell>
          <cell r="D1057" t="str">
            <v>PVN-001814</v>
          </cell>
          <cell r="E1057" t="str">
            <v>OrthoLite Regular GREEN/16-5932TPX Flat Sheet 0.13D 35+/-4 Asker C 1.1M 2M 3.5mm</v>
          </cell>
          <cell r="F1057">
            <v>2</v>
          </cell>
        </row>
        <row r="1058">
          <cell r="B1058" t="str">
            <v>S-2026-02-02</v>
          </cell>
          <cell r="C1058" t="str">
            <v>BDB-000123</v>
          </cell>
          <cell r="D1058" t="str">
            <v>PVN-003299</v>
          </cell>
          <cell r="E1058" t="str">
            <v>OrthoLite Ultra-Hybrid SEEDPEARL/12-0703TPX Hybrid Flat Sheet 0.085D 25+/-4 Asker C 1.1M 2M 3mm</v>
          </cell>
          <cell r="F1058">
            <v>9</v>
          </cell>
        </row>
        <row r="1059">
          <cell r="B1059" t="str">
            <v>F-2025-10-229</v>
          </cell>
          <cell r="C1059" t="str">
            <v>BDB-000160</v>
          </cell>
          <cell r="D1059" t="str">
            <v>PVN-001562</v>
          </cell>
          <cell r="E1059" t="str">
            <v>OrthoLite Ultra-Nike LIME GREEN/14-0452TPX 0.085D 25+/-4 Asker C 1.1M 2M 4mm</v>
          </cell>
          <cell r="F1059">
            <v>72</v>
          </cell>
        </row>
        <row r="1060">
          <cell r="B1060" t="str">
            <v>F-2025-12-34-2</v>
          </cell>
          <cell r="C1060" t="str">
            <v>BDB-000156</v>
          </cell>
          <cell r="D1060" t="str">
            <v>PVN-003243</v>
          </cell>
          <cell r="E1060" t="str">
            <v>OrthoLite X-35-Hybrid-Nike AMAZON/18-6024TPX Hybrid 0.145D 25+/-4 Asker C 1.1M 2M 5.2mm</v>
          </cell>
          <cell r="F1060">
            <v>20</v>
          </cell>
        </row>
        <row r="1061">
          <cell r="B1061" t="str">
            <v>F-2025-12-409</v>
          </cell>
          <cell r="C1061" t="str">
            <v>BDB-000163</v>
          </cell>
          <cell r="D1061" t="str">
            <v>PVN-001556</v>
          </cell>
          <cell r="E1061" t="str">
            <v>OrthoLite Ultra-Nike YELLOW/13-0858TPX 0.085D 25+/-4 Asker C 1.1M 2M 4mm</v>
          </cell>
          <cell r="F1061">
            <v>43</v>
          </cell>
        </row>
        <row r="1062">
          <cell r="B1062" t="str">
            <v>F-2025-12-423</v>
          </cell>
          <cell r="C1062" t="str">
            <v>BDB-000162</v>
          </cell>
          <cell r="D1062" t="str">
            <v>PVN-001566</v>
          </cell>
          <cell r="E1062" t="str">
            <v>OrthoLite Ultra-Nike SEEDPEARL/12-0703TPX 0.085D 25+/-4 Asker C 1.1M 2M 4mm</v>
          </cell>
          <cell r="F1062">
            <v>30</v>
          </cell>
        </row>
        <row r="1063">
          <cell r="B1063" t="str">
            <v>F-2025-12-523</v>
          </cell>
          <cell r="C1063" t="str">
            <v>BDB-000123</v>
          </cell>
          <cell r="D1063" t="str">
            <v>PVN-003299</v>
          </cell>
          <cell r="E1063" t="str">
            <v>OrthoLite Ultra-Hybrid SEEDPEARL/12-0703TPX Hybrid 0.085D 25+/-4 Asker C 1.1M 2M 3mm</v>
          </cell>
          <cell r="F1063">
            <v>153</v>
          </cell>
        </row>
        <row r="1064">
          <cell r="B1064" t="str">
            <v>F-2026-01-194</v>
          </cell>
          <cell r="C1064" t="str">
            <v>BDB-000209</v>
          </cell>
          <cell r="D1064" t="str">
            <v>PVN-003537</v>
          </cell>
          <cell r="E1064" t="str">
            <v>OrthoLite HybridPlus-Recycled MINT GREEN/11-4805TPX Hybrid Flat Sheet 0.12D 25+/-4 Asker C 1.1M 2M 4.5mm</v>
          </cell>
          <cell r="F1064">
            <v>6</v>
          </cell>
        </row>
        <row r="1065">
          <cell r="B1065" t="str">
            <v>F-2026-01-223</v>
          </cell>
          <cell r="C1065" t="str">
            <v>BDB-000329</v>
          </cell>
          <cell r="D1065" t="str">
            <v>PVN-004140</v>
          </cell>
          <cell r="E1065" t="str">
            <v>OrthoLite Ultra YELLOW/13-0858TPX Flat Sheet 0.095D 33+/-4 Asker C 1.1M 2M 4.5mm</v>
          </cell>
          <cell r="F1065">
            <v>2</v>
          </cell>
        </row>
        <row r="1066">
          <cell r="B1066" t="str">
            <v>F-2026-01-256</v>
          </cell>
          <cell r="C1066" t="str">
            <v>BDB-000217</v>
          </cell>
          <cell r="D1066" t="str">
            <v>PVN-003733</v>
          </cell>
          <cell r="E1066" t="str">
            <v>OrthoLite X-40-Hybrid SEEDPEARL/12-0703TPX Hybrid Flat Sheet 0.16D 35+/-4 Asker C 1.1M 1.7M 12.5mm</v>
          </cell>
          <cell r="F1066">
            <v>30</v>
          </cell>
        </row>
        <row r="1067">
          <cell r="B1067" t="str">
            <v>F-2026-01-259</v>
          </cell>
          <cell r="C1067" t="str">
            <v>BDB-000083</v>
          </cell>
          <cell r="D1067" t="str">
            <v>PVN-000935</v>
          </cell>
          <cell r="E1067" t="str">
            <v>OrthoLite Eco LT 300C(ADIDAS BLUEBIRD) Flat Sheet 0.11D 25+/-4 Asker C 1.1M 2M 4mm</v>
          </cell>
          <cell r="F1067">
            <v>2</v>
          </cell>
        </row>
        <row r="1068">
          <cell r="B1068" t="str">
            <v>F-2026-01-260</v>
          </cell>
          <cell r="C1068" t="str">
            <v>BDB-000084</v>
          </cell>
          <cell r="D1068" t="str">
            <v>PVN-001111</v>
          </cell>
          <cell r="E1068" t="str">
            <v>OrthoLite Eco LT YELLOW/13-0858TPX 0.11D 25+/-4 Asker C 1.1M 2M 4mm</v>
          </cell>
          <cell r="F1068">
            <v>4</v>
          </cell>
        </row>
        <row r="1069">
          <cell r="B1069" t="str">
            <v>F-2026-01-263</v>
          </cell>
          <cell r="C1069" t="str">
            <v>BDB-000123</v>
          </cell>
          <cell r="D1069" t="str">
            <v>PVN-003315</v>
          </cell>
          <cell r="E1069" t="str">
            <v>OrthoLite Ultra-Hybrid SEEDPEARL/12-0703TPX Hybrid 0.085D 25+/-4 Asker C 1.1M 2M 3.5mm</v>
          </cell>
          <cell r="F1069">
            <v>1</v>
          </cell>
        </row>
        <row r="1070">
          <cell r="B1070" t="str">
            <v>F-2026-01-265</v>
          </cell>
          <cell r="C1070" t="str">
            <v>BDB-000348</v>
          </cell>
          <cell r="D1070" t="str">
            <v>PVN-004210</v>
          </cell>
          <cell r="E1070" t="str">
            <v>OrthoLite IMPERIAL SEEDPEARL/12-0703TPX Flat Sheet 0.22D 25+/-4 Asker C 1.1M 1.47M 5mm</v>
          </cell>
          <cell r="F1070">
            <v>33</v>
          </cell>
        </row>
        <row r="1071">
          <cell r="B1071" t="str">
            <v>F-2026-01-276</v>
          </cell>
          <cell r="C1071" t="str">
            <v>BDB-000055</v>
          </cell>
          <cell r="D1071" t="str">
            <v>PVN-004155</v>
          </cell>
          <cell r="E1071" t="str">
            <v>OrthoLite X-40 TRUE BLUE/19-4057TPX Flat Sheet 0.16D 35+/-4 Asker C 1.1M 1.7M 3.2mm</v>
          </cell>
          <cell r="F1071">
            <v>4</v>
          </cell>
        </row>
        <row r="1072">
          <cell r="B1072" t="str">
            <v>F-2026-01-278</v>
          </cell>
          <cell r="C1072" t="str">
            <v>BDB-000242</v>
          </cell>
          <cell r="D1072" t="str">
            <v>PVN-003614</v>
          </cell>
          <cell r="E1072" t="str">
            <v>OrthoLite Regular GREY/17-1501TPX Flat Sheet 0.11D 5-10 Asker C 1.1M 2M 3.5mm</v>
          </cell>
          <cell r="F1072">
            <v>5</v>
          </cell>
        </row>
        <row r="1073">
          <cell r="B1073" t="str">
            <v>F-2026-01-291</v>
          </cell>
          <cell r="C1073" t="str">
            <v>BDB-000011</v>
          </cell>
          <cell r="D1073" t="str">
            <v>PVN-000242</v>
          </cell>
          <cell r="E1073" t="str">
            <v>OrthoLite Regular AIR BLUE/16-4134TPX Flat Sheet 0.13D 35+/-4 Asker C 1.1M 2M 2mm</v>
          </cell>
          <cell r="F1073">
            <v>17</v>
          </cell>
        </row>
        <row r="1074">
          <cell r="B1074" t="str">
            <v>F-2026-01-294</v>
          </cell>
          <cell r="C1074" t="str">
            <v>BDB-000011</v>
          </cell>
          <cell r="D1074" t="str">
            <v>PVN-000258</v>
          </cell>
          <cell r="E1074" t="str">
            <v>OrthoLite Regular AIR BLUE/16-4134TPX Flat Sheet 0.13D 35+/-4 Asker C 1.1M 2M 2.5mm</v>
          </cell>
          <cell r="F1074">
            <v>39</v>
          </cell>
        </row>
        <row r="1075">
          <cell r="B1075" t="str">
            <v>F-2026-01-301</v>
          </cell>
          <cell r="C1075" t="str">
            <v>BDB-000123</v>
          </cell>
          <cell r="D1075" t="str">
            <v>PVN-003315</v>
          </cell>
          <cell r="E1075" t="str">
            <v>OrthoLite Ultra-Hybrid SEEDPEARL/12-0703TPX Hybrid 0.085D 25+/-4 Asker C 1.1M 2M 3.5mm</v>
          </cell>
          <cell r="F1075">
            <v>1</v>
          </cell>
        </row>
        <row r="1076">
          <cell r="B1076" t="str">
            <v>F-2026-01-306</v>
          </cell>
          <cell r="C1076" t="str">
            <v>BDB-000209</v>
          </cell>
          <cell r="D1076" t="str">
            <v>PVN-003462</v>
          </cell>
          <cell r="E1076" t="str">
            <v>OrthoLite HybridPlus-Recycled MINT GREEN/11-4805TPX Hybrid Flat Sheet 0.12D 25+/-4 Asker C 1.1M 2M 12mm</v>
          </cell>
          <cell r="F1076">
            <v>26</v>
          </cell>
        </row>
        <row r="1077">
          <cell r="B1077" t="str">
            <v>F-2026-01-313</v>
          </cell>
          <cell r="C1077" t="str">
            <v>BDB-000234</v>
          </cell>
          <cell r="D1077" t="str">
            <v>PVN-003581</v>
          </cell>
          <cell r="E1077" t="str">
            <v>OrthoLite X-30-Hybrid BROWN SUGAR/17-1134TPX Hybrid Flat Sheet 0.13D 25+/-4 Asker C 1.1M 2M 12mm</v>
          </cell>
          <cell r="F1077">
            <v>22</v>
          </cell>
        </row>
        <row r="1078">
          <cell r="B1078" t="str">
            <v>F-2026-01-319</v>
          </cell>
          <cell r="C1078" t="str">
            <v>BDB-000008</v>
          </cell>
          <cell r="D1078" t="str">
            <v>PVN-000505</v>
          </cell>
          <cell r="E1078" t="str">
            <v>OrthoLite Regular LIME GREEN/14-0452TPX Flat Sheet 0.11D 25+/-4 Asker C 1.1M 2M 12mm</v>
          </cell>
          <cell r="F1078">
            <v>6</v>
          </cell>
        </row>
        <row r="1079">
          <cell r="B1079" t="str">
            <v>F-2026-01-325</v>
          </cell>
          <cell r="C1079" t="str">
            <v>BDB-000123</v>
          </cell>
          <cell r="D1079" t="str">
            <v>PVN-003298</v>
          </cell>
          <cell r="E1079" t="str">
            <v>OrthoLite Ultra-Hybrid SEEDPEARL/12-0703TPX Hybrid 0.085D 25+/-4 Asker C 1.1M 2M 4mm</v>
          </cell>
          <cell r="F1079">
            <v>200</v>
          </cell>
        </row>
        <row r="1080">
          <cell r="B1080" t="str">
            <v>F-2026-01-347</v>
          </cell>
          <cell r="C1080" t="str">
            <v>BDB-000083</v>
          </cell>
          <cell r="D1080" t="str">
            <v>PVN-000935</v>
          </cell>
          <cell r="E1080" t="str">
            <v>OrthoLite Eco LT 300C(ADIDAS BLUEBIRD) Flat Sheet 0.11D 25+/-4 Asker C 1.1M 2M 4mm</v>
          </cell>
          <cell r="F1080">
            <v>1</v>
          </cell>
        </row>
        <row r="1081">
          <cell r="B1081" t="str">
            <v>F-2026-01-354</v>
          </cell>
          <cell r="C1081" t="str">
            <v>BDB-000123</v>
          </cell>
          <cell r="D1081" t="str">
            <v>PVN-003315</v>
          </cell>
          <cell r="E1081" t="str">
            <v>OrthoLite Ultra-Hybrid SEEDPEARL/12-0703TPX Hybrid 0.085D 25+/-4 Asker C 1.1M 2M 3.5mm</v>
          </cell>
          <cell r="F1081">
            <v>1</v>
          </cell>
        </row>
        <row r="1082">
          <cell r="B1082" t="str">
            <v>F-2026-01-371</v>
          </cell>
          <cell r="C1082" t="str">
            <v>BDB-000008</v>
          </cell>
          <cell r="D1082" t="str">
            <v>PVN-000505</v>
          </cell>
          <cell r="E1082" t="str">
            <v>OrthoLite Regular LIME GREEN/14-0452TPX Flat Sheet 0.11D 25+/-4 Asker C 1.1M 2M 12mm</v>
          </cell>
          <cell r="F1082">
            <v>44</v>
          </cell>
        </row>
        <row r="1083">
          <cell r="B1083" t="str">
            <v>F-2026-01-441</v>
          </cell>
          <cell r="C1083" t="str">
            <v>BDB-000083</v>
          </cell>
          <cell r="D1083" t="str">
            <v>PVN-000930</v>
          </cell>
          <cell r="E1083" t="str">
            <v>OrthoLite Eco LT 300C(ADIDAS BLUEBIRD) Flat Sheet 0.11D 25+/-4 Asker C 1.1M 2M 3mm</v>
          </cell>
          <cell r="F1083">
            <v>3</v>
          </cell>
        </row>
        <row r="1084">
          <cell r="B1084" t="str">
            <v>F-2026-01-463</v>
          </cell>
          <cell r="C1084" t="str">
            <v>BDB-000154</v>
          </cell>
          <cell r="D1084" t="str">
            <v>PVN-003347</v>
          </cell>
          <cell r="E1084" t="str">
            <v>OrthoLite X-40-Nike TRUE BLUE/19-4057TPX Flat Sheet 0.16D 35+/-4 Asker C 1.1M 1.7M 4mm</v>
          </cell>
          <cell r="F1084">
            <v>9</v>
          </cell>
        </row>
        <row r="1085">
          <cell r="B1085" t="str">
            <v>F-2026-01-523-1</v>
          </cell>
          <cell r="C1085" t="str">
            <v>BDB-000052</v>
          </cell>
          <cell r="D1085" t="str">
            <v>PVN-003603</v>
          </cell>
          <cell r="E1085" t="str">
            <v>OrthoLite X-40 TRUE BLUE/19-4057TPX Flat Sheet 0.16D 25+/-4 Asker C 1.1M 1.47M 12mm</v>
          </cell>
          <cell r="F1085">
            <v>53</v>
          </cell>
        </row>
        <row r="1086">
          <cell r="B1086" t="str">
            <v>S-2026-01-80</v>
          </cell>
          <cell r="C1086" t="str">
            <v>BDB-000055</v>
          </cell>
          <cell r="D1086" t="str">
            <v>PVN-003326</v>
          </cell>
          <cell r="E1086" t="str">
            <v>OrthoLite X-40 TRUE BLUE/19-4057TPX Flat Sheet 0.16D 35+/-4 Asker C 1.1M 1.7M 14mm</v>
          </cell>
          <cell r="F1086">
            <v>6</v>
          </cell>
        </row>
        <row r="1087">
          <cell r="B1087" t="str">
            <v>S-2026-01-81</v>
          </cell>
          <cell r="C1087" t="str">
            <v>BDB-000221</v>
          </cell>
          <cell r="D1087" t="str">
            <v>PVN-004053</v>
          </cell>
          <cell r="E1087" t="str">
            <v>OrthoLite X-40-Hybrid-Nike SEEDPEARL/12-0703TPX Hybrid Flat Sheet 0.16D 25+/-4 Asker C 1.1M 1.7M 6mm</v>
          </cell>
          <cell r="F1087">
            <v>3</v>
          </cell>
        </row>
        <row r="1088">
          <cell r="B1088" t="str">
            <v>F-2026-01-296</v>
          </cell>
          <cell r="C1088" t="str">
            <v>BDB-000058</v>
          </cell>
          <cell r="D1088" t="str">
            <v>PVN-001277</v>
          </cell>
          <cell r="E1088" t="str">
            <v>OrthoLite Ultra GREEN/16-5932TPX Flat Sheet 0.085D 25+/-4 Asker C 1.1M 2M 4mm</v>
          </cell>
          <cell r="F1088">
            <v>5</v>
          </cell>
        </row>
        <row r="1089">
          <cell r="B1089" t="str">
            <v>F-2025-12-404</v>
          </cell>
          <cell r="C1089" t="str">
            <v>BDB-000175</v>
          </cell>
          <cell r="D1089" t="str">
            <v>PVN-002966</v>
          </cell>
          <cell r="E1089" t="str">
            <v>OrthoLite Ultra-Hybrid-Nike SEEDPEARL/12-0703TPX Hybrid 0.085D 25+/-4 Asker C 1.1M 2M 4mm</v>
          </cell>
          <cell r="F1089">
            <v>100</v>
          </cell>
        </row>
        <row r="1090">
          <cell r="B1090" t="str">
            <v>F-2025-12-423</v>
          </cell>
          <cell r="C1090" t="str">
            <v>BDB-000162</v>
          </cell>
          <cell r="D1090" t="str">
            <v>PVN-001566</v>
          </cell>
          <cell r="E1090" t="str">
            <v>OrthoLite Ultra-Nike SEEDPEARL/12-0703TPX 0.085D 25+/-4 Asker C 1.1M 2M 4mm</v>
          </cell>
          <cell r="F1090">
            <v>2</v>
          </cell>
        </row>
        <row r="1091">
          <cell r="B1091" t="str">
            <v>F-2025-12-433</v>
          </cell>
          <cell r="C1091" t="str">
            <v>BDB-000123</v>
          </cell>
          <cell r="D1091" t="str">
            <v>PVN-002539</v>
          </cell>
          <cell r="E1091" t="str">
            <v>OrthoLite Ultra-Hybrid SEEDPEARL/12-0703TPX Hybrid Flat Sheet 0.085D 25+/-4 Asker C 1.1M 2M 5mm</v>
          </cell>
          <cell r="F1091">
            <v>11</v>
          </cell>
        </row>
        <row r="1092">
          <cell r="B1092" t="str">
            <v>F-2025-12-523</v>
          </cell>
          <cell r="C1092" t="str">
            <v>BDB-000123</v>
          </cell>
          <cell r="D1092" t="str">
            <v>PVN-003299</v>
          </cell>
          <cell r="E1092" t="str">
            <v>OrthoLite Ultra-Hybrid SEEDPEARL/12-0703TPX Hybrid 0.085D 25+/-4 Asker C 1.1M 2M 3mm</v>
          </cell>
          <cell r="F1092">
            <v>8</v>
          </cell>
        </row>
        <row r="1093">
          <cell r="B1093" t="str">
            <v>F-2025-12-562</v>
          </cell>
          <cell r="C1093" t="str">
            <v>BDB-000076</v>
          </cell>
          <cell r="D1093" t="str">
            <v>PVN-003745</v>
          </cell>
          <cell r="E1093" t="str">
            <v>OrthoLite X-25 BILLIARD/16-5427TPX Flat Sheet 0.12D 20+/-4 Asker C 1.1M 2M 16mm</v>
          </cell>
          <cell r="F1093">
            <v>39</v>
          </cell>
        </row>
        <row r="1094">
          <cell r="B1094" t="str">
            <v>F-2026-01-128</v>
          </cell>
          <cell r="C1094" t="str">
            <v>BDB-000123</v>
          </cell>
          <cell r="D1094" t="str">
            <v>PVN-002539</v>
          </cell>
          <cell r="E1094" t="str">
            <v>OrthoLite Ultra-Hybrid SEEDPEARL/12-0703TPX Hybrid Flat Sheet 0.085D 25+/-4 Asker C 1.1M 2M 5mm</v>
          </cell>
          <cell r="F1094">
            <v>3</v>
          </cell>
        </row>
        <row r="1095">
          <cell r="B1095" t="str">
            <v>F-2026-01-150</v>
          </cell>
          <cell r="C1095" t="str">
            <v>BDB-000123</v>
          </cell>
          <cell r="D1095" t="str">
            <v>PVN-002539</v>
          </cell>
          <cell r="E1095" t="str">
            <v>OrthoLite Ultra-Hybrid SEEDPEARL/12-0703TPX Hybrid Flat Sheet 0.085D 25+/-4 Asker C 1.1M 2M 5mm</v>
          </cell>
          <cell r="F1095">
            <v>24</v>
          </cell>
        </row>
        <row r="1096">
          <cell r="B1096" t="str">
            <v>F-2026-01-162</v>
          </cell>
          <cell r="C1096" t="str">
            <v>BDB-000123</v>
          </cell>
          <cell r="D1096" t="str">
            <v>PVN-002539</v>
          </cell>
          <cell r="E1096" t="str">
            <v>OrthoLite Ultra-Hybrid SEEDPEARL/12-0703TPX Hybrid Flat Sheet 0.085D 25+/-4 Asker C 1.1M 2M 5mm</v>
          </cell>
          <cell r="F1096">
            <v>1</v>
          </cell>
        </row>
        <row r="1097">
          <cell r="B1097" t="str">
            <v>F-2026-01-228</v>
          </cell>
          <cell r="C1097" t="str">
            <v>BDB-000347</v>
          </cell>
          <cell r="D1097" t="str">
            <v>PVN-004192</v>
          </cell>
          <cell r="E1097" t="str">
            <v>OrthoLite X-55-Hybrid SEEDPEARL/12-0703TPX Hybrid 0.16D 25+/-4 Asker C 1.1M 2M 12mm</v>
          </cell>
          <cell r="F1097">
            <v>69</v>
          </cell>
        </row>
        <row r="1098">
          <cell r="B1098" t="str">
            <v>F-2026-01-257</v>
          </cell>
          <cell r="C1098" t="str">
            <v>BDB-000282</v>
          </cell>
          <cell r="D1098" t="str">
            <v>PVN-003834</v>
          </cell>
          <cell r="E1098" t="str">
            <v>OrthoLite X-40-Hybrid SEEDPEARL/12-0703TPX Hybrid Flat Sheet 0.16D 35+/-4 Asker C 1.1M 2M 12.5mm</v>
          </cell>
          <cell r="F1098">
            <v>4</v>
          </cell>
        </row>
        <row r="1099">
          <cell r="B1099" t="str">
            <v>F-2026-01-258</v>
          </cell>
          <cell r="C1099" t="str">
            <v>BDB-000348</v>
          </cell>
          <cell r="D1099" t="str">
            <v>PVN-004195</v>
          </cell>
          <cell r="E1099" t="str">
            <v>OrthoLite IMPERIAL SEEDPEARL/12-0703TPX Flat Sheet 0.22D 25+/-4 Asker C 1.1M 1.47M 4mm</v>
          </cell>
          <cell r="F1099">
            <v>8</v>
          </cell>
        </row>
        <row r="1100">
          <cell r="B1100" t="str">
            <v>F-2026-01-266</v>
          </cell>
          <cell r="C1100" t="str">
            <v>BDB-000067</v>
          </cell>
          <cell r="D1100" t="str">
            <v>PVN-002129</v>
          </cell>
          <cell r="E1100" t="str">
            <v>OrthoLite Ultra SEEDPEARL/12-0703TPX Flat Sheet 0.085D 25+/-4 Asker C 1.1M 2M 6mm</v>
          </cell>
          <cell r="F1100">
            <v>2</v>
          </cell>
        </row>
        <row r="1101">
          <cell r="B1101" t="str">
            <v>F-2026-01-308</v>
          </cell>
          <cell r="C1101" t="str">
            <v>BDB-000113</v>
          </cell>
          <cell r="D1101" t="str">
            <v>PVN-002465</v>
          </cell>
          <cell r="E1101" t="str">
            <v>OrthoLite Regular-Hybrid SEEDPEARL/12-0703TPX Hybrid Flat Sheet 0.11D 25+/-4 Asker C 1.1M 2M 5mm</v>
          </cell>
          <cell r="F1101">
            <v>4</v>
          </cell>
        </row>
        <row r="1102">
          <cell r="B1102" t="str">
            <v>F-2026-01-325</v>
          </cell>
          <cell r="C1102" t="str">
            <v>BDB-000123</v>
          </cell>
          <cell r="D1102" t="str">
            <v>PVN-003298</v>
          </cell>
          <cell r="E1102" t="str">
            <v>OrthoLite Ultra-Hybrid SEEDPEARL/12-0703TPX Hybrid 0.085D 25+/-4 Asker C 1.1M 2M 4mm</v>
          </cell>
          <cell r="F1102">
            <v>18</v>
          </cell>
        </row>
        <row r="1103">
          <cell r="B1103" t="str">
            <v>F-2026-01-326</v>
          </cell>
          <cell r="C1103" t="str">
            <v>BDB-000123</v>
          </cell>
          <cell r="D1103" t="str">
            <v>PVN-003298</v>
          </cell>
          <cell r="E1103" t="str">
            <v>OrthoLite Ultra-Hybrid SEEDPEARL/12-0703TPX Hybrid 0.085D 25+/-4 Asker C 1.1M 2M 4mm</v>
          </cell>
          <cell r="F1103">
            <v>200</v>
          </cell>
        </row>
        <row r="1104">
          <cell r="B1104" t="str">
            <v>F-2026-01-360</v>
          </cell>
          <cell r="C1104" t="str">
            <v>BDB-000113</v>
          </cell>
          <cell r="D1104" t="str">
            <v>PVN-002465</v>
          </cell>
          <cell r="E1104" t="str">
            <v>OrthoLite Regular-Hybrid SEEDPEARL/12-0703TPX Hybrid Flat Sheet 0.11D 25+/-4 Asker C 1.1M 2M 5mm</v>
          </cell>
          <cell r="F1104">
            <v>25</v>
          </cell>
        </row>
        <row r="1105">
          <cell r="B1105" t="str">
            <v>F-2026-01-363</v>
          </cell>
          <cell r="C1105" t="str">
            <v>BDB-000123</v>
          </cell>
          <cell r="D1105" t="str">
            <v>PVN-002884</v>
          </cell>
          <cell r="E1105" t="str">
            <v>OrthoLite Ultra-Hybrid SEEDPEARL/12-0703TPX Hybrid Flat Sheet 0.085D 25+/-4 Asker C 1.1M 2M 10mm</v>
          </cell>
          <cell r="F1105">
            <v>99</v>
          </cell>
        </row>
        <row r="1106">
          <cell r="B1106" t="str">
            <v>F-2026-01-377</v>
          </cell>
          <cell r="C1106" t="str">
            <v>BDB-000313</v>
          </cell>
          <cell r="D1106" t="str">
            <v>PVN-004061</v>
          </cell>
          <cell r="E1106" t="str">
            <v>OrthoLite X-55 RED/19-1764TPX Flat Sheet 0.16D 25+/-4 Asker C 1.1M 1.47M 18mm</v>
          </cell>
          <cell r="F1106">
            <v>13</v>
          </cell>
        </row>
        <row r="1107">
          <cell r="B1107" t="str">
            <v>F-2026-01-379</v>
          </cell>
          <cell r="C1107" t="str">
            <v>BDB-000113</v>
          </cell>
          <cell r="D1107" t="str">
            <v>PVN-003796</v>
          </cell>
          <cell r="E1107" t="str">
            <v>OrthoLite Regular-Hybrid SEEDPEARL/12-0703TPX Hybrid Flat Sheet 0.11D 25+/-4 Asker C 1.1M 2M 3.5mm</v>
          </cell>
          <cell r="F1107">
            <v>1</v>
          </cell>
        </row>
        <row r="1108">
          <cell r="B1108" t="str">
            <v>F-2026-01-469</v>
          </cell>
          <cell r="C1108" t="str">
            <v>BDB-000123</v>
          </cell>
          <cell r="D1108" t="str">
            <v>PVN-002884</v>
          </cell>
          <cell r="E1108" t="str">
            <v>OrthoLite Ultra-Hybrid SEEDPEARL/12-0703TPX Hybrid Flat Sheet 0.085D 25+/-4 Asker C 1.1M 2M 10mm</v>
          </cell>
          <cell r="F1108">
            <v>30</v>
          </cell>
        </row>
        <row r="1109">
          <cell r="B1109" t="str">
            <v>F-2026-01-60</v>
          </cell>
          <cell r="C1109" t="str">
            <v>BDB-000339</v>
          </cell>
          <cell r="D1109" t="str">
            <v>PVN-004178</v>
          </cell>
          <cell r="E1109" t="str">
            <v>OrthoLite Float NEUTRAL GRAY/17-4402TPX Flat Sheet 0.12D 21+/-4 Asker C 1.1M 2M 5.5mm</v>
          </cell>
          <cell r="F1109">
            <v>50</v>
          </cell>
        </row>
        <row r="1110">
          <cell r="B1110" t="str">
            <v>F-2026-02-20</v>
          </cell>
          <cell r="C1110" t="str">
            <v>BDB-000113</v>
          </cell>
          <cell r="D1110" t="str">
            <v>PVN-002699</v>
          </cell>
          <cell r="E1110" t="str">
            <v>OrthoLite Regular-Hybrid SEEDPEARL/12-0703TPX Hybrid Flat Sheet 0.11D 25+/-4 Asker C 1.1M 2M 4.5mm</v>
          </cell>
          <cell r="F1110">
            <v>5</v>
          </cell>
        </row>
        <row r="1111">
          <cell r="B1111" t="str">
            <v>OIN-2026.01.29-01</v>
          </cell>
          <cell r="C1111" t="str">
            <v>BDB-000123</v>
          </cell>
          <cell r="D1111" t="str">
            <v>PVN-003784</v>
          </cell>
          <cell r="E1111" t="str">
            <v xml:space="preserve">[116-311] Ultra Hybrid 25+/-4 Asker C 0.085D Seedpearl 12-0703 Tpx 1.10M X 2.00M 47mm </v>
          </cell>
          <cell r="F1111">
            <v>221</v>
          </cell>
        </row>
        <row r="1112">
          <cell r="B1112" t="str">
            <v>OIN-2026.01.30-01</v>
          </cell>
          <cell r="C1112" t="str">
            <v>BDB-000128</v>
          </cell>
          <cell r="D1112" t="str">
            <v>PVN-004305</v>
          </cell>
          <cell r="E1112" t="str">
            <v>[116-14763] Regular Nike 25+/-4 Asker C 0.11D Lime Green 14-0452 Tpx 1.10M X 2.00M 47mm</v>
          </cell>
          <cell r="F1112">
            <v>2</v>
          </cell>
        </row>
        <row r="1113">
          <cell r="B1113" t="str">
            <v>OIN-2026.01.30-02</v>
          </cell>
          <cell r="C1113" t="str">
            <v>BDB-000183</v>
          </cell>
          <cell r="D1113" t="str">
            <v>PVN-004306</v>
          </cell>
          <cell r="E1113" t="str">
            <v>[116-14764] Regular Nike 25+/-4 Asker C 0.11D Seedpearl 12-0703 Tpx 1.10M X 2.00M 47mm</v>
          </cell>
          <cell r="F1113">
            <v>2</v>
          </cell>
        </row>
        <row r="1114">
          <cell r="B1114" t="str">
            <v>F-2026-01-313</v>
          </cell>
          <cell r="C1114" t="str">
            <v>BDB-000234</v>
          </cell>
          <cell r="D1114" t="str">
            <v>PVN-003581</v>
          </cell>
          <cell r="E1114" t="str">
            <v>OrthoLite X-30-Hybrid BROWN SUGAR/17-1134TPX Hybrid Flat Sheet 0.13D 25+/-4 Asker C 1.1M 2M 12mm</v>
          </cell>
          <cell r="F1114">
            <v>25</v>
          </cell>
        </row>
        <row r="1115">
          <cell r="B1115" t="str">
            <v>F-2025-10-229</v>
          </cell>
          <cell r="C1115" t="str">
            <v>BDB-000160</v>
          </cell>
          <cell r="D1115" t="str">
            <v>PVN-001562</v>
          </cell>
          <cell r="E1115" t="str">
            <v>OrthoLite Ultra-Nike LIME GREEN/14-0452TPX 0.085D 25+/-4 Asker C 1.1M 2M 4mm</v>
          </cell>
          <cell r="F1115">
            <v>8</v>
          </cell>
        </row>
        <row r="1116">
          <cell r="B1116" t="str">
            <v>F-2025-12-423</v>
          </cell>
          <cell r="C1116" t="str">
            <v>BDB-000162</v>
          </cell>
          <cell r="D1116" t="str">
            <v>PVN-001566</v>
          </cell>
          <cell r="E1116" t="str">
            <v>OrthoLite Ultra-Nike SEEDPEARL/12-0703TPX 0.085D 25+/-4 Asker C 1.1M 2M 4mm</v>
          </cell>
          <cell r="F1116">
            <v>5</v>
          </cell>
        </row>
        <row r="1117">
          <cell r="B1117" t="str">
            <v>F-2025-12-522</v>
          </cell>
          <cell r="C1117" t="str">
            <v>BDB-000123</v>
          </cell>
          <cell r="D1117" t="str">
            <v>PVN-003299</v>
          </cell>
          <cell r="E1117" t="str">
            <v>OrthoLite Ultra-Hybrid SEEDPEARL/12-0703TPX Hybrid 0.085D 25+/-4 Asker C 1.1M 2M 3mm</v>
          </cell>
          <cell r="F1117">
            <v>153</v>
          </cell>
        </row>
        <row r="1118">
          <cell r="B1118" t="str">
            <v>F-2025-12-537</v>
          </cell>
          <cell r="C1118" t="str">
            <v>BDB-000076</v>
          </cell>
          <cell r="D1118" t="str">
            <v>PVN-003448</v>
          </cell>
          <cell r="E1118" t="str">
            <v>OrthoLite X-25 BILLIARD/16-5427TPX 0.12D 20+/-4 Asker C 1.1M 2M 6.2mm</v>
          </cell>
          <cell r="F1118">
            <v>5</v>
          </cell>
        </row>
        <row r="1119">
          <cell r="B1119" t="str">
            <v>F-2026-01-166</v>
          </cell>
          <cell r="C1119" t="str">
            <v>BDB-000097</v>
          </cell>
          <cell r="D1119" t="str">
            <v>PVN-002478</v>
          </cell>
          <cell r="E1119" t="str">
            <v>OrthoLite Eco LT-Hybrid SEEDPEARL/12-0703TPX Hybrid Flat Sheet 0.11D 25+/-4 Asker C 1.1M 2M 4mm</v>
          </cell>
          <cell r="F1119">
            <v>14</v>
          </cell>
        </row>
        <row r="1120">
          <cell r="B1120" t="str">
            <v>F-2026-01-212-2</v>
          </cell>
          <cell r="C1120" t="str">
            <v>BDB-000181</v>
          </cell>
          <cell r="D1120" t="str">
            <v>PVN-003238</v>
          </cell>
          <cell r="E1120" t="str">
            <v>OrthoLite Eco LT-Hybrid-Converse SEEDPEARL/12-0703TPX Hybrid Flat Sheet 0.11D 25+/-4 Asker C 1.1M 2M 5mm</v>
          </cell>
          <cell r="F1120">
            <v>72</v>
          </cell>
        </row>
        <row r="1121">
          <cell r="B1121" t="str">
            <v>F-2026-01-216</v>
          </cell>
          <cell r="C1121" t="str">
            <v>BDB-000180</v>
          </cell>
          <cell r="D1121" t="str">
            <v>PVN-003236</v>
          </cell>
          <cell r="E1121" t="str">
            <v>OrthoLite Eco LT-Hybrid-Converse SEEDPEARL/12-0703TPX Hybrid Flat Sheet 0.13D 25+/-4 Asker C 1.1M 2M 5mm</v>
          </cell>
          <cell r="F1121">
            <v>73</v>
          </cell>
        </row>
        <row r="1122">
          <cell r="B1122" t="str">
            <v>F-2026-01-227</v>
          </cell>
          <cell r="C1122" t="str">
            <v>BDB-000004</v>
          </cell>
          <cell r="D1122" t="str">
            <v>PVN-000445</v>
          </cell>
          <cell r="E1122" t="str">
            <v>OrthoLite Regular GREY/17-1501TPX 0.11D 25+/-4 Asker C 1.1M 2M 13mm</v>
          </cell>
          <cell r="F1122">
            <v>8</v>
          </cell>
        </row>
        <row r="1123">
          <cell r="B1123" t="str">
            <v>F-2026-01-228</v>
          </cell>
          <cell r="C1123" t="str">
            <v>BDB-000347</v>
          </cell>
          <cell r="D1123" t="str">
            <v>PVN-004192</v>
          </cell>
          <cell r="E1123" t="str">
            <v>OrthoLite X-55-Hybrid SEEDPEARL/12-0703TPX Hybrid 0.16D 25+/-4 Asker C 1.1M 2M 12mm</v>
          </cell>
          <cell r="F1123">
            <v>50</v>
          </cell>
        </row>
        <row r="1124">
          <cell r="B1124" t="str">
            <v>F-2026-01-228</v>
          </cell>
          <cell r="C1124" t="str">
            <v>BDB-000347</v>
          </cell>
          <cell r="D1124" t="str">
            <v>PVN-004192</v>
          </cell>
          <cell r="E1124" t="str">
            <v>OrthoLite X-55-Hybrid SEEDPEARL/12-0703TPX Hybrid 0.16D 25+/-4 Asker C 1.1M 2M 12mm</v>
          </cell>
          <cell r="F1124">
            <v>2</v>
          </cell>
        </row>
        <row r="1125">
          <cell r="B1125" t="str">
            <v>F-2026-01-245</v>
          </cell>
          <cell r="C1125" t="str">
            <v>BDB-000097</v>
          </cell>
          <cell r="D1125" t="str">
            <v>PVN-002478</v>
          </cell>
          <cell r="E1125" t="str">
            <v>OrthoLite Eco LT-Hybrid SEEDPEARL/12-0703TPX Hybrid 0.11D 25+/-4 Asker C 1.1M 2M 4mm</v>
          </cell>
          <cell r="F1125">
            <v>100</v>
          </cell>
        </row>
        <row r="1126">
          <cell r="B1126" t="str">
            <v>F-2026-01-265</v>
          </cell>
          <cell r="C1126" t="str">
            <v>BDB-000348</v>
          </cell>
          <cell r="D1126" t="str">
            <v>PVN-004210</v>
          </cell>
          <cell r="E1126" t="str">
            <v>OrthoLite IMPERIAL SEEDPEARL/12-0703TPX Flat Sheet 0.22D 25+/-4 Asker C 1.1M 1.47M 5mm</v>
          </cell>
          <cell r="F1126">
            <v>5</v>
          </cell>
        </row>
        <row r="1127">
          <cell r="B1127" t="str">
            <v>F-2026-01-293</v>
          </cell>
          <cell r="C1127" t="str">
            <v>BDB-000010</v>
          </cell>
          <cell r="D1127" t="str">
            <v>PVN-000101</v>
          </cell>
          <cell r="E1127" t="str">
            <v>OrthoLite Regular AIR BLUE/16-4134TPX Flat Sheet 0.11D 25+/-4 Asker C 1.1M 2M 3mm</v>
          </cell>
          <cell r="F1127">
            <v>3</v>
          </cell>
        </row>
        <row r="1128">
          <cell r="B1128" t="str">
            <v>F-2026-01-294</v>
          </cell>
          <cell r="C1128" t="str">
            <v>BDB-000011</v>
          </cell>
          <cell r="D1128" t="str">
            <v>PVN-000258</v>
          </cell>
          <cell r="E1128" t="str">
            <v>OrthoLite Regular AIR BLUE/16-4134TPX Flat Sheet 0.13D 35+/-4 Asker C 1.1M 2M 2.5mm</v>
          </cell>
          <cell r="F1128">
            <v>8</v>
          </cell>
        </row>
        <row r="1129">
          <cell r="B1129" t="str">
            <v>F-2026-01-299</v>
          </cell>
          <cell r="C1129" t="str">
            <v>BDB-000033</v>
          </cell>
          <cell r="D1129" t="str">
            <v>PVN-001471</v>
          </cell>
          <cell r="E1129" t="str">
            <v>OrthoLite Regular SEEDPEARL/12-0703TPX 0.13D 35+/-4 Asker C 1.1M 2M 4mm</v>
          </cell>
          <cell r="F1129">
            <v>2</v>
          </cell>
        </row>
        <row r="1130">
          <cell r="B1130" t="str">
            <v>F-2026-01-306</v>
          </cell>
          <cell r="C1130" t="str">
            <v>BDB-000209</v>
          </cell>
          <cell r="D1130" t="str">
            <v>PVN-003462</v>
          </cell>
          <cell r="E1130" t="str">
            <v>OrthoLite HybridPlus-Recycled MINT GREEN/11-4805TPX Hybrid Flat Sheet 0.12D 25+/-4 Asker C 1.1M 2M 12mm</v>
          </cell>
          <cell r="F1130">
            <v>10</v>
          </cell>
        </row>
        <row r="1131">
          <cell r="B1131" t="str">
            <v>F-2026-01-317</v>
          </cell>
          <cell r="C1131" t="str">
            <v>BDB-000055</v>
          </cell>
          <cell r="D1131" t="str">
            <v>PVN-003326</v>
          </cell>
          <cell r="E1131" t="str">
            <v>OrthoLite X-40 TRUE BLUE/19-4057TPX Flat Sheet 0.16D 35+/-4 Asker C 1.1M 1.7M 14mm</v>
          </cell>
          <cell r="F1131">
            <v>63</v>
          </cell>
        </row>
        <row r="1132">
          <cell r="B1132" t="str">
            <v>F-2026-01-323</v>
          </cell>
          <cell r="C1132" t="str">
            <v>BDB-000181</v>
          </cell>
          <cell r="D1132" t="str">
            <v>PVN-003238</v>
          </cell>
          <cell r="E1132" t="str">
            <v>OrthoLite Eco LT-Hybrid-Converse SEEDPEARL/12-0703TPX Hybrid Flat Sheet 0.11D 25+/-4 Asker C 1.1M 2M 5mm</v>
          </cell>
          <cell r="F1132">
            <v>1</v>
          </cell>
        </row>
        <row r="1133">
          <cell r="B1133" t="str">
            <v>F-2026-01-326</v>
          </cell>
          <cell r="C1133" t="str">
            <v>BDB-000123</v>
          </cell>
          <cell r="D1133" t="str">
            <v>PVN-003298</v>
          </cell>
          <cell r="E1133" t="str">
            <v>OrthoLite Ultra-Hybrid SEEDPEARL/12-0703TPX Hybrid 0.085D 25+/-4 Asker C 1.1M 2M 4mm</v>
          </cell>
          <cell r="F1133">
            <v>12</v>
          </cell>
        </row>
        <row r="1134">
          <cell r="B1134" t="str">
            <v>F-2026-01-355</v>
          </cell>
          <cell r="C1134" t="str">
            <v>BDB-000154</v>
          </cell>
          <cell r="D1134" t="str">
            <v>PVN-003347</v>
          </cell>
          <cell r="E1134" t="str">
            <v>OrthoLite X-40-Nike TRUE BLUE/19-4057TPX Flat Sheet 0.16D 35+/-4 Asker C 1.1M 1.7M 4mm</v>
          </cell>
          <cell r="F1134">
            <v>3</v>
          </cell>
        </row>
        <row r="1135">
          <cell r="B1135" t="str">
            <v>F-2026-01-356</v>
          </cell>
          <cell r="C1135" t="str">
            <v>BDB-000200</v>
          </cell>
          <cell r="D1135" t="str">
            <v>PVN-003425</v>
          </cell>
          <cell r="E1135" t="str">
            <v>OrthoLite Ultra SEEDPEARL/12-0703TPX Flat Sheet 0.085D 78-90 Asker F 1.1M 2M 4mm</v>
          </cell>
          <cell r="F1135">
            <v>18</v>
          </cell>
        </row>
        <row r="1136">
          <cell r="B1136" t="str">
            <v>F-2026-01-356</v>
          </cell>
          <cell r="C1136" t="str">
            <v>BDB-000200</v>
          </cell>
          <cell r="D1136" t="str">
            <v>PVN-003425</v>
          </cell>
          <cell r="E1136" t="str">
            <v>OrthoLite Ultra SEEDPEARL/12-0703TPX Flat Sheet 0.085D 78-90 Asker F 1.1M 2M 4mm</v>
          </cell>
          <cell r="F1136">
            <v>5</v>
          </cell>
        </row>
        <row r="1137">
          <cell r="B1137" t="str">
            <v>F-2026-01-363</v>
          </cell>
          <cell r="C1137" t="str">
            <v>BDB-000123</v>
          </cell>
          <cell r="D1137" t="str">
            <v>PVN-002884</v>
          </cell>
          <cell r="E1137" t="str">
            <v>OrthoLite Ultra-Hybrid SEEDPEARL/12-0703TPX Hybrid Flat Sheet 0.085D 25+/-4 Asker C 1.1M 2M 10mm</v>
          </cell>
          <cell r="F1137">
            <v>15</v>
          </cell>
        </row>
        <row r="1138">
          <cell r="B1138" t="str">
            <v>F-2026-01-365</v>
          </cell>
          <cell r="C1138" t="str">
            <v>BDB-000055</v>
          </cell>
          <cell r="D1138" t="str">
            <v>PVN-004155</v>
          </cell>
          <cell r="E1138" t="str">
            <v>OrthoLite X-40 TRUE BLUE/19-4057TPX Flat Sheet 0.16D 35+/-4 Asker C 1.1M 1.7M 3.2mm</v>
          </cell>
          <cell r="F1138">
            <v>7</v>
          </cell>
        </row>
        <row r="1139">
          <cell r="B1139" t="str">
            <v>F-2026-01-460</v>
          </cell>
          <cell r="C1139" t="str">
            <v>BDB-000181</v>
          </cell>
          <cell r="D1139" t="str">
            <v>PVN-003238</v>
          </cell>
          <cell r="E1139" t="str">
            <v>OrthoLite Eco LT-Hybrid-Converse SEEDPEARL/12-0703TPX Hybrid Flat Sheet 0.11D 25+/-4 Asker C 1.1M 2M 5mm</v>
          </cell>
          <cell r="F1139">
            <v>1</v>
          </cell>
        </row>
        <row r="1140">
          <cell r="B1140" t="str">
            <v>F-2026-02-58</v>
          </cell>
          <cell r="C1140" t="str">
            <v>BDB-000113</v>
          </cell>
          <cell r="D1140" t="str">
            <v>PVN-003601</v>
          </cell>
          <cell r="E1140" t="str">
            <v>OrthoLite Regular-Hybrid SEEDPEARL/12-0703TPX Hybrid Flat Sheet 0.11D 25+/-4 Asker C 1.1M 2M 20mm</v>
          </cell>
          <cell r="F1140">
            <v>11</v>
          </cell>
        </row>
        <row r="1141">
          <cell r="B1141" t="str">
            <v>F-2026-02-66</v>
          </cell>
          <cell r="C1141" t="str">
            <v>BDB-000113</v>
          </cell>
          <cell r="D1141" t="str">
            <v>PVN-002699</v>
          </cell>
          <cell r="E1141" t="str">
            <v>OrthoLite Regular-Hybrid SEEDPEARL/12-0703TPX Hybrid Flat Sheet 0.11D 25+/-4 Asker C 1.1M 2M 4.5mm</v>
          </cell>
          <cell r="F1141">
            <v>2</v>
          </cell>
        </row>
        <row r="1142">
          <cell r="B1142" t="str">
            <v>OIN-2026.01.29-01</v>
          </cell>
          <cell r="C1142" t="str">
            <v>BDB-000123</v>
          </cell>
          <cell r="D1142" t="str">
            <v>PVN-003784</v>
          </cell>
          <cell r="E1142" t="str">
            <v xml:space="preserve">[116-311] Ultra Hybrid 25+/-4 Asker C 0.085D Seedpearl 12-0703 Tpx 1.10M X 2.00M 47mm </v>
          </cell>
          <cell r="F1142">
            <v>134</v>
          </cell>
        </row>
        <row r="1143">
          <cell r="B1143" t="str">
            <v>F-2025-12-522</v>
          </cell>
          <cell r="C1143" t="str">
            <v>BDB-000123</v>
          </cell>
          <cell r="D1143" t="str">
            <v>PVN-003299</v>
          </cell>
          <cell r="E1143" t="str">
            <v>OrthoLite Ultra-Hybrid SEEDPEARL/12-0703TPX Hybrid 0.085D 25+/-4 Asker C 1.1M 2M 3mm</v>
          </cell>
          <cell r="F1143">
            <v>5</v>
          </cell>
        </row>
        <row r="1144">
          <cell r="B1144" t="str">
            <v>F-2025-12-528</v>
          </cell>
          <cell r="C1144" t="str">
            <v>BDB-000123</v>
          </cell>
          <cell r="D1144" t="str">
            <v>PVN-003299</v>
          </cell>
          <cell r="E1144" t="str">
            <v>OrthoLite Ultra-Hybrid SEEDPEARL/12-0703TPX Hybrid 0.085D 25+/-4 Asker C 1.1M 2M 3mm</v>
          </cell>
          <cell r="F1144">
            <v>153</v>
          </cell>
        </row>
        <row r="1145">
          <cell r="B1145" t="str">
            <v>F-2025-12-562</v>
          </cell>
          <cell r="C1145" t="str">
            <v>BDB-000076</v>
          </cell>
          <cell r="D1145" t="str">
            <v>PVN-003745</v>
          </cell>
          <cell r="E1145" t="str">
            <v>OrthoLite X-25 BILLIARD/16-5427TPX Flat Sheet 0.12D 20+/-4 Asker C 1.1M 2M 16mm</v>
          </cell>
          <cell r="F1145">
            <v>3</v>
          </cell>
        </row>
        <row r="1146">
          <cell r="B1146" t="str">
            <v>F-2026-01-10</v>
          </cell>
          <cell r="C1146" t="str">
            <v>BDB-000123</v>
          </cell>
          <cell r="D1146" t="str">
            <v>PVN-002539</v>
          </cell>
          <cell r="E1146" t="str">
            <v>OrthoLite Ultra-Hybrid SEEDPEARL/12-0703TPX Hybrid Flat Sheet 0.085D 25+/-4 Asker C 1.1M 2M 5mm</v>
          </cell>
          <cell r="F1146">
            <v>2</v>
          </cell>
        </row>
        <row r="1147">
          <cell r="B1147" t="str">
            <v>F-2026-01-292</v>
          </cell>
          <cell r="C1147" t="str">
            <v>BDB-000348</v>
          </cell>
          <cell r="D1147" t="str">
            <v>PVN-004195</v>
          </cell>
          <cell r="E1147" t="str">
            <v>OrthoLite IMPERIAL SEEDPEARL/12-0703TPX Flat Sheet 0.22D 25+/-4 Asker C 1.1M 1.47M 4mm</v>
          </cell>
          <cell r="F1147">
            <v>40</v>
          </cell>
        </row>
        <row r="1148">
          <cell r="B1148" t="str">
            <v>F-2026-01-295</v>
          </cell>
          <cell r="C1148" t="str">
            <v>BDB-000083</v>
          </cell>
          <cell r="D1148" t="str">
            <v>PVN-000930</v>
          </cell>
          <cell r="E1148" t="str">
            <v>OrthoLite Eco LT 300C(ADIDAS BLUEBIRD) Flat Sheet 0.11D 25+/-4 Asker C 1.1M 2M 3mm</v>
          </cell>
          <cell r="F1148">
            <v>20</v>
          </cell>
        </row>
        <row r="1149">
          <cell r="B1149" t="str">
            <v>F-2026-01-344</v>
          </cell>
          <cell r="C1149" t="str">
            <v>BDB-000348</v>
          </cell>
          <cell r="D1149" t="str">
            <v>PVN-004195</v>
          </cell>
          <cell r="E1149" t="str">
            <v>OrthoLite IMPERIAL SEEDPEARL/12-0703TPX Flat Sheet 0.22D 25+/-4 Asker C 1.1M 1.47M 4mm</v>
          </cell>
          <cell r="F1149">
            <v>3</v>
          </cell>
        </row>
        <row r="1150">
          <cell r="B1150" t="str">
            <v>F-2026-01-346</v>
          </cell>
          <cell r="C1150" t="str">
            <v>BDB-000083</v>
          </cell>
          <cell r="D1150" t="str">
            <v>PVN-000930</v>
          </cell>
          <cell r="E1150" t="str">
            <v>OrthoLite Eco LT 300C(ADIDAS BLUEBIRD) Flat Sheet 0.11D 25+/-4 Asker C 1.1M 2M 3mm</v>
          </cell>
          <cell r="F1150">
            <v>6</v>
          </cell>
        </row>
        <row r="1151">
          <cell r="B1151" t="str">
            <v>F-2026-01-348</v>
          </cell>
          <cell r="C1151" t="str">
            <v>BDB-000085</v>
          </cell>
          <cell r="D1151" t="str">
            <v>PVN-001091</v>
          </cell>
          <cell r="E1151" t="str">
            <v>OrthoLite Eco LT GREY/17-1501TPX Flat Sheet 0.11D 25+/-4 Asker C 1.1M 2M 4mm</v>
          </cell>
          <cell r="F1151">
            <v>3</v>
          </cell>
        </row>
        <row r="1152">
          <cell r="B1152" t="str">
            <v>F-2026-01-349</v>
          </cell>
          <cell r="C1152" t="str">
            <v>BDB-000084</v>
          </cell>
          <cell r="D1152" t="str">
            <v>PVN-001111</v>
          </cell>
          <cell r="E1152" t="str">
            <v>OrthoLite Eco LT YELLOW/13-0858TPX 0.11D 25+/-4 Asker C 1.1M 2M 4mm</v>
          </cell>
          <cell r="F1152">
            <v>1</v>
          </cell>
        </row>
        <row r="1153">
          <cell r="B1153" t="str">
            <v>F-2026-01-368</v>
          </cell>
          <cell r="C1153" t="str">
            <v>BDB-000067</v>
          </cell>
          <cell r="D1153" t="str">
            <v>PVN-001394</v>
          </cell>
          <cell r="E1153" t="str">
            <v>OrthoLite Ultra SEEDPEARL/12-0703TPX Flat Sheet 0.085D 25+/-4 Asker C 1.1M 2M 5mm</v>
          </cell>
          <cell r="F1153">
            <v>1</v>
          </cell>
        </row>
        <row r="1154">
          <cell r="B1154" t="str">
            <v>F-2026-01-369</v>
          </cell>
          <cell r="C1154" t="str">
            <v>BDB-000067</v>
          </cell>
          <cell r="D1154" t="str">
            <v>PVN-003691</v>
          </cell>
          <cell r="E1154" t="str">
            <v>OrthoLite Ultra SEEDPEARL/12-0703TPX Flat Sheet 0.085D 25+/-4 Asker C 1.1M 2M 5.2mm</v>
          </cell>
          <cell r="F1154">
            <v>1</v>
          </cell>
        </row>
        <row r="1155">
          <cell r="B1155" t="str">
            <v>F-2026-01-376</v>
          </cell>
          <cell r="C1155" t="str">
            <v>BDB-000094</v>
          </cell>
          <cell r="D1155" t="str">
            <v>PVN-004255</v>
          </cell>
          <cell r="E1155" t="str">
            <v>OrthoLite Eco LT 300C(ADIDAS BLUEBIRD) Flat Sheet 0.11D 25+/-4 Asker C 1.1M 1.47M 12mm</v>
          </cell>
          <cell r="F1155">
            <v>14</v>
          </cell>
        </row>
        <row r="1156">
          <cell r="B1156" t="str">
            <v>F-2026-01-404</v>
          </cell>
          <cell r="C1156" t="str">
            <v>BDB-000164</v>
          </cell>
          <cell r="D1156" t="str">
            <v>PVN-001618</v>
          </cell>
          <cell r="E1156" t="str">
            <v>OrthoLite Ultra-Nike GREY/17-1501TPX 0.085D 25+/-4 Asker C 1.1M 2M 4mm</v>
          </cell>
          <cell r="F1156">
            <v>15</v>
          </cell>
        </row>
        <row r="1157">
          <cell r="B1157" t="str">
            <v>F-2026-01-60</v>
          </cell>
          <cell r="C1157" t="str">
            <v>BDB-000339</v>
          </cell>
          <cell r="D1157" t="str">
            <v>PVN-004178</v>
          </cell>
          <cell r="E1157" t="str">
            <v>OrthoLite Float NEUTRAL GRAY/17-4402TPX Flat Sheet 0.12D 21+/-4 Asker C 1.1M 2M 5.5mm</v>
          </cell>
          <cell r="F1157">
            <v>6</v>
          </cell>
        </row>
        <row r="1158">
          <cell r="B1158" t="str">
            <v>F-2026-01-83</v>
          </cell>
          <cell r="C1158" t="str">
            <v>BDB-000113</v>
          </cell>
          <cell r="D1158" t="str">
            <v>PVN-003414</v>
          </cell>
          <cell r="E1158" t="str">
            <v>OrthoLite Regular-Hybrid SEEDPEARL/12-0703TPX Hybrid Flat Sheet 0.11D 25+/-4 Asker C 1.1M 2M 12mm</v>
          </cell>
          <cell r="F1158">
            <v>348</v>
          </cell>
        </row>
        <row r="1159">
          <cell r="B1159" t="str">
            <v>F-2026-02-85</v>
          </cell>
          <cell r="C1159" t="str">
            <v>BDB-000313</v>
          </cell>
          <cell r="D1159" t="str">
            <v>PVN-004061</v>
          </cell>
          <cell r="E1159" t="str">
            <v>OrthoLite X-55 RED/19-1764TPX Flat Sheet 0.16D 25+/-4 Asker C 1.1M 1.47M 18mm</v>
          </cell>
          <cell r="F1159">
            <v>24</v>
          </cell>
        </row>
        <row r="1160">
          <cell r="B1160" t="str">
            <v>F-2026-01-212-2</v>
          </cell>
          <cell r="C1160" t="str">
            <v>BDB-000181</v>
          </cell>
          <cell r="D1160" t="str">
            <v>PVN-003238</v>
          </cell>
          <cell r="E1160" t="str">
            <v>OrthoLite Eco LT-Hybrid-Converse SEEDPEARL/12-0703TPX Hybrid Flat Sheet 0.11D 25+/-4 Asker C 1.1M 2M 5mm</v>
          </cell>
          <cell r="F1160">
            <v>4</v>
          </cell>
        </row>
        <row r="1161">
          <cell r="B1161" t="str">
            <v>OIN-2026.01.31-01</v>
          </cell>
          <cell r="C1161" t="str">
            <v>BDB-000123</v>
          </cell>
          <cell r="D1161" t="str">
            <v>PVN-003784</v>
          </cell>
          <cell r="E1161" t="str">
            <v xml:space="preserve">[116-311] Ultra Hybrid 25+/-4 Asker C 0.085D Seedpearl 12-0703 Tpx 1.10M X 2.00M 47mm </v>
          </cell>
          <cell r="F1161">
            <v>132</v>
          </cell>
        </row>
        <row r="1162">
          <cell r="B1162" t="str">
            <v>F-2025-12-41</v>
          </cell>
          <cell r="C1162" t="str">
            <v>BDB-000259</v>
          </cell>
          <cell r="D1162" t="str">
            <v>PVN-003684</v>
          </cell>
          <cell r="E1162" t="str">
            <v>OrthoLite Nike PP002 GLACIER GRAY/14-4102TPX Flat Sheet 0.145D 25+/-4 asker C 1.1M 2M 4.2mm</v>
          </cell>
          <cell r="F1162">
            <v>85</v>
          </cell>
        </row>
        <row r="1163">
          <cell r="B1163" t="str">
            <v>F-2026-01-242</v>
          </cell>
          <cell r="C1163" t="str">
            <v>BDB-000362</v>
          </cell>
          <cell r="D1163" t="str">
            <v>PVN-004259</v>
          </cell>
          <cell r="E1163" t="str">
            <v>OrthoLite X-60-Hybrid SEEDPEARL/12-0703TPX Hybrid Flat Sheet 0.19D 28+/-4 Asker C 1.1M 1.7M 12mm</v>
          </cell>
          <cell r="F1163">
            <v>91</v>
          </cell>
        </row>
        <row r="1164">
          <cell r="B1164" t="str">
            <v>F-2026-01-305</v>
          </cell>
          <cell r="C1164" t="str">
            <v>BDB-000125</v>
          </cell>
          <cell r="D1164" t="str">
            <v>PVN-001579</v>
          </cell>
          <cell r="E1164" t="str">
            <v>OrthoLite Regular-Nike AIR BLUE/16-4134TPX Flat Sheet 0.11D 25+/-4 Asker C 1.1M 2M 4mm</v>
          </cell>
          <cell r="F1164">
            <v>18</v>
          </cell>
        </row>
        <row r="1165">
          <cell r="B1165" t="str">
            <v>F-2026-01-315</v>
          </cell>
          <cell r="C1165" t="str">
            <v>BDB-000242</v>
          </cell>
          <cell r="D1165" t="str">
            <v>PVN-003614</v>
          </cell>
          <cell r="E1165" t="str">
            <v>OrthoLite Regular GREY/17-1501TPX Flat Sheet 0.11D 5-10 Asker C 1.1M 2M 3.5mm</v>
          </cell>
          <cell r="F1165">
            <v>4</v>
          </cell>
        </row>
        <row r="1166">
          <cell r="B1166" t="str">
            <v>F-2026-01-343-1</v>
          </cell>
          <cell r="C1166" t="str">
            <v>BDB-000125</v>
          </cell>
          <cell r="D1166" t="str">
            <v>PVN-002413</v>
          </cell>
          <cell r="E1166" t="str">
            <v>OrthoLite Regular-Nike AIR BLUE/16-4134TPX 0.11D 25+/-4 Asker C 1.1M 2M 4.2mm</v>
          </cell>
          <cell r="F1166">
            <v>27</v>
          </cell>
        </row>
        <row r="1167">
          <cell r="B1167" t="str">
            <v>F-2026-01-359</v>
          </cell>
          <cell r="C1167" t="str">
            <v>BDB-000348</v>
          </cell>
          <cell r="D1167" t="str">
            <v>PVN-004210</v>
          </cell>
          <cell r="E1167" t="str">
            <v>OrthoLite IMPERIAL SEEDPEARL/12-0703TPX Flat Sheet 0.22D 25+/-4 Asker C 1.1M 1.47M 5mm</v>
          </cell>
          <cell r="F1167">
            <v>26</v>
          </cell>
        </row>
        <row r="1168">
          <cell r="B1168" t="str">
            <v>F-2026-01-373</v>
          </cell>
          <cell r="C1168" t="str">
            <v>BDB-000011</v>
          </cell>
          <cell r="D1168" t="str">
            <v>PVN-000121</v>
          </cell>
          <cell r="E1168" t="str">
            <v>OrthoLite Regular AIR BLUE/16-4134TPX Flat Sheet 0.13D 35+/-4 Asker C 1.1M 2M 12mm</v>
          </cell>
          <cell r="F1168">
            <v>32</v>
          </cell>
        </row>
        <row r="1169">
          <cell r="B1169" t="str">
            <v>F-2026-01-380</v>
          </cell>
          <cell r="C1169" t="str">
            <v>BDB-000008</v>
          </cell>
          <cell r="D1169" t="str">
            <v>PVN-000412</v>
          </cell>
          <cell r="E1169" t="str">
            <v>OrthoLite Regular LIME GREEN/14-0452TPX Flat Sheet 0.11D 25+/-4 Asker C 1.1M 2M 5mm</v>
          </cell>
          <cell r="F1169">
            <v>5</v>
          </cell>
        </row>
        <row r="1170">
          <cell r="B1170" t="str">
            <v>F-2026-01-430</v>
          </cell>
          <cell r="C1170" t="str">
            <v>BDB-000218</v>
          </cell>
          <cell r="D1170" t="str">
            <v>PVN-003488</v>
          </cell>
          <cell r="E1170" t="str">
            <v>OrthoLite Ultra-Nike SEEDPEARL/12-0703TPX 0.085D 5-10 Asker C 1.1M 2M 4mm</v>
          </cell>
          <cell r="F1170">
            <v>29</v>
          </cell>
        </row>
        <row r="1171">
          <cell r="B1171" t="str">
            <v>F-2026-01-444</v>
          </cell>
          <cell r="C1171" t="str">
            <v>BDB-000113</v>
          </cell>
          <cell r="D1171" t="str">
            <v>PVN-002465</v>
          </cell>
          <cell r="E1171" t="str">
            <v>OrthoLite Regular-Hybrid SEEDPEARL/12-0703TPX Hybrid Flat Sheet 0.11D 25+/-4 Asker C 1.1M 2M 5mm</v>
          </cell>
          <cell r="F1171">
            <v>108</v>
          </cell>
        </row>
        <row r="1172">
          <cell r="B1172" t="str">
            <v>F-2026-02-102</v>
          </cell>
          <cell r="C1172" t="str">
            <v>BDB-000113</v>
          </cell>
          <cell r="D1172" t="str">
            <v>PVN-003601</v>
          </cell>
          <cell r="E1172" t="str">
            <v>OrthoLite Regular-Hybrid SEEDPEARL/12-0703TPX Hybrid Flat Sheet 0.11D 25+/-4 Asker C 1.1M 2M 20mm</v>
          </cell>
          <cell r="F1172">
            <v>15</v>
          </cell>
        </row>
        <row r="1173">
          <cell r="B1173" t="str">
            <v>OIN-2026.01.31-01</v>
          </cell>
          <cell r="C1173" t="str">
            <v>BDB-000123</v>
          </cell>
          <cell r="D1173" t="str">
            <v>PVN-003784</v>
          </cell>
          <cell r="E1173" t="str">
            <v xml:space="preserve">[116-311] Ultra Hybrid 25+/-4 Asker C 0.085D Seedpearl 12-0703 Tpx 1.10M X 2.00M 47mm </v>
          </cell>
          <cell r="F1173">
            <v>28</v>
          </cell>
        </row>
        <row r="1174">
          <cell r="B1174" t="str">
            <v>S-2026-02-03</v>
          </cell>
          <cell r="C1174" t="str">
            <v>BDB-000149</v>
          </cell>
          <cell r="D1174" t="str">
            <v>PVN-002773</v>
          </cell>
          <cell r="E1174" t="str">
            <v>OrthoLite Regular-Hybrid-Nike SEEDPEARL/12-0703TPX Hybrid 0.11D 25+/-4 Asker C 1.1M 2M 4mm</v>
          </cell>
          <cell r="F1174">
            <v>1</v>
          </cell>
        </row>
        <row r="1175">
          <cell r="B1175" t="str">
            <v>S-2026-02-10</v>
          </cell>
          <cell r="C1175" t="str">
            <v>BDB-000125</v>
          </cell>
          <cell r="D1175" t="str">
            <v>PVN-002413</v>
          </cell>
          <cell r="E1175" t="str">
            <v>OrthoLite Regular-Nike AIR BLUE/16-4134TPX Flat Sheet 0.11D 25+/-4 Asker C 1.1M 2M 4.2mm</v>
          </cell>
          <cell r="F1175">
            <v>4</v>
          </cell>
        </row>
        <row r="1176">
          <cell r="B1176" t="str">
            <v>S-2026-02-13</v>
          </cell>
          <cell r="C1176" t="str">
            <v>BDB-000117</v>
          </cell>
          <cell r="D1176" t="str">
            <v>PVN-003234</v>
          </cell>
          <cell r="E1176" t="str">
            <v>OrthoLite X-35-Hybrid SEEDPEARL/12-0703TPX Hybrid Flat Sheet 0.145D 25+/-4 Asker C 1.1M 2M 5.5mm</v>
          </cell>
          <cell r="F1176">
            <v>2</v>
          </cell>
        </row>
        <row r="1177">
          <cell r="B1177" t="str">
            <v>S-2026-02-14</v>
          </cell>
          <cell r="C1177" t="str">
            <v>BDB-000123</v>
          </cell>
          <cell r="D1177" t="str">
            <v>PVN-002973</v>
          </cell>
          <cell r="E1177" t="str">
            <v>UltraLite-Hybrid OrthoLite SEEDPEARL/12-0703TPX Hybrid Flat Sheet 0.085D 25+/-4 Asker C 1.1M 2M 4.5mm</v>
          </cell>
          <cell r="F1177">
            <v>1</v>
          </cell>
        </row>
        <row r="1178">
          <cell r="B1178" t="str">
            <v>S-2026-02-15</v>
          </cell>
          <cell r="C1178" t="str">
            <v>BDB-000313</v>
          </cell>
          <cell r="D1178" t="str">
            <v>PVN-004061</v>
          </cell>
          <cell r="E1178" t="str">
            <v>OrthoLite X-55 RED/19-1764TPX Flat Sheet 0.16D 25+/-4 Asker C 1.1M 1.47M 18mm</v>
          </cell>
          <cell r="F1178">
            <v>2</v>
          </cell>
        </row>
        <row r="1179">
          <cell r="B1179" t="str">
            <v>S-2026-02-16</v>
          </cell>
          <cell r="C1179" t="str">
            <v>BDB-000235</v>
          </cell>
          <cell r="D1179" t="str">
            <v>PVN-003576</v>
          </cell>
          <cell r="E1179" t="str">
            <v>OrthoLite X-55-Hybrid FOSSIL/17-0909TPX Hybrid 0.16D 25+/-4 Asker C 1.1M 1.7M 12mm</v>
          </cell>
          <cell r="F1179">
            <v>8</v>
          </cell>
        </row>
        <row r="1180">
          <cell r="B1180" t="str">
            <v>S-2026-02-17</v>
          </cell>
          <cell r="C1180" t="str">
            <v>BDB-000113</v>
          </cell>
          <cell r="D1180" t="str">
            <v>PVN-003414</v>
          </cell>
          <cell r="E1180" t="str">
            <v>OrthoLite Regular-Hybrid SEEDPEARL/12-0703TPX Hybrid 0.11D 25+/-4 Asker C 1.1M 2M 12mm</v>
          </cell>
          <cell r="F1180">
            <v>7</v>
          </cell>
        </row>
        <row r="1181">
          <cell r="B1181" t="str">
            <v>S-2026-02-18</v>
          </cell>
          <cell r="C1181" t="str">
            <v>BDB-000123</v>
          </cell>
          <cell r="D1181" t="str">
            <v>PVN-002539</v>
          </cell>
          <cell r="E1181" t="str">
            <v>OrthoLite Ultra-Hybrid SEEDPEARL/12-0703TPX Hybrid Flat Sheet 0.085D 25+/-4 Asker C 1.1M 2M 5mm</v>
          </cell>
          <cell r="F1181">
            <v>4</v>
          </cell>
        </row>
        <row r="1182">
          <cell r="B1182" t="str">
            <v>S-2026-02-16</v>
          </cell>
          <cell r="C1182" t="str">
            <v>BDB-000235</v>
          </cell>
          <cell r="D1182" t="str">
            <v>PVN-003576</v>
          </cell>
          <cell r="E1182" t="str">
            <v>OrthoLite X-55-Hybrid FOSSIL/17-0909TPX Hybrid 0.16D 25+/-4 Asker C 1.1M 1.7M 12mm</v>
          </cell>
          <cell r="F1182">
            <v>2</v>
          </cell>
        </row>
        <row r="1183">
          <cell r="B1183" t="str">
            <v>F-2026-01-523-2</v>
          </cell>
          <cell r="C1183" t="str">
            <v>BDB-000052</v>
          </cell>
          <cell r="D1183" t="str">
            <v>PVN-003603</v>
          </cell>
          <cell r="E1183" t="str">
            <v>OrthoLite X-40 TRUE BLUE/19-4057TPX Flat Sheet 0.16D 25+/-4 Asker C 1.1M 1.47M 12mm</v>
          </cell>
          <cell r="F1183">
            <v>53</v>
          </cell>
        </row>
        <row r="1184">
          <cell r="B1184" t="str">
            <v>F-2026-01-321</v>
          </cell>
          <cell r="C1184" t="str">
            <v>BDB-000076</v>
          </cell>
          <cell r="D1184" t="str">
            <v>PVN-003494</v>
          </cell>
          <cell r="E1184" t="str">
            <v>OrthoLite X-25 BILLIARD/16-5427TPX Flat Sheet 0.12D 20+/-4 Asker C 1.1M 2M 5.5mm</v>
          </cell>
          <cell r="F1184">
            <v>3</v>
          </cell>
        </row>
        <row r="1185">
          <cell r="B1185" t="str">
            <v>F-2025-12-537</v>
          </cell>
          <cell r="C1185" t="str">
            <v>BDB-000076</v>
          </cell>
          <cell r="D1185" t="str">
            <v>PVN-003448</v>
          </cell>
          <cell r="E1185" t="str">
            <v>OrthoLite X-25 BILLIARD/16-5427TPX 0.12D 20+/-4 Asker C 1.1M 2M 6.2mm</v>
          </cell>
          <cell r="F1185">
            <v>18</v>
          </cell>
        </row>
        <row r="1186">
          <cell r="B1186" t="str">
            <v>F-2026-01-324</v>
          </cell>
          <cell r="C1186" t="str">
            <v>BDB-000076</v>
          </cell>
          <cell r="D1186" t="str">
            <v>PVN-004091</v>
          </cell>
          <cell r="E1186" t="str">
            <v>OrthoLite X-25 BILLIARD/16-5427TPX Flat Sheet 0.12D 20+/-4 Asker C 1.1M 2M 3.5mm</v>
          </cell>
          <cell r="F1186">
            <v>11</v>
          </cell>
        </row>
        <row r="1187">
          <cell r="B1187" t="str">
            <v>F-2026-01-231</v>
          </cell>
          <cell r="C1187" t="str">
            <v>BDB-000217</v>
          </cell>
          <cell r="D1187" t="str">
            <v>PVN-003539</v>
          </cell>
          <cell r="E1187" t="str">
            <v>OrthoLite X-40-Hybrid SEEDPEARL/12-0703TPX Hybrid Flat Sheet 0.16D 35+/-4 Asker C 1.1M 1.7M 6.2mm</v>
          </cell>
          <cell r="F1187">
            <v>55</v>
          </cell>
        </row>
        <row r="1188">
          <cell r="B1188" t="str">
            <v>F-2026-01-322</v>
          </cell>
          <cell r="C1188" t="str">
            <v>BDB-000213</v>
          </cell>
          <cell r="D1188" t="str">
            <v>PVN-003752</v>
          </cell>
          <cell r="E1188" t="str">
            <v>OrthoLite X-25-Hybrid SEEDPEARL/12-0703TPX Hybrid Flat Sheet 0.12D 20+/-4 Asker C 1.1M 1.47M 4.5mm</v>
          </cell>
          <cell r="F1188">
            <v>27</v>
          </cell>
        </row>
        <row r="1189">
          <cell r="B1189" t="str">
            <v>F-2026-01-374</v>
          </cell>
          <cell r="C1189" t="str">
            <v>BDB-000213</v>
          </cell>
          <cell r="D1189" t="str">
            <v>PVN-003752</v>
          </cell>
          <cell r="E1189" t="str">
            <v>OrthoLite X-25-Hybrid SEEDPEARL/12-0703TPX Hybrid Flat Sheet 0.12D 20+/-4 Asker C 1.1M 1.47M 4.5mm</v>
          </cell>
          <cell r="F1189">
            <v>14</v>
          </cell>
        </row>
        <row r="1190">
          <cell r="B1190" t="str">
            <v>F-2026-02-04</v>
          </cell>
          <cell r="C1190" t="str">
            <v>BDB-000200</v>
          </cell>
          <cell r="D1190" t="str">
            <v>PVN-003425</v>
          </cell>
          <cell r="E1190" t="str">
            <v>OrthoLite Ultra SEEDPEARL/12-0703TPX Flat Sheet 0.085D 78-90 Asker F 1.1M 2M 4mm</v>
          </cell>
          <cell r="F1190">
            <v>46</v>
          </cell>
        </row>
        <row r="1191">
          <cell r="B1191" t="str">
            <v>F-2026-01-364</v>
          </cell>
          <cell r="C1191" t="str">
            <v>BDB-000346</v>
          </cell>
          <cell r="D1191" t="str">
            <v>PVN-004188</v>
          </cell>
          <cell r="E1191" t="str">
            <v>OrthoLite Float NEUTRAL GRAY/17-4402TPX Flat Sheet 0.12D 21+/-4 Asker C 1.1M 1.47M 5.5mm</v>
          </cell>
          <cell r="F1191">
            <v>17</v>
          </cell>
        </row>
        <row r="1192">
          <cell r="B1192" t="str">
            <v>F-2026-01-311</v>
          </cell>
          <cell r="C1192" t="str">
            <v>BDB-000055</v>
          </cell>
          <cell r="D1192" t="str">
            <v>PVN-003387</v>
          </cell>
          <cell r="E1192" t="str">
            <v>OrthoLite X-40 TRUE BLUE/19-4057TPX Flat Sheet 0.16D 35+/-4 Asker C 1.1M 1.7M 13.5mm</v>
          </cell>
          <cell r="F1192">
            <v>17</v>
          </cell>
        </row>
        <row r="1193">
          <cell r="B1193" t="str">
            <v>F-2026-01-438</v>
          </cell>
          <cell r="C1193" t="str">
            <v>BDB-000011</v>
          </cell>
          <cell r="D1193" t="str">
            <v>PVN-000242</v>
          </cell>
          <cell r="E1193" t="str">
            <v>OrthoLite Regular AIR BLUE/16-4134TPX Flat Sheet 0.13D 35+/-4 Asker C 1.1M 2M 2mm</v>
          </cell>
          <cell r="F1193">
            <v>11</v>
          </cell>
        </row>
        <row r="1194">
          <cell r="B1194" t="str">
            <v>OIN-2026.01.31-02</v>
          </cell>
          <cell r="C1194" t="str">
            <v>BDB-000058</v>
          </cell>
          <cell r="D1194" t="str">
            <v>PVN-003780</v>
          </cell>
          <cell r="E1194" t="str">
            <v>[116-361] Ultra 25+/-4 Asker C 0.085D Green 16-5932 Tpx 1.10M X 2.00M 47mm</v>
          </cell>
          <cell r="F1194">
            <v>16</v>
          </cell>
        </row>
        <row r="1195">
          <cell r="B1195" t="str">
            <v>F-2026-01-362</v>
          </cell>
          <cell r="C1195" t="str">
            <v>BDB-000197</v>
          </cell>
          <cell r="D1195" t="str">
            <v>PVN-003406</v>
          </cell>
          <cell r="E1195" t="str">
            <v>OrthoLite Ultra-Hybrid SEEDPEARL/12-0703TPX Hybrid Flat Sheet 0.085D 5-10 Asker C 1.1M 2M 2mm</v>
          </cell>
          <cell r="F1195">
            <v>3</v>
          </cell>
        </row>
        <row r="1196">
          <cell r="B1196" t="str">
            <v>F-2026-01-309</v>
          </cell>
          <cell r="C1196" t="str">
            <v>BDB-000217</v>
          </cell>
          <cell r="D1196" t="str">
            <v>PVN-003483</v>
          </cell>
          <cell r="E1196" t="str">
            <v>OrthoLite X-40-Hybrid SEEDPEARL/12-0703TPX Hybrid Flat Sheet 0.16D 35+/-4 Asker C 1.1M 1.7M 12mm</v>
          </cell>
          <cell r="F1196">
            <v>2</v>
          </cell>
        </row>
        <row r="1197">
          <cell r="B1197" t="str">
            <v>S-2026-02-08</v>
          </cell>
          <cell r="C1197" t="str">
            <v>BDB-000076</v>
          </cell>
          <cell r="D1197" t="str">
            <v>PVN-004182</v>
          </cell>
          <cell r="E1197" t="str">
            <v>OrthoLite X-25 BILLIARD/16-5427TPX Flat Sheet 0.12D 20+/-4 Asker C 1.1M 2M 9mm</v>
          </cell>
          <cell r="F1197">
            <v>3</v>
          </cell>
        </row>
        <row r="1198">
          <cell r="B1198" t="str">
            <v>S-2026-02-07</v>
          </cell>
          <cell r="C1198" t="str">
            <v>BDB-000076</v>
          </cell>
          <cell r="D1198" t="str">
            <v>PVN-004056</v>
          </cell>
          <cell r="E1198" t="str">
            <v>OrthoLite X-25 BILLIARD/16-5427TPX Flat Sheet 0.12D 20+/-4 Asker C 1.1M 2M 12mm</v>
          </cell>
          <cell r="F1198">
            <v>3</v>
          </cell>
        </row>
        <row r="1199">
          <cell r="B1199" t="str">
            <v>S-2026-02-06</v>
          </cell>
          <cell r="C1199" t="str">
            <v>BDB-000129</v>
          </cell>
          <cell r="D1199" t="str">
            <v>PVN-004071</v>
          </cell>
          <cell r="E1199" t="str">
            <v>OrthoLite Regular-Nike AIR BLUE/16-4134TPX 0.11D 25+/-4 Asker C 1.1M 1.7M 2.5mm</v>
          </cell>
          <cell r="F1199">
            <v>1</v>
          </cell>
        </row>
        <row r="1200">
          <cell r="B1200" t="str">
            <v>S-2026-02-09</v>
          </cell>
          <cell r="C1200" t="str">
            <v>BDB-000129</v>
          </cell>
          <cell r="D1200" t="str">
            <v>PVN-001550</v>
          </cell>
          <cell r="E1200" t="str">
            <v>OrthoLite Regular-Nike AIR BLUE/16-4134TPX Flat Sheet 0.11D 25+/-4 Asker C 1.1M 1.7M 2mm</v>
          </cell>
          <cell r="F1200">
            <v>1</v>
          </cell>
        </row>
        <row r="1201">
          <cell r="B1201" t="str">
            <v>F-2026-01-357</v>
          </cell>
          <cell r="C1201" t="str">
            <v>BDB-000077</v>
          </cell>
          <cell r="D1201" t="str">
            <v>PVN-003478</v>
          </cell>
          <cell r="E1201" t="str">
            <v>Ortholite X-25 SEEDPEARL/12-0703TPX Flat Sheet 0.12D 20+/-4 Asker C 1.1M 2M 4mm</v>
          </cell>
          <cell r="F1201">
            <v>4</v>
          </cell>
        </row>
        <row r="1202">
          <cell r="B1202" t="str">
            <v>F-2026-01-358</v>
          </cell>
          <cell r="C1202" t="str">
            <v>BDB-000077</v>
          </cell>
          <cell r="D1202" t="str">
            <v>PVN-003513</v>
          </cell>
          <cell r="E1202" t="str">
            <v>OrthoLite X-25 SEEDPEARL/12-0703TPX Flat Sheet 0.12D 20+/-4 Asker C 1.1M 2M 2mm</v>
          </cell>
          <cell r="F1202">
            <v>2</v>
          </cell>
        </row>
        <row r="1203">
          <cell r="B1203" t="str">
            <v>F-2026-01-312</v>
          </cell>
          <cell r="C1203" t="str">
            <v>BDB-000340</v>
          </cell>
          <cell r="D1203" t="str">
            <v>PVN-004177</v>
          </cell>
          <cell r="E1203" t="str">
            <v>OrthoLite Float SEEDPEARL/12-0703TPX Flat Sheet 0.12D 21+/-4 Asker C 1.1M 2M 5.5mm</v>
          </cell>
          <cell r="F1203">
            <v>13</v>
          </cell>
        </row>
        <row r="1204">
          <cell r="B1204" t="str">
            <v>F-2026-02-55</v>
          </cell>
          <cell r="C1204" t="str">
            <v>BDB-000126</v>
          </cell>
          <cell r="D1204" t="str">
            <v>PVN-002325</v>
          </cell>
          <cell r="E1204" t="str">
            <v>OrthoLite Regular-Nike RED/19-1764TPX Flat Sheet 0.11D 25+/-4 Asker C 1.1M 2M 5.2mm</v>
          </cell>
          <cell r="F1204">
            <v>13</v>
          </cell>
        </row>
        <row r="1205">
          <cell r="B1205" t="str">
            <v>F-2026-01-477</v>
          </cell>
          <cell r="C1205" t="str">
            <v>BDB-000088</v>
          </cell>
          <cell r="D1205" t="str">
            <v>PVN-001104</v>
          </cell>
          <cell r="E1205" t="str">
            <v>OrthoLite Eco LT RED/19-1764TPX Flat Sheet 0.11D 25+/-4 Asker C 1.1M 2M 4mm</v>
          </cell>
          <cell r="F1205">
            <v>8</v>
          </cell>
        </row>
        <row r="1206">
          <cell r="B1206" t="str">
            <v>F-2026-01-454</v>
          </cell>
          <cell r="C1206" t="str">
            <v>BDB-000008</v>
          </cell>
          <cell r="D1206" t="str">
            <v>PVN-000505</v>
          </cell>
          <cell r="E1206" t="str">
            <v>OrthoLite Regular LIME GREEN/14-0452TPX Flat Sheet 0.11D 25+/-4 Asker C 1.1M 2M 12mm</v>
          </cell>
          <cell r="F1206">
            <v>92</v>
          </cell>
        </row>
        <row r="1207">
          <cell r="B1207" t="str">
            <v>F-2025-10-233</v>
          </cell>
          <cell r="C1207" t="str">
            <v>BDB-000160</v>
          </cell>
          <cell r="D1207" t="str">
            <v>PVN-001562</v>
          </cell>
          <cell r="E1207" t="str">
            <v>OrthoLite Ultra-Nike LIME GREEN/14-0452TPX 0.085D 25+/-4 Asker C 1.1M 2M 4mm</v>
          </cell>
          <cell r="F1207">
            <v>48</v>
          </cell>
        </row>
        <row r="1208">
          <cell r="B1208" t="str">
            <v>F-2026-01-413</v>
          </cell>
          <cell r="C1208" t="str">
            <v>BDB-000149</v>
          </cell>
          <cell r="D1208" t="str">
            <v>PVN-002827</v>
          </cell>
          <cell r="E1208" t="str">
            <v>OrthoLite Regular-Hybrid-Nike SEEDPEARL/12-0703TPX Hybrid 0.11D 25+/-4 Asker C 1.1M 2M 5mm</v>
          </cell>
          <cell r="F1208">
            <v>36</v>
          </cell>
        </row>
        <row r="1209">
          <cell r="B1209" t="str">
            <v>F-2025-12-536</v>
          </cell>
          <cell r="C1209" t="str">
            <v>BDB-000076</v>
          </cell>
          <cell r="D1209" t="str">
            <v>PVN-003448</v>
          </cell>
          <cell r="E1209" t="str">
            <v>OrthoLite X-25 BILLIARD/16-5427TPX 0.12D 20+/-4 Asker C 1.1M 2M 6.2mm</v>
          </cell>
          <cell r="F1209">
            <v>23</v>
          </cell>
        </row>
        <row r="1210">
          <cell r="B1210" t="str">
            <v>F-2026-02-15</v>
          </cell>
          <cell r="C1210" t="str">
            <v>BDB-000319</v>
          </cell>
          <cell r="D1210" t="str">
            <v>PVN-004247</v>
          </cell>
          <cell r="E1210" t="str">
            <v>OrthoLite X-40-Hybrid-Nike SEEDPEARL/12-0703TPX Hybrid Flat Sheet 0.16D 25+/-4 Asker C 1.1M 2M 4.2mm</v>
          </cell>
          <cell r="F1210">
            <v>2</v>
          </cell>
        </row>
        <row r="1211">
          <cell r="B1211" t="str">
            <v>F-2026-01-443</v>
          </cell>
          <cell r="C1211" t="str">
            <v>BDB-000348</v>
          </cell>
          <cell r="D1211" t="str">
            <v>PVN-004210</v>
          </cell>
          <cell r="E1211" t="str">
            <v>OrthoLite IMPERIAL SEEDPEARL/12-0703TPX Flat Sheet 0.22D 25+/-4 Asker C 1.1M 1.47M 5mm</v>
          </cell>
          <cell r="F1211">
            <v>6</v>
          </cell>
        </row>
        <row r="1212">
          <cell r="B1212" t="str">
            <v>F-2026-02-22</v>
          </cell>
          <cell r="C1212" t="str">
            <v>BDB-000318</v>
          </cell>
          <cell r="D1212" t="str">
            <v>PVN-004077</v>
          </cell>
          <cell r="E1212" t="str">
            <v>OrthoLite X-55 RED/19-1764TPX Flat Sheet 0.16D 25+/-4 Asker C 1.1M 2M 5.2mm</v>
          </cell>
          <cell r="F1212">
            <v>1</v>
          </cell>
        </row>
        <row r="1213">
          <cell r="B1213" t="str">
            <v>F-2026-02-148</v>
          </cell>
          <cell r="C1213" t="str">
            <v>BDB-000209</v>
          </cell>
          <cell r="D1213" t="str">
            <v>PVN-003462</v>
          </cell>
          <cell r="E1213" t="str">
            <v>OrthoLite HybridPlus-Recycled MINT GREEN/11-4805TPX Hybrid Flat Sheet 0.12D 25+/-4 Asker C 1.1M 2M 12mm</v>
          </cell>
          <cell r="F1213">
            <v>2</v>
          </cell>
        </row>
        <row r="1214">
          <cell r="B1214" t="str">
            <v>OIN-2026.01.29-01</v>
          </cell>
          <cell r="C1214" t="str">
            <v>BDB-000123</v>
          </cell>
          <cell r="D1214" t="str">
            <v>PVN-003784</v>
          </cell>
          <cell r="E1214" t="str">
            <v xml:space="preserve">[116-311] Ultra Hybrid 25+/-4 Asker C 0.085D Seedpearl 12-0703 Tpx 1.10M X 2.00M 47mm </v>
          </cell>
          <cell r="F1214">
            <v>18</v>
          </cell>
        </row>
        <row r="1215">
          <cell r="B1215" t="str">
            <v>F-2026-01-242</v>
          </cell>
          <cell r="C1215" t="str">
            <v>BDB-000362</v>
          </cell>
          <cell r="D1215" t="str">
            <v>PVN-004259</v>
          </cell>
          <cell r="E1215" t="str">
            <v>OrthoLite X-60-Hybrid SEEDPEARL/12-0703TPX Hybrid Flat Sheet 0.19D 28+/-4 Asker C 1.1M 1.7M 12mm</v>
          </cell>
          <cell r="F1215">
            <v>2</v>
          </cell>
        </row>
        <row r="1216">
          <cell r="B1216" t="str">
            <v>F-2026-02-60</v>
          </cell>
          <cell r="C1216" t="str">
            <v>BDB-000180</v>
          </cell>
          <cell r="D1216" t="str">
            <v>PVN-003236</v>
          </cell>
          <cell r="E1216" t="str">
            <v>OrthoLite Eco LT-Hybrid-Converse SEEDPEARL/12-0703TPX Hybrid 0.13D 25+/-4 Asker C 1.1M 2M 5mm</v>
          </cell>
          <cell r="F1216">
            <v>51</v>
          </cell>
        </row>
        <row r="1217">
          <cell r="B1217" t="str">
            <v>F-2026-01-343-1</v>
          </cell>
          <cell r="C1217" t="str">
            <v>BDB-000125</v>
          </cell>
          <cell r="D1217" t="str">
            <v>PVN-002413</v>
          </cell>
          <cell r="E1217" t="str">
            <v>OrthoLite Regular-Nike AIR BLUE/16-4134TPX 0.11D 25+/-4 Asker C 1.1M 2M 4.2mm</v>
          </cell>
          <cell r="F1217">
            <v>4</v>
          </cell>
        </row>
        <row r="1218">
          <cell r="B1218"/>
          <cell r="C1218"/>
          <cell r="D1218"/>
          <cell r="E1218" t="str">
            <v>XUẤT SAU KIỂM KÊ</v>
          </cell>
          <cell r="F1218"/>
        </row>
        <row r="1219">
          <cell r="B1219" t="str">
            <v>F-2026-01-381</v>
          </cell>
          <cell r="C1219" t="str">
            <v>BDB-000129</v>
          </cell>
          <cell r="D1219" t="str">
            <v>PVN-001550</v>
          </cell>
          <cell r="E1219" t="str">
            <v>OrthoLite Regular-Nike AIR BLUE/16-4134TPX 0.11D 25+/-4 Asker C 1.1M 1.7M 2mm</v>
          </cell>
          <cell r="F1219">
            <v>51</v>
          </cell>
        </row>
        <row r="1220">
          <cell r="B1220" t="str">
            <v>F-2026-02-03</v>
          </cell>
          <cell r="C1220" t="str">
            <v>BDB-000200</v>
          </cell>
          <cell r="D1220" t="str">
            <v>PVN-003418</v>
          </cell>
          <cell r="E1220" t="str">
            <v>OrthoLite Ultra SEEDPEARL/12-0703TPX Flat Sheet 0.085D 78-90 Asker F 1.1M 2M 5mm</v>
          </cell>
          <cell r="F1220">
            <v>11</v>
          </cell>
        </row>
        <row r="1221">
          <cell r="B1221" t="str">
            <v>F-2026-02-90</v>
          </cell>
          <cell r="C1221" t="str">
            <v>BDB-000200</v>
          </cell>
          <cell r="D1221" t="str">
            <v>PVN-003420</v>
          </cell>
          <cell r="E1221" t="str">
            <v>OrthoLite Ultra SEEDPEARL/12-0703TPX Flat Sheet 0.085D 78-90 Asker F 1.1M 2M 6mm</v>
          </cell>
          <cell r="F1221">
            <v>3</v>
          </cell>
        </row>
        <row r="1222">
          <cell r="B1222" t="str">
            <v>F-2026-02-97</v>
          </cell>
          <cell r="C1222" t="str">
            <v>BDB-000314</v>
          </cell>
          <cell r="D1222" t="str">
            <v>PVN-004066</v>
          </cell>
          <cell r="E1222" t="str">
            <v>OrthoLite Regular NEUTRAL GRAY/17-4402TPX Flat Sheet 0.16D 51+/-4 Asker C 1.1M 1.7M 9.5mm</v>
          </cell>
          <cell r="F1222">
            <v>2</v>
          </cell>
        </row>
        <row r="1223">
          <cell r="B1223" t="str">
            <v>F-2026-01-471</v>
          </cell>
          <cell r="C1223" t="str">
            <v>BDB-000314</v>
          </cell>
          <cell r="D1223" t="str">
            <v>PVN-004066</v>
          </cell>
          <cell r="E1223" t="str">
            <v>OrthoLite Regular NEUTRAL GRAY/17-4402TPX Flat Sheet 0.16D 51+/-4 Asker C 1.1M 1.7M 9.5mm</v>
          </cell>
          <cell r="F1223">
            <v>3</v>
          </cell>
        </row>
        <row r="1224">
          <cell r="B1224" t="str">
            <v>F-2026-02-10</v>
          </cell>
          <cell r="C1224" t="str">
            <v>BDB-000057</v>
          </cell>
          <cell r="D1224" t="str">
            <v>PVN-000825</v>
          </cell>
          <cell r="E1224" t="str">
            <v>OrthoLite Ultra YELLOW/13-0858TPX Flat Sheet 0.085D 25+/-4 Asker C 1.1M 2M 12mm</v>
          </cell>
          <cell r="F1224">
            <v>4</v>
          </cell>
        </row>
        <row r="1225">
          <cell r="B1225" t="str">
            <v>F-2026-01-475</v>
          </cell>
          <cell r="C1225" t="str">
            <v>BDB-000145</v>
          </cell>
          <cell r="D1225" t="str">
            <v>PVN-002811</v>
          </cell>
          <cell r="E1225" t="str">
            <v>OrthoLite Regular-Hybrid-Nike YELLOW/13-0858TPX Hybrid Flat Sheet 0.11D 25+/-4 Asker C 1.1M 1.7M 2mm</v>
          </cell>
          <cell r="F1225">
            <v>4</v>
          </cell>
        </row>
        <row r="1226">
          <cell r="B1226" t="str">
            <v>F-2026-02-68</v>
          </cell>
          <cell r="C1226" t="str">
            <v>BDB-000145</v>
          </cell>
          <cell r="D1226" t="str">
            <v>PVN-002811</v>
          </cell>
          <cell r="E1226" t="str">
            <v>OrthoLite Regular-Hybrid-Nike YELLOW/13-0858TPX Hybrid Flat Sheet 0.11D 25+/-4 Asker C 1.1M 1.7M 2mm</v>
          </cell>
          <cell r="F1226">
            <v>5</v>
          </cell>
        </row>
        <row r="1227">
          <cell r="B1227" t="str">
            <v>F-2026-02-33</v>
          </cell>
          <cell r="C1227" t="str">
            <v>BDB-000348</v>
          </cell>
          <cell r="D1227" t="str">
            <v>PVN-004195</v>
          </cell>
          <cell r="E1227" t="str">
            <v>OrthoLite IMPERIAL SEEDPEARL/12-0703TPX Flat Sheet 0.22D 25+/-4 Asker C 1.1M 1.47M 4mm</v>
          </cell>
          <cell r="F1227">
            <v>20</v>
          </cell>
        </row>
        <row r="1228">
          <cell r="B1228" t="str">
            <v>F-2026-01-462</v>
          </cell>
          <cell r="C1228" t="str">
            <v>BDB-000348</v>
          </cell>
          <cell r="D1228" t="str">
            <v>PVN-004195</v>
          </cell>
          <cell r="E1228" t="str">
            <v>OrthoLite IMPERIAL SEEDPEARL/12-0703TPX Flat Sheet 0.22D 25+/-4 Asker C 1.1M 1.47M 4mm</v>
          </cell>
          <cell r="F1228">
            <v>3</v>
          </cell>
        </row>
        <row r="1229">
          <cell r="B1229" t="str">
            <v>F-2026-01-439</v>
          </cell>
          <cell r="C1229" t="str">
            <v>BDB-000348</v>
          </cell>
          <cell r="D1229" t="str">
            <v>PVN-004195</v>
          </cell>
          <cell r="E1229" t="str">
            <v>OrthoLite IMPERIAL SEEDPEARL/12-0703TPX Flat Sheet 0.22D 25+/-4 Asker C 1.1M 1.47M 4mm</v>
          </cell>
          <cell r="F1229">
            <v>4</v>
          </cell>
        </row>
        <row r="1230">
          <cell r="B1230" t="str">
            <v>F-2026-01-451</v>
          </cell>
          <cell r="C1230" t="str">
            <v>BDB-000234</v>
          </cell>
          <cell r="D1230" t="str">
            <v>PVN-003581</v>
          </cell>
          <cell r="E1230" t="str">
            <v>OrthoLite X-30-Hybrid BROWN SUGAR/17-1134TPX Hybrid Flat Sheet 0.13D 25+/-4 Asker C 1.1M 2M 12mm</v>
          </cell>
          <cell r="F1230">
            <v>7</v>
          </cell>
        </row>
        <row r="1231">
          <cell r="B1231" t="str">
            <v>F-2026-01-457</v>
          </cell>
          <cell r="C1231" t="str">
            <v>BDB-000234</v>
          </cell>
          <cell r="D1231" t="str">
            <v>PVN-003575</v>
          </cell>
          <cell r="E1231" t="str">
            <v>OrthoLite X-30-Hybrid BROWN SUGAR/17-1134TPX Hybrid Flat Sheet 0.13D 25+/-4 Asker C 1.1M 2M 10mm</v>
          </cell>
          <cell r="F1231">
            <v>1</v>
          </cell>
        </row>
        <row r="1232">
          <cell r="B1232" t="str">
            <v>F-2026-01-375</v>
          </cell>
          <cell r="C1232" t="str">
            <v>BDB-000234</v>
          </cell>
          <cell r="D1232" t="str">
            <v>PVN-003575</v>
          </cell>
          <cell r="E1232" t="str">
            <v>OrthoLite X-30-Hybrid BROWN SUGAR/17-1134TPX Hybrid Flat Sheet 0.13D 25+/-4 Asker C 1.1M 2M 10mm</v>
          </cell>
          <cell r="F1232">
            <v>6</v>
          </cell>
        </row>
        <row r="1233">
          <cell r="B1233" t="str">
            <v>F-2026-02-13</v>
          </cell>
          <cell r="C1233" t="str">
            <v>BDB-000332</v>
          </cell>
          <cell r="D1233" t="str">
            <v>PVN-004146</v>
          </cell>
          <cell r="E1233" t="str">
            <v>OrthoLite X-25 CASTLEROCK/18-0201TPX Flat Sheet 0.12D 20+/-4 Asker C 1.1M 2M 5.5mm</v>
          </cell>
          <cell r="F1233">
            <v>1</v>
          </cell>
        </row>
        <row r="1234">
          <cell r="B1234" t="str">
            <v>F-2026-02-54</v>
          </cell>
          <cell r="C1234" t="str">
            <v>BDB-000321</v>
          </cell>
          <cell r="D1234" t="str">
            <v>PVN-004104</v>
          </cell>
          <cell r="E1234" t="str">
            <v>OrthoLite Float BLUE ATOLL/16-4535TPX Flat Sheet 0.12D 21+/-4 Asker C 1.1M 2M 5mm</v>
          </cell>
          <cell r="F1234">
            <v>1</v>
          </cell>
        </row>
        <row r="1235">
          <cell r="B1235" t="str">
            <v>F-2026-02-169</v>
          </cell>
          <cell r="C1235" t="str">
            <v>BDB-000175</v>
          </cell>
          <cell r="D1235" t="str">
            <v>PVN-002876</v>
          </cell>
          <cell r="E1235" t="str">
            <v>OrthoLite Ultra-Hybrid-Nike SEEDPEARL/12-0703TPX Hybrid Flat Sheet 0.085D 25+/-4 Asker C 1.1M 2M 5mm</v>
          </cell>
          <cell r="F1235">
            <v>1</v>
          </cell>
        </row>
        <row r="1236">
          <cell r="B1236" t="str">
            <v>F-2026-01-448</v>
          </cell>
          <cell r="C1236" t="str">
            <v>BDB-000175</v>
          </cell>
          <cell r="D1236" t="str">
            <v>PVN-002876</v>
          </cell>
          <cell r="E1236" t="str">
            <v>OrthoLite Ultra-Hybrid-Nike SEEDPEARL/12-0703TPX Hybrid Flat Sheet 0.085D 25+/-4 Asker C 1.1M 2M 5mm</v>
          </cell>
          <cell r="F1236">
            <v>5</v>
          </cell>
        </row>
        <row r="1237">
          <cell r="B1237" t="str">
            <v>F-2026-01-459</v>
          </cell>
          <cell r="C1237" t="str">
            <v>BDB-000175</v>
          </cell>
          <cell r="D1237" t="str">
            <v>PVN-003018</v>
          </cell>
          <cell r="E1237" t="str">
            <v>OrthoLite Ultra-Hybrid-Nike SEEDPEARL/12-0703TPX Hybrid Flat Sheet 0.085D 25+/-4 Asker C 1.1M 2M 2mm</v>
          </cell>
          <cell r="F1237">
            <v>3</v>
          </cell>
        </row>
        <row r="1238">
          <cell r="B1238" t="str">
            <v>F-2026-02-101</v>
          </cell>
          <cell r="C1238" t="str">
            <v>BDB-000175</v>
          </cell>
          <cell r="D1238" t="str">
            <v>PVN-003018</v>
          </cell>
          <cell r="E1238" t="str">
            <v>OrthoLite Ultra-Hybrid-Nike SEEDPEARL/12-0703TPX Hybrid Flat Sheet 0.085D 25+/-4 Asker C 1.1M 2M 2mm</v>
          </cell>
          <cell r="F1238">
            <v>3</v>
          </cell>
        </row>
        <row r="1239">
          <cell r="B1239" t="str">
            <v>F-2025-10-246</v>
          </cell>
          <cell r="C1239" t="str">
            <v>BDB-000161</v>
          </cell>
          <cell r="D1239" t="str">
            <v>PVN-001560</v>
          </cell>
          <cell r="E1239" t="str">
            <v>OrthoLite Ultra-Nike FOSSIL/17-0909TPX 0.085D 25+/-4 Asker C 1.1M 2M 4mm</v>
          </cell>
          <cell r="F1239">
            <v>32</v>
          </cell>
        </row>
        <row r="1240">
          <cell r="B1240" t="str">
            <v>F-2025-10-233</v>
          </cell>
          <cell r="C1240" t="str">
            <v>BDB-000160</v>
          </cell>
          <cell r="D1240" t="str">
            <v>PVN-001562</v>
          </cell>
          <cell r="E1240" t="str">
            <v>OrthoLite Ultra-Nike LIME GREEN/14-0452TPX 0.085D 25+/-4 Asker C 1.1M 2M 4mm</v>
          </cell>
          <cell r="F1240">
            <v>24</v>
          </cell>
        </row>
        <row r="1241">
          <cell r="B1241" t="str">
            <v>F-2026-02-01</v>
          </cell>
          <cell r="C1241" t="str">
            <v>BDB-000058</v>
          </cell>
          <cell r="D1241" t="str">
            <v>PVN-001277</v>
          </cell>
          <cell r="E1241" t="str">
            <v>OrthoLite Ultra GREEN/16-5932TPX Flat Sheet 0.085D 25+/-4 Asker C 1.1M 2M 4mm</v>
          </cell>
          <cell r="F1241">
            <v>28</v>
          </cell>
        </row>
        <row r="1242">
          <cell r="B1242" t="str">
            <v>S-2026-02-05</v>
          </cell>
          <cell r="C1242" t="str">
            <v>BDB-000157</v>
          </cell>
          <cell r="D1242" t="str">
            <v>PVN-003573</v>
          </cell>
          <cell r="E1242" t="str">
            <v>OrthoLite X-35-Hybrid-Nike SEEDPEARL/12-0703TPX Hybrid Flat Sheet 0.145D 25+/-4 Asker C 1.1M 2M 4.2mm</v>
          </cell>
          <cell r="F1242">
            <v>2</v>
          </cell>
        </row>
        <row r="1243">
          <cell r="B1243" t="str">
            <v>S-2026-02-04</v>
          </cell>
          <cell r="C1243" t="str">
            <v>BDB-000162</v>
          </cell>
          <cell r="D1243" t="str">
            <v>PVN-001566</v>
          </cell>
          <cell r="E1243" t="str">
            <v>OrthoLite Ultra-Nike SEEDPEARL/12-0703TPX Flat Sheet 0.085D 25+/-4 Asker C 1.1M 2M 4mm</v>
          </cell>
          <cell r="F1243">
            <v>2</v>
          </cell>
        </row>
        <row r="1244">
          <cell r="B1244" t="str">
            <v>S-2026-02-11</v>
          </cell>
          <cell r="C1244" t="str">
            <v>BDB-000327</v>
          </cell>
          <cell r="D1244" t="str">
            <v>PVN-004133</v>
          </cell>
          <cell r="E1244" t="str">
            <v>OrthoLite X-35-Nike SEEDPEARL/12-0703TPX Flat Sheet 0.145D 25+/-4 Asker C 1.1M 2M 5mm</v>
          </cell>
          <cell r="F1244">
            <v>2</v>
          </cell>
        </row>
        <row r="1245">
          <cell r="B1245" t="str">
            <v>S-2026-02-19</v>
          </cell>
          <cell r="C1245" t="str">
            <v>BDB-000347</v>
          </cell>
          <cell r="D1245" t="str">
            <v>PVN-004192</v>
          </cell>
          <cell r="E1245" t="str">
            <v>OrthoLite X-55-Hybrid SEEDPEARL/12-0703TPX Hybrid Flat Sheet 0.16D 25+/-4 Asker C 1.1M 2M 12mm</v>
          </cell>
          <cell r="F1245">
            <v>10</v>
          </cell>
        </row>
        <row r="1246">
          <cell r="B1246" t="str">
            <v>F-2026-02-96</v>
          </cell>
          <cell r="C1246" t="str">
            <v>BDB-000212</v>
          </cell>
          <cell r="D1246" t="str">
            <v>PVN-003764</v>
          </cell>
          <cell r="E1246" t="str">
            <v>OrthoLite X-25-Hybrid SEEDPEARL/12-0703TPX Hybrid Flat Sheet 0.12D 20+/-4 Asker C 1.1M 2M 5mm</v>
          </cell>
          <cell r="F1246">
            <v>1</v>
          </cell>
        </row>
        <row r="1247">
          <cell r="B1247" t="str">
            <v>F-2026-02-49</v>
          </cell>
          <cell r="C1247" t="str">
            <v>BDB-000212</v>
          </cell>
          <cell r="D1247" t="str">
            <v>PVN-003764</v>
          </cell>
          <cell r="E1247" t="str">
            <v>OrthoLite X-25-Hybrid SEEDPEARL/12-0703TPX Hybrid Flat Sheet 0.12D 20+/-4 Asker C 1.1M 2M 5mm</v>
          </cell>
          <cell r="F1247">
            <v>2</v>
          </cell>
        </row>
        <row r="1248">
          <cell r="B1248" t="str">
            <v>F-2026-02-126</v>
          </cell>
          <cell r="C1248" t="str">
            <v>BDB-000212</v>
          </cell>
          <cell r="D1248" t="str">
            <v>PVN-003460</v>
          </cell>
          <cell r="E1248" t="str">
            <v>OrthoLite X-25-Hybrid SEEDPEARL/12-0703TPX Hybrid Flat Sheet 0.12D 20+/-4 Asker C 1.1M 2M 5.5mm</v>
          </cell>
          <cell r="F1248">
            <v>1</v>
          </cell>
        </row>
        <row r="1249">
          <cell r="B1249" t="str">
            <v>F-2026-01-327</v>
          </cell>
          <cell r="C1249" t="str">
            <v>BDB-000123</v>
          </cell>
          <cell r="D1249" t="str">
            <v>PVN-003298</v>
          </cell>
          <cell r="E1249" t="str">
            <v>OrthoLite Ultra-Hybrid SEEDPEARL/12-0703TPX Hybrid 0.085D 25+/-4 Asker C 1.1M 2M 4mm</v>
          </cell>
          <cell r="F1249">
            <v>200</v>
          </cell>
        </row>
        <row r="1250">
          <cell r="B1250" t="str">
            <v>F-2026-02-02</v>
          </cell>
          <cell r="C1250" t="str">
            <v>BDB-000123</v>
          </cell>
          <cell r="D1250" t="str">
            <v>PVN-003300</v>
          </cell>
          <cell r="E1250" t="str">
            <v>OrthoLite Ultra-Hybrid SEEDPEARL/12-0703TPX Hybrid Flat Sheet 0.085D 25+/-4 Asker C 1.1M 2M 2mm</v>
          </cell>
          <cell r="F1250">
            <v>14</v>
          </cell>
        </row>
        <row r="1251">
          <cell r="B1251" t="str">
            <v>F-2026-01-352</v>
          </cell>
          <cell r="C1251" t="str">
            <v>BDB-000123</v>
          </cell>
          <cell r="D1251" t="str">
            <v>PVN-002539</v>
          </cell>
          <cell r="E1251" t="str">
            <v>OrthoLite Ultra-Hybrid SEEDPEARL/12-0703TPX Hybrid Flat Sheet 0.085D 25+/-4 Asker C 1.1M 2M 5mm</v>
          </cell>
          <cell r="F1251">
            <v>12</v>
          </cell>
        </row>
        <row r="1252">
          <cell r="B1252" t="str">
            <v>F-2026-01-262</v>
          </cell>
          <cell r="C1252" t="str">
            <v>BDB-000123</v>
          </cell>
          <cell r="D1252" t="str">
            <v>PVN-002539</v>
          </cell>
          <cell r="E1252" t="str">
            <v>OrthoLite Ultra-Hybrid SEEDPEARL/12-0703TPX Hybrid Flat Sheet 0.085D 25+/-4 Asker C 1.1M 2M 5mm</v>
          </cell>
          <cell r="F1252">
            <v>3</v>
          </cell>
        </row>
        <row r="1253">
          <cell r="B1253" t="str">
            <v>F-2026-01-89</v>
          </cell>
          <cell r="C1253" t="str">
            <v>BDB-000123</v>
          </cell>
          <cell r="D1253" t="str">
            <v>PVN-002539</v>
          </cell>
          <cell r="E1253" t="str">
            <v>OrthoLite Ultra-Hybrid SEEDPEARL/12-0703TPX Hybrid Flat Sheet 0.085D 25+/-4 Asker C 1.1M 2M 5mm</v>
          </cell>
          <cell r="F1253">
            <v>18</v>
          </cell>
        </row>
        <row r="1254">
          <cell r="B1254" t="str">
            <v>F-2026-01-335</v>
          </cell>
          <cell r="C1254" t="str">
            <v>BDB-000123</v>
          </cell>
          <cell r="D1254" t="str">
            <v>PVN-002973</v>
          </cell>
          <cell r="E1254" t="str">
            <v>OrthoLite Ultra-Hybrid SEEDPEARL/12-0703TPX Hybrid 0.085D 25+/-4 Asker C 1.1M 2M 4.5mm</v>
          </cell>
          <cell r="F1254">
            <v>23</v>
          </cell>
        </row>
        <row r="1255">
          <cell r="B1255" t="str">
            <v>F-2026-01-343-2</v>
          </cell>
          <cell r="C1255" t="str">
            <v>BDB-000125</v>
          </cell>
          <cell r="D1255" t="str">
            <v>PVN-002413</v>
          </cell>
          <cell r="E1255" t="str">
            <v>OrthoLite Regular-Nike AIR BLUE/16-4134TPX 0.11D 25+/-4 Asker C 1.1M 2M 4.2mm</v>
          </cell>
          <cell r="F1255">
            <v>30</v>
          </cell>
        </row>
        <row r="1256">
          <cell r="B1256" t="str">
            <v>F-2026-01-311</v>
          </cell>
          <cell r="C1256" t="str">
            <v>BDB-000055</v>
          </cell>
          <cell r="D1256" t="str">
            <v>PVN-003387</v>
          </cell>
          <cell r="E1256" t="str">
            <v>OrthoLite X-40 TRUE BLUE/19-4057TPX Flat Sheet 0.16D 35+/-4 Asker C 1.1M 1.7M 13.5mm</v>
          </cell>
          <cell r="F1256">
            <v>24</v>
          </cell>
        </row>
        <row r="1257">
          <cell r="B1257" t="str">
            <v>F-2026-01-372</v>
          </cell>
          <cell r="C1257" t="str">
            <v>BDB-000235</v>
          </cell>
          <cell r="D1257" t="str">
            <v>PVN-003576</v>
          </cell>
          <cell r="E1257" t="str">
            <v>OrthoLite X-55-Hybrid FOSSIL/17-0909TPX Hybrid Flat Sheet 0.16D 25+/-4 Asker C 1.1M 1.7M 12mm</v>
          </cell>
          <cell r="F1257">
            <v>46</v>
          </cell>
        </row>
        <row r="1258">
          <cell r="B1258" t="str">
            <v>F-2026-01-366</v>
          </cell>
          <cell r="C1258" t="str">
            <v>BDB-000234</v>
          </cell>
          <cell r="D1258" t="str">
            <v>PVN-003581</v>
          </cell>
          <cell r="E1258" t="str">
            <v>OrthoLite X-30-Hybrid BROWN SUGAR/17-1134TPX Hybrid Flat Sheet 0.13D 25+/-4 Asker C 1.1M 2M 12mm</v>
          </cell>
          <cell r="F1258">
            <v>83</v>
          </cell>
        </row>
        <row r="1259">
          <cell r="B1259" t="str">
            <v>F-2026-01-397</v>
          </cell>
          <cell r="C1259" t="str">
            <v>BDB-000162</v>
          </cell>
          <cell r="D1259" t="str">
            <v>PVN-001566</v>
          </cell>
          <cell r="E1259" t="str">
            <v>OrthoLite Ultra-Nike SEEDPEARL/12-0703TPX 0.085D 25+/-4 Asker C 1.1M 2M 4mm</v>
          </cell>
          <cell r="F1259">
            <v>86</v>
          </cell>
        </row>
        <row r="1260">
          <cell r="B1260" t="str">
            <v>OIN-2026.01.31-01</v>
          </cell>
          <cell r="C1260" t="str">
            <v>BDB-000123</v>
          </cell>
          <cell r="D1260" t="str">
            <v>PVN-003784</v>
          </cell>
          <cell r="E1260" t="str">
            <v xml:space="preserve">[116-311] Ultra Hybrid 25+/-4 Asker C 0.085D Seedpearl 12-0703 Tpx 1.10M X 2.00M 47mm </v>
          </cell>
          <cell r="F1260">
            <v>18</v>
          </cell>
        </row>
        <row r="1261">
          <cell r="B1261" t="str">
            <v>OIN-2026.01.31-01</v>
          </cell>
          <cell r="C1261" t="str">
            <v>BDB-000123</v>
          </cell>
          <cell r="D1261" t="str">
            <v>PVN-003784</v>
          </cell>
          <cell r="E1261" t="str">
            <v xml:space="preserve">[116-311] Ultra Hybrid 25+/-4 Asker C 0.085D Seedpearl 12-0703 Tpx 1.10M X 2.00M 47mm </v>
          </cell>
          <cell r="F1261">
            <v>6</v>
          </cell>
        </row>
        <row r="1262">
          <cell r="B1262" t="str">
            <v>F-2026-01-359</v>
          </cell>
          <cell r="C1262" t="str">
            <v>BDB-000348</v>
          </cell>
          <cell r="D1262" t="str">
            <v>PVN-004210</v>
          </cell>
          <cell r="E1262" t="str">
            <v>OrthoLite IMPERIAL SEEDPEARL/12-0703TPX Flat Sheet 0.22D 25+/-4 Asker C 1.1M 1.47M 5mm</v>
          </cell>
          <cell r="F1262">
            <v>4</v>
          </cell>
        </row>
        <row r="1263">
          <cell r="B1263" t="str">
            <v>OIN-2026.02.05-01</v>
          </cell>
          <cell r="C1263" t="str">
            <v>BDB-000361</v>
          </cell>
          <cell r="D1263" t="str">
            <v>PVN-004246</v>
          </cell>
          <cell r="E1263" t="str">
            <v>[116-12625] X 40 25+/-4 Asker C 0.16D Air Blue 16-4134 Tpx 1.10M X 1.70M 47mm</v>
          </cell>
          <cell r="F1263">
            <v>1</v>
          </cell>
        </row>
        <row r="1264">
          <cell r="B1264" t="str">
            <v>S-2026-02-12</v>
          </cell>
          <cell r="C1264" t="str">
            <v>BDB-000186</v>
          </cell>
          <cell r="D1264" t="str">
            <v>PVN-004025</v>
          </cell>
          <cell r="E1264" t="str">
            <v>OrthoLite X-40-Nike SEEDPEARL/12-0703TPX Flat Sheet 0.16D 35+/-4 Asker C 1.1M 1.7M 4.5mm</v>
          </cell>
          <cell r="F1264">
            <v>1</v>
          </cell>
        </row>
        <row r="1265">
          <cell r="B1265" t="str">
            <v>S-2026-02-26</v>
          </cell>
          <cell r="C1265" t="str">
            <v>BDB-000179</v>
          </cell>
          <cell r="D1265" t="str">
            <v>PVN-004059</v>
          </cell>
          <cell r="E1265" t="str">
            <v>OrthoLite X-55 RED/19-1764TPX Flat Sheet 0.16D 25+/-4 Asker C 1.1M 1.7M 5.2mm</v>
          </cell>
          <cell r="F1265">
            <v>2</v>
          </cell>
        </row>
        <row r="1266">
          <cell r="B1266" t="str">
            <v>S-2026-02-29</v>
          </cell>
          <cell r="C1266" t="str">
            <v>BDB-000123</v>
          </cell>
          <cell r="D1266" t="str">
            <v>PVN-003298</v>
          </cell>
          <cell r="E1266" t="str">
            <v>OrthoLite Ultra-Hybrid SEEDPEARL/12-0703TPX Hybrid 0.085D 25+/-4 Asker C 1.1M 2M 4mm</v>
          </cell>
          <cell r="F1266">
            <v>3</v>
          </cell>
        </row>
        <row r="1267">
          <cell r="B1267" t="str">
            <v>S-2026-02-22</v>
          </cell>
          <cell r="C1267" t="str">
            <v>BDB-000113</v>
          </cell>
          <cell r="D1267" t="str">
            <v>PVN-002465</v>
          </cell>
          <cell r="E1267" t="str">
            <v>OrthoLite Regular-Hybrid SEEDPEARL/12-0703TPX Hybrid Flat Sheet 0.11D 25+/-4 Asker C 1.1M 2M 5mm</v>
          </cell>
          <cell r="F1267">
            <v>3</v>
          </cell>
        </row>
        <row r="1268">
          <cell r="B1268" t="str">
            <v>S-2026-02-30</v>
          </cell>
          <cell r="C1268" t="str">
            <v>BDB-000113</v>
          </cell>
          <cell r="D1268" t="str">
            <v>PVN-003414</v>
          </cell>
          <cell r="E1268" t="str">
            <v>OrthoLite Regular-Hybrid SEEDPEARL/12-0703TPX Hybrid 0.11D 25+/-4 Asker C 1.1M 2M 12mm</v>
          </cell>
          <cell r="F1268">
            <v>5</v>
          </cell>
        </row>
        <row r="1269">
          <cell r="B1269" t="str">
            <v>S-2026-02-28</v>
          </cell>
          <cell r="C1269" t="str">
            <v>BDB-000113</v>
          </cell>
          <cell r="D1269" t="str">
            <v>PVN-002688</v>
          </cell>
          <cell r="E1269" t="str">
            <v>OrthoLite Regular-Hybrid SEEDPEARL/12-0703TPX Hybrid 0.11D 25+/-4 Asker C 1.1M 2M 6mm</v>
          </cell>
          <cell r="F1269">
            <v>1</v>
          </cell>
        </row>
        <row r="1270">
          <cell r="B1270" t="str">
            <v>F-2026-01-305</v>
          </cell>
          <cell r="C1270" t="str">
            <v>BDB-000125</v>
          </cell>
          <cell r="D1270" t="str">
            <v>PVN-001579</v>
          </cell>
          <cell r="E1270" t="str">
            <v>OrthoLite Regular-Nike AIR BLUE/16-4134TPX Flat Sheet 0.11D 25+/-4 Asker C 1.1M 2M 4mm</v>
          </cell>
          <cell r="F1270">
            <v>4</v>
          </cell>
        </row>
        <row r="1271">
          <cell r="B1271" t="str">
            <v>F-2026-02-60</v>
          </cell>
          <cell r="C1271" t="str">
            <v>BDB-000180</v>
          </cell>
          <cell r="D1271" t="str">
            <v>PVN-003236</v>
          </cell>
          <cell r="E1271" t="str">
            <v>OrthoLite Eco LT-Hybrid-Converse SEEDPEARL/12-0703TPX Hybrid 0.13D 25+/-4 Asker C 1.1M 2M 5mm</v>
          </cell>
          <cell r="F1271">
            <v>5</v>
          </cell>
        </row>
        <row r="1272">
          <cell r="B1272" t="str">
            <v>F-2026-01-246</v>
          </cell>
          <cell r="C1272" t="str">
            <v>BDB-000097</v>
          </cell>
          <cell r="D1272" t="str">
            <v>PVN-002478</v>
          </cell>
          <cell r="E1272" t="str">
            <v>OrthoLite Eco LT-Hybrid SEEDPEARL/12-0703TPX Hybrid 0.11D 25+/-4 Asker C 1.1M 2M 4mm</v>
          </cell>
          <cell r="F1272">
            <v>100</v>
          </cell>
        </row>
        <row r="1273">
          <cell r="B1273" t="str">
            <v>F-2026-01-410</v>
          </cell>
          <cell r="C1273" t="str">
            <v>BDB-000125</v>
          </cell>
          <cell r="D1273" t="str">
            <v>PVN-002413</v>
          </cell>
          <cell r="E1273" t="str">
            <v>OrthoLite Regular-Nike AIR BLUE/16-4134TPX 0.11D 25+/-4 Asker C 1.1M 2M 4.2mm</v>
          </cell>
          <cell r="F1273">
            <v>76</v>
          </cell>
        </row>
        <row r="1274">
          <cell r="B1274" t="str">
            <v>F-2026-01-343-2</v>
          </cell>
          <cell r="C1274" t="str">
            <v>BDB-000125</v>
          </cell>
          <cell r="D1274" t="str">
            <v>PVN-002413</v>
          </cell>
          <cell r="E1274" t="str">
            <v>OrthoLite Regular-Nike AIR BLUE/16-4134TPX 0.11D 25+/-4 Asker C 1.1M 2M 4.2mm</v>
          </cell>
          <cell r="F1274">
            <v>22</v>
          </cell>
        </row>
        <row r="1275">
          <cell r="B1275" t="str">
            <v>F-2026-01-373</v>
          </cell>
          <cell r="C1275" t="str">
            <v>BDB-000011</v>
          </cell>
          <cell r="D1275" t="str">
            <v>PVN-000121</v>
          </cell>
          <cell r="E1275" t="str">
            <v>OrthoLite Regular AIR BLUE/16-4134TPX Flat Sheet 0.13D 35+/-4 Asker C 1.1M 2M 12mm</v>
          </cell>
          <cell r="F1275">
            <v>12</v>
          </cell>
        </row>
        <row r="1276">
          <cell r="B1276" t="str">
            <v>F-2025-10-233</v>
          </cell>
          <cell r="C1276" t="str">
            <v>BDB-000160</v>
          </cell>
          <cell r="D1276" t="str">
            <v>PVN-001562</v>
          </cell>
          <cell r="E1276" t="str">
            <v>OrthoLite Ultra-Nike LIME GREEN/14-0452TPX 0.085D 25+/-4 Asker C 1.1M 2M 4mm</v>
          </cell>
          <cell r="F1276">
            <v>4</v>
          </cell>
        </row>
        <row r="1277">
          <cell r="B1277" t="str">
            <v>F-2026-01-461</v>
          </cell>
          <cell r="C1277" t="str">
            <v>BDB-000235</v>
          </cell>
          <cell r="D1277" t="str">
            <v>PVN-003576</v>
          </cell>
          <cell r="E1277" t="str">
            <v>OrthoLite X-55-Hybrid FOSSIL/17-0909TPX Hybrid Flat Sheet 0.16D 25+/-4 Asker C 1.1M 1.7M 12mm</v>
          </cell>
          <cell r="F1277">
            <v>108</v>
          </cell>
        </row>
        <row r="1278">
          <cell r="B1278" t="str">
            <v>F-2026-02-64</v>
          </cell>
          <cell r="C1278" t="str">
            <v>BDB-000123</v>
          </cell>
          <cell r="D1278" t="str">
            <v>PVN-002884</v>
          </cell>
          <cell r="E1278" t="str">
            <v>OrthoLite Ultra-Hybrid SEEDPEARL/12-0703TPX Hybrid Flat Sheet 0.085D 25+/-4 Asker C 1.1M 2M 10mm</v>
          </cell>
          <cell r="F1278">
            <v>1</v>
          </cell>
        </row>
        <row r="1279">
          <cell r="B1279" t="str">
            <v>F-2026-02-100</v>
          </cell>
          <cell r="C1279" t="str">
            <v>BDB-000125</v>
          </cell>
          <cell r="D1279" t="str">
            <v>PVN-001412</v>
          </cell>
          <cell r="E1279" t="str">
            <v>OrthoLite Regular-Nike AIR BLUE/16-4134TPX Flat Sheet 0.11D 25+/-4 Asker C 1.1M 2M 5mm</v>
          </cell>
          <cell r="F1279">
            <v>1</v>
          </cell>
        </row>
        <row r="1280">
          <cell r="B1280" t="str">
            <v>F-2026-01-232</v>
          </cell>
          <cell r="C1280" t="str">
            <v>BDB-000217</v>
          </cell>
          <cell r="D1280" t="str">
            <v>PVN-003539</v>
          </cell>
          <cell r="E1280" t="str">
            <v>OrthoLite X-40-Hybrid SEEDPEARL/12-0703TPX Hybrid Flat Sheet 0.16D 35+/-4 Asker C 1.1M 1.7M 6.2mm</v>
          </cell>
          <cell r="F1280">
            <v>46</v>
          </cell>
        </row>
        <row r="1281">
          <cell r="B1281" t="str">
            <v>F-2026-01-378</v>
          </cell>
          <cell r="C1281" t="str">
            <v>BDB-000217</v>
          </cell>
          <cell r="D1281" t="str">
            <v>PVN-003733</v>
          </cell>
          <cell r="E1281" t="str">
            <v>OrthoLite X-40-Hybrid SEEDPEARL/12-0703TPX Hybrid Flat Sheet 0.16D 35+/-4 Asker C 1.1M 1.7M 12.5mm</v>
          </cell>
          <cell r="F1281">
            <v>2</v>
          </cell>
        </row>
        <row r="1282">
          <cell r="B1282" t="str">
            <v>F-2026-02-05</v>
          </cell>
          <cell r="C1282" t="str">
            <v>BDB-000348</v>
          </cell>
          <cell r="D1282" t="str">
            <v>PVN-004210</v>
          </cell>
          <cell r="E1282" t="str">
            <v>OrthoLite IMPERIAL SEEDPEARL/12-0703TPX Flat Sheet 0.22D 25+/-4 Asker C 1.1M 1.47M 5mm</v>
          </cell>
          <cell r="F1282">
            <v>4</v>
          </cell>
        </row>
        <row r="1283">
          <cell r="B1283" t="str">
            <v>F-2026-02-33</v>
          </cell>
          <cell r="C1283" t="str">
            <v>BDB-000348</v>
          </cell>
          <cell r="D1283" t="str">
            <v>PVN-004195</v>
          </cell>
          <cell r="E1283" t="str">
            <v>OrthoLite IMPERIAL SEEDPEARL/12-0703TPX Flat Sheet 0.22D 25+/-4 Asker C 1.1M 1.47M 4mm</v>
          </cell>
          <cell r="F1283">
            <v>43</v>
          </cell>
        </row>
        <row r="1284">
          <cell r="B1284" t="str">
            <v>F-2026-01-455</v>
          </cell>
          <cell r="C1284" t="str">
            <v>BDB-000011</v>
          </cell>
          <cell r="D1284" t="str">
            <v>PVN-000121</v>
          </cell>
          <cell r="E1284" t="str">
            <v>OrthoLite Regular AIR BLUE/16-4134TPX Flat Sheet 0.13D 35+/-4 Asker C 1.1M 2M 12mm</v>
          </cell>
          <cell r="F1284">
            <v>85</v>
          </cell>
        </row>
        <row r="1285">
          <cell r="B1285" t="str">
            <v>F-2026-01-452</v>
          </cell>
          <cell r="C1285" t="str">
            <v>BDB-000209</v>
          </cell>
          <cell r="D1285" t="str">
            <v>PVN-003461</v>
          </cell>
          <cell r="E1285" t="str">
            <v>OrthoLite HybridPlus-Recycled MINT GREEN/11-4805TPX Hybrid Flat Sheet 0.12D 25+/-4 Asker C 1.1M 2M 11mm</v>
          </cell>
          <cell r="F1285">
            <v>3</v>
          </cell>
        </row>
        <row r="1286">
          <cell r="B1286" t="str">
            <v>F-2026-02-41</v>
          </cell>
          <cell r="C1286" t="str">
            <v>BDB-000209</v>
          </cell>
          <cell r="D1286" t="str">
            <v>PVN-003462</v>
          </cell>
          <cell r="E1286" t="str">
            <v>OrthoLite HybridPlus-Recycled MINT GREEN/11-4805TPX Hybrid Flat Sheet 0.12D 25+/-4 Asker C 1.1M 2M 12mm</v>
          </cell>
          <cell r="F1286">
            <v>5</v>
          </cell>
        </row>
        <row r="1287">
          <cell r="B1287" t="str">
            <v>F-2026-02-124</v>
          </cell>
          <cell r="C1287" t="str">
            <v>BDB-000209</v>
          </cell>
          <cell r="D1287" t="str">
            <v>PVN-003462</v>
          </cell>
          <cell r="E1287" t="str">
            <v>OrthoLite HybridPlus-Recycled MINT GREEN/11-4805TPX Hybrid Flat Sheet 0.12D 25+/-4 Asker C 1.1M 2M 12mm</v>
          </cell>
          <cell r="F1287">
            <v>20</v>
          </cell>
        </row>
        <row r="1288">
          <cell r="B1288" t="str">
            <v>F-2026-02-07</v>
          </cell>
          <cell r="C1288" t="str">
            <v>BDB-000209</v>
          </cell>
          <cell r="D1288" t="str">
            <v>PVN-003462</v>
          </cell>
          <cell r="E1288" t="str">
            <v>OrthoLite HybridPlus-Recycled MINT GREEN/11-4805TPX Hybrid Flat Sheet 0.12D 25+/-4 Asker C 1.1M 2M 12mm</v>
          </cell>
          <cell r="F1288">
            <v>33</v>
          </cell>
        </row>
        <row r="1289">
          <cell r="B1289" t="str">
            <v>F-2026-01-396</v>
          </cell>
          <cell r="C1289" t="str">
            <v>BDB-000131</v>
          </cell>
          <cell r="D1289" t="str">
            <v>PVN-001565</v>
          </cell>
          <cell r="E1289" t="str">
            <v>OrthoLite Regular-Nike AIR BLUE/16-4134TPX 0.11D 15+/-4 Asker C 1.1M 2M 4mm</v>
          </cell>
          <cell r="F1289">
            <v>29</v>
          </cell>
        </row>
        <row r="1290">
          <cell r="B1290" t="str">
            <v>F-2026-02-26</v>
          </cell>
          <cell r="C1290" t="str">
            <v>BDB-000355</v>
          </cell>
          <cell r="D1290" t="str">
            <v>PVN-004231</v>
          </cell>
          <cell r="E1290" t="str">
            <v>OrthoLite HybridPlus-Recycled CASTLEROCK/18-0201TPX Hybrid Flat Sheet 0.12D 25+/-4 Asker C 1.1M 2M 4.5mm</v>
          </cell>
          <cell r="F1290">
            <v>13</v>
          </cell>
        </row>
        <row r="1291">
          <cell r="B1291" t="str">
            <v>F-2026-01-449</v>
          </cell>
          <cell r="C1291" t="str">
            <v>BDB-000248</v>
          </cell>
          <cell r="D1291" t="str">
            <v>PVN-003931</v>
          </cell>
          <cell r="E1291" t="str">
            <v>OrthoLite X-40-Hybrid RED/19-1764TPX Hybrid Flat Sheet 0.16D 25+/-4 Asker C 1.1M 1.7M 6.5mm</v>
          </cell>
          <cell r="F1291">
            <v>4</v>
          </cell>
        </row>
        <row r="1292">
          <cell r="B1292" t="str">
            <v>F-2026-01-327</v>
          </cell>
          <cell r="C1292" t="str">
            <v>BDB-000123</v>
          </cell>
          <cell r="D1292" t="str">
            <v>PVN-003298</v>
          </cell>
          <cell r="E1292" t="str">
            <v>OrthoLite Ultra-Hybrid SEEDPEARL/12-0703TPX Hybrid 0.085D 25+/-4 Asker C 1.1M 2M 4mm</v>
          </cell>
          <cell r="F1292">
            <v>9</v>
          </cell>
        </row>
        <row r="1293">
          <cell r="B1293" t="str">
            <v>F-2025-12-527</v>
          </cell>
          <cell r="C1293" t="str">
            <v>BDB-000123</v>
          </cell>
          <cell r="D1293" t="str">
            <v>PVN-003299</v>
          </cell>
          <cell r="E1293" t="str">
            <v>OrthoLite Ultra-Hybrid SEEDPEARL/12-0703TPX Hybrid 0.085D 25+/-4 Asker C 1.1M 2M 3mm</v>
          </cell>
          <cell r="F1293">
            <v>45</v>
          </cell>
        </row>
        <row r="1294">
          <cell r="B1294" t="str">
            <v>F-2026-01-81</v>
          </cell>
          <cell r="C1294" t="str">
            <v>BDB-000113</v>
          </cell>
          <cell r="D1294" t="str">
            <v>PVN-003414</v>
          </cell>
          <cell r="E1294" t="str">
            <v>OrthoLite Regular-Hybrid SEEDPEARL/12-0703TPX Hybrid Flat Sheet 0.11D 25+/-4 Asker C 1.1M 2M 12mm</v>
          </cell>
          <cell r="F1294">
            <v>165</v>
          </cell>
        </row>
        <row r="1295">
          <cell r="B1295" t="str">
            <v>F-2026-01-456</v>
          </cell>
          <cell r="C1295" t="str">
            <v>BDB-000318</v>
          </cell>
          <cell r="D1295" t="str">
            <v>PVN-004077</v>
          </cell>
          <cell r="E1295" t="str">
            <v>OrthoLite X-55 RED/19-1764TPX Flat Sheet 0.16D 25+/-4 Asker C 1.1M 2M 5.2mm</v>
          </cell>
          <cell r="F1295">
            <v>5</v>
          </cell>
        </row>
        <row r="1296">
          <cell r="B1296" t="str">
            <v>F-2026-01-450</v>
          </cell>
          <cell r="C1296" t="str">
            <v>BDB-000309</v>
          </cell>
          <cell r="D1296" t="str">
            <v>PVN-004033</v>
          </cell>
          <cell r="E1296" t="str">
            <v>OrthoLite X-40-Hybrid NEUTRAL GRAY/17-4402TPX Hybrid Flat Sheet 0.16D 35+/-4 Asker C 1.1M 2M 2mm</v>
          </cell>
          <cell r="F1296">
            <v>2</v>
          </cell>
        </row>
        <row r="1297">
          <cell r="B1297" t="str">
            <v>F-2026-02-89</v>
          </cell>
          <cell r="C1297" t="str">
            <v>BDB-000125</v>
          </cell>
          <cell r="D1297" t="str">
            <v>PVN-001412</v>
          </cell>
          <cell r="E1297" t="str">
            <v>OrthoLite Regular-Nike AIR BLUE/16-4134TPX Flat Sheet 0.11D 25+/-4 Asker C 1.1M 2M 5mm</v>
          </cell>
          <cell r="F1297">
            <v>4</v>
          </cell>
        </row>
        <row r="1298">
          <cell r="B1298" t="str">
            <v>F-2026-02-138</v>
          </cell>
          <cell r="C1298" t="str">
            <v>BDB-000149</v>
          </cell>
          <cell r="D1298" t="str">
            <v>PVN-002773</v>
          </cell>
          <cell r="E1298" t="str">
            <v>OrthoLite Regular-Hybrid-Nike SEEDPEARL/12-0703TPX Hybrid Flat Sheet 0.11D 25+/-4 Asker C 1.1M 2M 4mm</v>
          </cell>
          <cell r="F1298">
            <v>2</v>
          </cell>
        </row>
        <row r="1299">
          <cell r="B1299" t="str">
            <v>S-2026-02-24</v>
          </cell>
          <cell r="C1299" t="str">
            <v>BDB-000097</v>
          </cell>
          <cell r="D1299" t="str">
            <v>PVN-002478</v>
          </cell>
          <cell r="E1299" t="str">
            <v>OrthoLite Eco LT-Hybrid SEEDPEARL/12-0703TPX Hybrid 0.11D 25+/-4 Asker C 1.1M 2M 4mm</v>
          </cell>
          <cell r="F1299">
            <v>3</v>
          </cell>
        </row>
        <row r="1300">
          <cell r="B1300" t="str">
            <v>F-2026-01-397</v>
          </cell>
          <cell r="C1300" t="str">
            <v>BDB-000162</v>
          </cell>
          <cell r="D1300" t="str">
            <v>PVN-001566</v>
          </cell>
          <cell r="E1300" t="str">
            <v>OrthoLite Ultra-Nike SEEDPEARL/12-0703TPX 0.085D 25+/-4 Asker C 1.1M 2M 4mm</v>
          </cell>
          <cell r="F1300">
            <v>7</v>
          </cell>
        </row>
        <row r="1301">
          <cell r="B1301" t="str">
            <v>F-2026-01-444</v>
          </cell>
          <cell r="C1301" t="str">
            <v>BDB-000113</v>
          </cell>
          <cell r="D1301" t="str">
            <v>PVN-002465</v>
          </cell>
          <cell r="E1301" t="str">
            <v>OrthoLite Regular-Hybrid SEEDPEARL/12-0703TPX Hybrid Flat Sheet 0.11D 25+/-4 Asker C 1.1M 2M 5mm</v>
          </cell>
          <cell r="F1301">
            <v>6</v>
          </cell>
        </row>
        <row r="1302">
          <cell r="B1302" t="str">
            <v>S-2026-02-33</v>
          </cell>
          <cell r="C1302" t="str">
            <v>BDB-000076</v>
          </cell>
          <cell r="D1302" t="str">
            <v>PVN-003494</v>
          </cell>
          <cell r="E1302" t="str">
            <v>OrthoLite X-25 BILLIARD/16-5427TPX Flat Sheet 0.12D 20+/-4 Asker C 1.1M 2M 5.5mm</v>
          </cell>
          <cell r="F1302">
            <v>1</v>
          </cell>
        </row>
        <row r="1303">
          <cell r="B1303" t="str">
            <v>S-2026-02-34</v>
          </cell>
          <cell r="C1303" t="str">
            <v>BDB-000209</v>
          </cell>
          <cell r="D1303" t="str">
            <v>PVN-003465</v>
          </cell>
          <cell r="E1303" t="str">
            <v>OrthoLite HybridPlus-Recycled MINT GREEN/11-4805TPX Hybrid Flat Sheet 0.12D 25+/-4 Asker C 1.1M 2M 5.5mm</v>
          </cell>
          <cell r="F1303">
            <v>2</v>
          </cell>
        </row>
        <row r="1304">
          <cell r="B1304" t="str">
            <v>S-2026-02-31</v>
          </cell>
          <cell r="C1304" t="str">
            <v>BDB-000209</v>
          </cell>
          <cell r="D1304" t="str">
            <v>PVN-003465</v>
          </cell>
          <cell r="E1304" t="str">
            <v>OrthoLite HybridPlus-Recycled MINT GREEN/11-4805TPX Hybrid Flat Sheet 0.12D 25+/-4 Asker C 1.1M 2M 5.5mm</v>
          </cell>
          <cell r="F1304">
            <v>1</v>
          </cell>
        </row>
        <row r="1305">
          <cell r="B1305" t="str">
            <v>S-2026-02-25</v>
          </cell>
          <cell r="C1305" t="str">
            <v>BDB-000337</v>
          </cell>
          <cell r="D1305" t="str">
            <v>PVN-004171</v>
          </cell>
          <cell r="E1305" t="str">
            <v>OrthoLite X-55 SEEDPEARL/12-0703TPX Flat Sheet 0.16D 25+/-4 Asker C 1.1M 2M 5.2mm</v>
          </cell>
          <cell r="F1305">
            <v>1</v>
          </cell>
        </row>
        <row r="1306">
          <cell r="B1306" t="str">
            <v>S-2026-02-23</v>
          </cell>
          <cell r="C1306" t="str">
            <v>BDB-000324</v>
          </cell>
          <cell r="D1306" t="str">
            <v>PVN-004307</v>
          </cell>
          <cell r="E1306" t="str">
            <v>OrthoLite X-40 TRUE BLUE/19-4057TPX Flat Sheet 0.16D 25+/-4 Asker C 1.1M 2M 5mm</v>
          </cell>
          <cell r="F1306">
            <v>1</v>
          </cell>
        </row>
        <row r="1307">
          <cell r="B1307" t="str">
            <v>F-2026-01-523-2</v>
          </cell>
          <cell r="C1307" t="str">
            <v>BDB-000052</v>
          </cell>
          <cell r="D1307" t="str">
            <v>PVN-003603</v>
          </cell>
          <cell r="E1307" t="str">
            <v>OrthoLite X-40 TRUE BLUE/19-4057TPX Flat Sheet 0.16D 25+/-4 Asker C 1.1M 1.47M 12mm</v>
          </cell>
          <cell r="F1307">
            <v>6</v>
          </cell>
        </row>
        <row r="1308">
          <cell r="B1308" t="str">
            <v>F-2025-12-527</v>
          </cell>
          <cell r="C1308" t="str">
            <v>BDB-000123</v>
          </cell>
          <cell r="D1308" t="str">
            <v>PVN-003299</v>
          </cell>
          <cell r="E1308" t="str">
            <v>OrthoLite Ultra-Hybrid SEEDPEARL/12-0703TPX Hybrid 0.085D 25+/-4 Asker C 1.1M 2M 3mm</v>
          </cell>
          <cell r="F1308">
            <v>108</v>
          </cell>
        </row>
        <row r="1309">
          <cell r="B1309" t="str">
            <v>F-2026-02-04</v>
          </cell>
          <cell r="C1309" t="str">
            <v>BDB-000200</v>
          </cell>
          <cell r="D1309" t="str">
            <v>PVN-003425</v>
          </cell>
          <cell r="E1309" t="str">
            <v>OrthoLite Ultra SEEDPEARL/12-0703TPX Flat Sheet 0.085D 78-90 Asker F 1.1M 2M 4mm</v>
          </cell>
          <cell r="F1309">
            <v>4</v>
          </cell>
        </row>
        <row r="1310">
          <cell r="B1310" t="str">
            <v>F-2026-01-396</v>
          </cell>
          <cell r="C1310" t="str">
            <v>BDB-000131</v>
          </cell>
          <cell r="D1310" t="str">
            <v>PVN-001565</v>
          </cell>
          <cell r="E1310" t="str">
            <v>OrthoLite Regular-Nike AIR BLUE/16-4134TPX 0.11D 15+/-4 Asker C 1.1M 2M 4mm</v>
          </cell>
          <cell r="F1310">
            <v>9</v>
          </cell>
        </row>
        <row r="1311">
          <cell r="B1311" t="str">
            <v>F-2026-01-455</v>
          </cell>
          <cell r="C1311" t="str">
            <v>BDB-000011</v>
          </cell>
          <cell r="D1311" t="str">
            <v>PVN-000121</v>
          </cell>
          <cell r="E1311" t="str">
            <v>OrthoLite Regular AIR BLUE/16-4134TPX Flat Sheet 0.13D 35+/-4 Asker C 1.1M 2M 12mm</v>
          </cell>
          <cell r="F1311">
            <v>14</v>
          </cell>
        </row>
        <row r="1312">
          <cell r="B1312" t="str">
            <v>F-2026-01-455</v>
          </cell>
          <cell r="C1312" t="str">
            <v>BDB-000011</v>
          </cell>
          <cell r="D1312" t="str">
            <v>PVN-000121</v>
          </cell>
          <cell r="E1312" t="str">
            <v>OrthoLite Regular AIR BLUE/16-4134TPX Flat Sheet 0.13D 35+/-4 Asker C 1.1M 2M 12mm</v>
          </cell>
          <cell r="F1312">
            <v>5</v>
          </cell>
        </row>
        <row r="1313">
          <cell r="B1313" t="str">
            <v>F-2026-01-434</v>
          </cell>
          <cell r="C1313" t="str">
            <v>BDB-000157</v>
          </cell>
          <cell r="D1313" t="str">
            <v>PVN-003573</v>
          </cell>
          <cell r="E1313" t="str">
            <v>OrthoLite X-35-Hybrid-Nike SEEDPEARL/12-0703TPX Hybrid 0.145D 25+/-4 Asker C 1.1M 2M 4.2mm</v>
          </cell>
          <cell r="F1313">
            <v>97</v>
          </cell>
        </row>
        <row r="1314">
          <cell r="B1314" t="str">
            <v>F-2026-02-155</v>
          </cell>
          <cell r="C1314" t="str">
            <v>BDB-000123</v>
          </cell>
          <cell r="D1314" t="str">
            <v>PVN-002884</v>
          </cell>
          <cell r="E1314" t="str">
            <v>OrthoLite Ultra-Hybrid SEEDPEARL/12-0703TPX Hybrid Flat Sheet 0.085D 25+/-4 Asker C 1.1M 2M 10mm</v>
          </cell>
          <cell r="F1314">
            <v>25</v>
          </cell>
        </row>
        <row r="1315">
          <cell r="B1315" t="str">
            <v>F-2026-01-81</v>
          </cell>
          <cell r="C1315" t="str">
            <v>BDB-000113</v>
          </cell>
          <cell r="D1315" t="str">
            <v>PVN-003414</v>
          </cell>
          <cell r="E1315" t="str">
            <v>OrthoLite Regular-Hybrid SEEDPEARL/12-0703TPX Hybrid Flat Sheet 0.11D 25+/-4 Asker C 1.1M 2M 12mm</v>
          </cell>
          <cell r="F1315">
            <v>183</v>
          </cell>
        </row>
        <row r="1316">
          <cell r="B1316" t="str">
            <v>F-2026-02-61</v>
          </cell>
          <cell r="C1316" t="str">
            <v>BDB-000224</v>
          </cell>
          <cell r="D1316" t="str">
            <v>PVN-004258</v>
          </cell>
          <cell r="E1316" t="str">
            <v>OrthoLite R&amp;R CASTLEROCK/18-0201TPX Flat Sheet 0.16D 15+/-4 Asker C 1.1M 1.7M 3mm</v>
          </cell>
          <cell r="F1316">
            <v>7</v>
          </cell>
        </row>
        <row r="1317">
          <cell r="B1317" t="str">
            <v>F-2025-12-405</v>
          </cell>
          <cell r="C1317" t="str">
            <v>BDB-000175</v>
          </cell>
          <cell r="D1317" t="str">
            <v>PVN-002966</v>
          </cell>
          <cell r="E1317" t="str">
            <v>OrthoLite Ultra-Hybrid-Nike SEEDPEARL/12-0703TPX Hybrid 0.085D 25+/-4 Asker C 1.1M 2M 4mm</v>
          </cell>
          <cell r="F1317">
            <v>100</v>
          </cell>
        </row>
        <row r="1318">
          <cell r="B1318" t="str">
            <v>F-2026-01-466</v>
          </cell>
          <cell r="C1318" t="str">
            <v>BDB-000286</v>
          </cell>
          <cell r="D1318" t="str">
            <v>PVN-003913</v>
          </cell>
          <cell r="E1318" t="str">
            <v>OrthoLite Regular-Hybrid SEEDPEARL/12-0703TPX Hybrid Flat Sheet 0.13D 25+/-4 Asker C 1.1M 1.7M 4mm</v>
          </cell>
          <cell r="F1318">
            <v>3</v>
          </cell>
        </row>
        <row r="1319">
          <cell r="B1319" t="str">
            <v>F-2026-01-465</v>
          </cell>
          <cell r="C1319" t="str">
            <v>BDB-000286</v>
          </cell>
          <cell r="D1319" t="str">
            <v>PVN-003864</v>
          </cell>
          <cell r="E1319" t="str">
            <v>OrthoLite Regular-Hybrid SEEDPEARL/12-0703TPX Hybrid Flat Sheet 0.13D 25+/-4 Asker C 1.1M 1.7M 3mm</v>
          </cell>
          <cell r="F1319">
            <v>7</v>
          </cell>
        </row>
        <row r="1320">
          <cell r="B1320" t="str">
            <v>F-2026-02-16</v>
          </cell>
          <cell r="C1320" t="str">
            <v>BDB-000157</v>
          </cell>
          <cell r="D1320" t="str">
            <v>PVN-004083</v>
          </cell>
          <cell r="E1320" t="str">
            <v>OrthoLite X-35-Hybrid-Nike SEEDPEARL/12-0703TPX BUN(X35-HYBRID-NIKE) 0.145D 25+/-4 Asker C 1.1M 2M 160mm</v>
          </cell>
          <cell r="F1320">
            <v>1</v>
          </cell>
        </row>
        <row r="1321">
          <cell r="B1321" t="str">
            <v>F-2026-01-470</v>
          </cell>
          <cell r="C1321" t="str">
            <v>BDB-000157</v>
          </cell>
          <cell r="D1321" t="str">
            <v>PVN-004083</v>
          </cell>
          <cell r="E1321" t="str">
            <v>OrthoLite X-35-Hybrid-Nike SEEDPEARL/12-0703TPX Hybrid Flat Sheet 0.145D 25+/-4 Asker C 1.1M 2M 4mm</v>
          </cell>
          <cell r="F1321">
            <v>2</v>
          </cell>
        </row>
        <row r="1322">
          <cell r="B1322" t="str">
            <v>F-2026-02-130</v>
          </cell>
          <cell r="C1322" t="str">
            <v>BDB-000157</v>
          </cell>
          <cell r="D1322" t="str">
            <v>PVN-003642</v>
          </cell>
          <cell r="E1322" t="str">
            <v>OrthoLite X-35-Hybrid-Nike SEEDPEARL/12-0703TPX Hybrid Flat Sheet 0.145D 25+/-4 Asker C 1.1M 2M 6.2mm</v>
          </cell>
          <cell r="F1322">
            <v>1</v>
          </cell>
        </row>
        <row r="1323">
          <cell r="B1323" t="str">
            <v>F-2026-01-484</v>
          </cell>
          <cell r="C1323" t="str">
            <v>BDB-000011</v>
          </cell>
          <cell r="D1323" t="str">
            <v>PVN-000258</v>
          </cell>
          <cell r="E1323" t="str">
            <v>OrthoLite Regular AIR BLUE/16-4134TPX Flat Sheet 0.13D 35+/-4 Asker C 1.1M 2M 2.5mm</v>
          </cell>
          <cell r="F1323">
            <v>45</v>
          </cell>
        </row>
        <row r="1324">
          <cell r="B1324" t="str">
            <v>F-2026-01-480</v>
          </cell>
          <cell r="C1324" t="str">
            <v>BDB-000011</v>
          </cell>
          <cell r="D1324" t="str">
            <v>PVN-000242</v>
          </cell>
          <cell r="E1324" t="str">
            <v>OrthoLite Regular AIR BLUE/16-4134TPX Flat Sheet 0.13D 35+/-4 Asker C 1.1M 2M 2mm</v>
          </cell>
          <cell r="F1324">
            <v>21</v>
          </cell>
        </row>
        <row r="1325">
          <cell r="B1325" t="str">
            <v>F-2026-02-33</v>
          </cell>
          <cell r="C1325" t="str">
            <v>BDB-000348</v>
          </cell>
          <cell r="D1325" t="str">
            <v>PVN-004195</v>
          </cell>
          <cell r="E1325" t="str">
            <v>OrthoLite IMPERIAL SEEDPEARL/12-0703TPX Flat Sheet 0.22D 25+/-4 Asker C 1.1M 1.47M 4mm</v>
          </cell>
          <cell r="F1325">
            <v>6</v>
          </cell>
        </row>
        <row r="1326">
          <cell r="B1326" t="str">
            <v>F-2026-01-335</v>
          </cell>
          <cell r="C1326" t="str">
            <v>BDB-000123</v>
          </cell>
          <cell r="D1326" t="str">
            <v>PVN-002973</v>
          </cell>
          <cell r="E1326" t="str">
            <v>OrthoLite Ultra-Hybrid SEEDPEARL/12-0703TPX Hybrid 0.085D 25+/-4 Asker C 1.1M 2M 4.5mm</v>
          </cell>
          <cell r="F1326">
            <v>2</v>
          </cell>
        </row>
        <row r="1327">
          <cell r="B1327" t="str">
            <v>F-2026-01-461</v>
          </cell>
          <cell r="C1327" t="str">
            <v>BDB-000235</v>
          </cell>
          <cell r="D1327" t="str">
            <v>PVN-003576</v>
          </cell>
          <cell r="E1327" t="str">
            <v>OrthoLite X-55-Hybrid FOSSIL/17-0909TPX Hybrid Flat Sheet 0.16D 25+/-4 Asker C 1.1M 1.7M 12mm</v>
          </cell>
          <cell r="F1327">
            <v>9</v>
          </cell>
        </row>
        <row r="1328">
          <cell r="B1328" t="str">
            <v>F-2026-01-456</v>
          </cell>
          <cell r="C1328" t="str">
            <v>BDB-000318</v>
          </cell>
          <cell r="D1328" t="str">
            <v>PVN-004077</v>
          </cell>
          <cell r="E1328" t="str">
            <v>OrthoLite X-55 RED/19-1764TPX Flat Sheet 0.16D 25+/-4 Asker C 1.1M 2M 5.2mm</v>
          </cell>
          <cell r="F1328">
            <v>2</v>
          </cell>
        </row>
        <row r="1329">
          <cell r="B1329" t="str">
            <v>F-2026-01-229</v>
          </cell>
          <cell r="C1329" t="str">
            <v>BDB-000347</v>
          </cell>
          <cell r="D1329" t="str">
            <v>PVN-004192</v>
          </cell>
          <cell r="E1329" t="str">
            <v>OrthoLite X-55-Hybrid SEEDPEARL/12-0703TPX Hybrid 0.16D 25+/-4 Asker C 1.1M 2M 12mm</v>
          </cell>
          <cell r="F1329">
            <v>91</v>
          </cell>
        </row>
        <row r="1330">
          <cell r="B1330" t="str">
            <v>F-2025-10-246</v>
          </cell>
          <cell r="C1330" t="str">
            <v>BDB-000161</v>
          </cell>
          <cell r="D1330" t="str">
            <v>PVN-001560</v>
          </cell>
          <cell r="E1330" t="str">
            <v>OrthoLite Ultra-Nike FOSSIL/17-0909TPX 0.085D 25+/-4 Asker C 1.1M 2M 4mm</v>
          </cell>
          <cell r="F1330">
            <v>6</v>
          </cell>
        </row>
        <row r="1331">
          <cell r="B1331" t="str">
            <v>F-2026-02-203</v>
          </cell>
          <cell r="C1331" t="str">
            <v>BDB-000012</v>
          </cell>
          <cell r="D1331" t="str">
            <v>PVN-000640</v>
          </cell>
          <cell r="E1331" t="str">
            <v>OrthoLite Regular SEEDPEARL/12-0703TPX 0.13D 25+/-4 Asker C 1.1M 2M 5mm</v>
          </cell>
          <cell r="F1331">
            <v>3</v>
          </cell>
        </row>
        <row r="1332">
          <cell r="B1332" t="str">
            <v>F-2026-01-425</v>
          </cell>
          <cell r="C1332" t="str">
            <v>BDB-000156</v>
          </cell>
          <cell r="D1332" t="str">
            <v>PVN-003243</v>
          </cell>
          <cell r="E1332" t="str">
            <v>OrthoLite X-35-Hybrid-Nike AMAZON/18-6024TPX Hybrid 0.145D 25+/-4 Asker C 1.1M 2M 5.2mm</v>
          </cell>
          <cell r="F1332">
            <v>39</v>
          </cell>
        </row>
        <row r="1333">
          <cell r="B1333" t="str">
            <v>F-2026-01-414</v>
          </cell>
          <cell r="C1333" t="str">
            <v>BDB-000149</v>
          </cell>
          <cell r="D1333" t="str">
            <v>PVN-002827</v>
          </cell>
          <cell r="E1333" t="str">
            <v>OrthoLite Regular-Hybrid-Nike SEEDPEARL/12-0703TPX Hybrid 0.11D 25+/-4 Asker C 1.1M 2M 5mm</v>
          </cell>
          <cell r="F1333">
            <v>25</v>
          </cell>
        </row>
        <row r="1334">
          <cell r="B1334" t="str">
            <v>F-2026-01-82</v>
          </cell>
          <cell r="C1334" t="str">
            <v>BDB-000113</v>
          </cell>
          <cell r="D1334" t="str">
            <v>PVN-003414</v>
          </cell>
          <cell r="E1334" t="str">
            <v>OrthoLite Regular-Hybrid SEEDPEARL/12-0703TPX Hybrid Flat Sheet 0.11D 25+/-4 Asker C 1.1M 2M 12mm</v>
          </cell>
          <cell r="F1334">
            <v>61</v>
          </cell>
        </row>
        <row r="1335">
          <cell r="B1335" t="str">
            <v>F-2026-01-506</v>
          </cell>
          <cell r="C1335" t="str">
            <v>BDB-000113</v>
          </cell>
          <cell r="D1335" t="str">
            <v>PVN-002501</v>
          </cell>
          <cell r="E1335" t="str">
            <v>OrthoLite Regular-Hybrid SEEDPEARL/12-0703TPX Hybrid Flat Sheet 0.11D 25+/-4 Asker C 1.1M 2M 2mm</v>
          </cell>
          <cell r="F1335">
            <v>13</v>
          </cell>
        </row>
        <row r="1336">
          <cell r="B1336" t="str">
            <v>F-2026-01-85</v>
          </cell>
          <cell r="C1336" t="str">
            <v>BDB-000113</v>
          </cell>
          <cell r="D1336" t="str">
            <v>PVN-003414</v>
          </cell>
          <cell r="E1336" t="str">
            <v>OrthoLite Regular-Hybrid SEEDPEARL/12-0703TPX Hybrid Flat Sheet 0.11D 25+/-4 Asker C 1.1M 2M 12mm</v>
          </cell>
          <cell r="F1336">
            <v>166</v>
          </cell>
        </row>
        <row r="1337">
          <cell r="B1337" t="str">
            <v>F-2026-02-23</v>
          </cell>
          <cell r="C1337" t="str">
            <v>BDB-000113</v>
          </cell>
          <cell r="D1337" t="str">
            <v>PVN-002515</v>
          </cell>
          <cell r="E1337" t="str">
            <v>OrthoLite Regular-Hybrid SEEDPEARL/12-0703TPX Hybrid Flat Sheet 0.11D 25+/-4 Asker C 1.1M 2M 11mm</v>
          </cell>
          <cell r="F1337">
            <v>5</v>
          </cell>
        </row>
        <row r="1338">
          <cell r="B1338" t="str">
            <v>F-2026-01-498</v>
          </cell>
          <cell r="C1338" t="str">
            <v>BDB-000113</v>
          </cell>
          <cell r="D1338" t="str">
            <v>PVN-002465</v>
          </cell>
          <cell r="E1338" t="str">
            <v>OrthoLite Regular-Hybrid SEEDPEARL/12-0703TPX Hybrid Flat Sheet 0.11D 25+/-4 Asker C 1.1M 2M 5mm</v>
          </cell>
          <cell r="F1338">
            <v>63</v>
          </cell>
        </row>
        <row r="1339">
          <cell r="B1339" t="str">
            <v>F-2026-02-56</v>
          </cell>
          <cell r="C1339" t="str">
            <v>BDB-000339</v>
          </cell>
          <cell r="D1339" t="str">
            <v>PVN-004223</v>
          </cell>
          <cell r="E1339" t="str">
            <v>OrthoLite Float NEUTRAL GRAY/17-4402TPX Flat Sheet 0.12D 21+/-4 Asker C 1.1M 2M 5mm</v>
          </cell>
          <cell r="F1339">
            <v>2</v>
          </cell>
        </row>
        <row r="1340">
          <cell r="B1340" t="str">
            <v>F-2026-02-14</v>
          </cell>
          <cell r="C1340" t="str">
            <v>BDB-000339</v>
          </cell>
          <cell r="D1340" t="str">
            <v>PVN-004178</v>
          </cell>
          <cell r="E1340" t="str">
            <v>OrthoLite Float NEUTRAL GRAY/17-4402TPX Flat Sheet 0.12D 21+/-4 Asker C 1.1M 2M 5.5mm</v>
          </cell>
          <cell r="F1340">
            <v>29</v>
          </cell>
        </row>
        <row r="1341">
          <cell r="B1341" t="str">
            <v>F-2026-02-50</v>
          </cell>
          <cell r="C1341" t="str">
            <v>BDB-000077</v>
          </cell>
          <cell r="D1341" t="str">
            <v>PVN-004147</v>
          </cell>
          <cell r="E1341" t="str">
            <v>OrthoLite X-25 SEEDPEARL/12-0703TPX Flat Sheet 0.12D 20+/-4 Asker C 1.1M 2M 5.5mm</v>
          </cell>
          <cell r="F1341">
            <v>11</v>
          </cell>
        </row>
        <row r="1342">
          <cell r="B1342" t="str">
            <v>F-2026-01-517</v>
          </cell>
          <cell r="C1342" t="str">
            <v>BDB-000234</v>
          </cell>
          <cell r="D1342" t="str">
            <v>PVN-003581</v>
          </cell>
          <cell r="E1342" t="str">
            <v>OrthoLite X-30-Hybrid BROWN SUGAR/17-1134TPX Hybrid Flat Sheet 0.13D 25+/-4 Asker C 1.1M 2M 12mm</v>
          </cell>
          <cell r="F1342">
            <v>87</v>
          </cell>
        </row>
        <row r="1343">
          <cell r="B1343" t="str">
            <v>F-2026-02-114</v>
          </cell>
          <cell r="C1343" t="str">
            <v>BDB-000348</v>
          </cell>
          <cell r="D1343" t="str">
            <v>PVN-004195</v>
          </cell>
          <cell r="E1343" t="str">
            <v>OrthoLite IMPERIAL SEEDPEARL/12-0703TPX Flat Sheet 0.22D 25+/-4 Asker C 1.1M 1.47M 4mm</v>
          </cell>
          <cell r="F1343">
            <v>24</v>
          </cell>
        </row>
        <row r="1344">
          <cell r="B1344" t="str">
            <v>F-2026-01-328</v>
          </cell>
          <cell r="C1344" t="str">
            <v>BDB-000123</v>
          </cell>
          <cell r="D1344" t="str">
            <v>PVN-003298</v>
          </cell>
          <cell r="E1344" t="str">
            <v>OrthoLite Ultra-Hybrid SEEDPEARL/12-0703TPX Hybrid 0.085D 25+/-4 Asker C 1.1M 2M 4mm</v>
          </cell>
          <cell r="F1344">
            <v>194</v>
          </cell>
        </row>
        <row r="1345">
          <cell r="B1345" t="str">
            <v>F-2025-12-529</v>
          </cell>
          <cell r="C1345" t="str">
            <v>BDB-000123</v>
          </cell>
          <cell r="D1345" t="str">
            <v>PVN-003299</v>
          </cell>
          <cell r="E1345" t="str">
            <v>OrthoLite Ultra-Hybrid SEEDPEARL/12-0703TPX Hybrid 0.085D 25+/-4 Asker C 1.1M 2M 3mm</v>
          </cell>
          <cell r="F1345">
            <v>153</v>
          </cell>
        </row>
        <row r="1346">
          <cell r="B1346" t="str">
            <v>F-2026-02-120</v>
          </cell>
          <cell r="C1346" t="str">
            <v>BDB-000077</v>
          </cell>
          <cell r="D1346" t="str">
            <v>PVN-003478</v>
          </cell>
          <cell r="E1346" t="str">
            <v>Ortholite X-25 SEEDPEARL/12-0703TPX Flat Sheet 0.12D 20+/-4 Asker C 1.1M 2M 4mm</v>
          </cell>
          <cell r="F1346">
            <v>6</v>
          </cell>
        </row>
        <row r="1347">
          <cell r="B1347" t="str">
            <v>F-2026-02-82</v>
          </cell>
          <cell r="C1347" t="str">
            <v>BDB-000156</v>
          </cell>
          <cell r="D1347" t="str">
            <v>PVN-003243</v>
          </cell>
          <cell r="E1347" t="str">
            <v>OrthoLite X-35-Hybrid-Nike AMAZON/18-6024TPX Hybrid Flat Sheet 0.145D 25+/-4 Asker C 1.1M 2M 5.2mm</v>
          </cell>
          <cell r="F1347">
            <v>9</v>
          </cell>
        </row>
        <row r="1348">
          <cell r="B1348" t="str">
            <v>F-2026-01-428</v>
          </cell>
          <cell r="C1348" t="str">
            <v>BDB-000157</v>
          </cell>
          <cell r="D1348" t="str">
            <v>PVN-003244</v>
          </cell>
          <cell r="E1348" t="str">
            <v>OrthoLite X-35-Hybrid-Nike SEEDPEARL/12-0703TPX Hybrid 0.145D 25+/-4 Asker C 1.1M 2M 5.2mm</v>
          </cell>
          <cell r="F1348">
            <v>10</v>
          </cell>
        </row>
        <row r="1349">
          <cell r="B1349" t="str">
            <v>F-2025-12-529</v>
          </cell>
          <cell r="C1349" t="str">
            <v>BDB-000123</v>
          </cell>
          <cell r="D1349" t="str">
            <v>PVN-003299</v>
          </cell>
          <cell r="E1349" t="str">
            <v>OrthoLite Ultra-Hybrid SEEDPEARL/12-0703TPX Hybrid 0.085D 25+/-4 Asker C 1.1M 2M 3mm</v>
          </cell>
          <cell r="F1349">
            <v>6</v>
          </cell>
        </row>
        <row r="1350">
          <cell r="B1350" t="str">
            <v>F-2026-01-484</v>
          </cell>
          <cell r="C1350" t="str">
            <v>BDB-000011</v>
          </cell>
          <cell r="D1350" t="str">
            <v>PVN-000258</v>
          </cell>
          <cell r="E1350" t="str">
            <v>OrthoLite Regular AIR BLUE/16-4134TPX Flat Sheet 0.13D 35+/-4 Asker C 1.1M 2M 2.5mm</v>
          </cell>
          <cell r="F1350">
            <v>2</v>
          </cell>
        </row>
        <row r="1351">
          <cell r="B1351" t="str">
            <v>F-2026-01-410</v>
          </cell>
          <cell r="C1351" t="str">
            <v>BDB-000125</v>
          </cell>
          <cell r="D1351" t="str">
            <v>PVN-002413</v>
          </cell>
          <cell r="E1351" t="str">
            <v>OrthoLite Regular-Nike AIR BLUE/16-4134TPX 0.11D 25+/-4 Asker C 1.1M 2M 4.2mm</v>
          </cell>
          <cell r="F1351">
            <v>6</v>
          </cell>
        </row>
        <row r="1352">
          <cell r="B1352" t="str">
            <v>F-2026-01-381</v>
          </cell>
          <cell r="C1352" t="str">
            <v>BDB-000129</v>
          </cell>
          <cell r="D1352" t="str">
            <v>PVN-001550</v>
          </cell>
          <cell r="E1352" t="str">
            <v>OrthoLite Regular-Nike AIR BLUE/16-4134TPX 0.11D 25+/-4 Asker C 1.1M 1.7M 2mm</v>
          </cell>
          <cell r="F1352">
            <v>5</v>
          </cell>
        </row>
        <row r="1353">
          <cell r="B1353" t="str">
            <v>F-2026-01-498</v>
          </cell>
          <cell r="C1353" t="str">
            <v>BDB-000113</v>
          </cell>
          <cell r="D1353" t="str">
            <v>PVN-002465</v>
          </cell>
          <cell r="E1353" t="str">
            <v>OrthoLite Regular-Hybrid SEEDPEARL/12-0703TPX Hybrid Flat Sheet 0.11D 25+/-4 Asker C 1.1M 2M 5mm</v>
          </cell>
          <cell r="F1353">
            <v>45</v>
          </cell>
        </row>
        <row r="1354">
          <cell r="B1354" t="str">
            <v>F-2026-01-81</v>
          </cell>
          <cell r="C1354" t="str">
            <v>BDB-000113</v>
          </cell>
          <cell r="D1354" t="str">
            <v>PVN-003414</v>
          </cell>
          <cell r="E1354" t="str">
            <v>OrthoLite Regular-Hybrid SEEDPEARL/12-0703TPX Hybrid Flat Sheet 0.11D 25+/-4 Asker C 1.1M 2M 12mm</v>
          </cell>
          <cell r="F1354">
            <v>10</v>
          </cell>
        </row>
        <row r="1355">
          <cell r="B1355" t="str">
            <v>F-2026-01-328</v>
          </cell>
          <cell r="C1355" t="str">
            <v>BDB-000123</v>
          </cell>
          <cell r="D1355" t="str">
            <v>PVN-003298</v>
          </cell>
          <cell r="E1355" t="str">
            <v>OrthoLite Ultra-Hybrid SEEDPEARL/12-0703TPX Hybrid 0.085D 25+/-4 Asker C 1.1M 2M 4mm</v>
          </cell>
          <cell r="F1355">
            <v>6</v>
          </cell>
        </row>
        <row r="1356">
          <cell r="B1356" t="str">
            <v>F-2026-02-21</v>
          </cell>
          <cell r="C1356" t="str">
            <v>BDB-000076</v>
          </cell>
          <cell r="D1356" t="str">
            <v>PVN-003494</v>
          </cell>
          <cell r="E1356" t="str">
            <v>OrthoLite X-25 BILLIARD/16-5427TPX Flat Sheet 0.12D 20+/-4 Asker C 1.1M 2M 5.5mm</v>
          </cell>
          <cell r="F1356">
            <v>7</v>
          </cell>
        </row>
        <row r="1357">
          <cell r="B1357" t="str">
            <v>F-2026-02-27</v>
          </cell>
          <cell r="C1357" t="str">
            <v>BDB-000076</v>
          </cell>
          <cell r="D1357" t="str">
            <v>PVN-004119</v>
          </cell>
          <cell r="E1357" t="str">
            <v>OrthoLite X-25 BILLIARD/16-5427TPX Flat Sheet 0.12D 20+/-4 Asker C 1.1M 2M 6.5mm</v>
          </cell>
          <cell r="F1357">
            <v>2</v>
          </cell>
        </row>
        <row r="1358">
          <cell r="B1358" t="str">
            <v>F-2026-02-28</v>
          </cell>
          <cell r="C1358" t="str">
            <v>BDB-000076</v>
          </cell>
          <cell r="D1358" t="str">
            <v>PVN-004091</v>
          </cell>
          <cell r="E1358" t="str">
            <v>OrthoLite X-25 BILLIARD/16-5427TPX Flat Sheet 0.12D 20+/-4 Asker C 1.1M 2M 3.5mm</v>
          </cell>
          <cell r="F1358">
            <v>4</v>
          </cell>
        </row>
        <row r="1359">
          <cell r="B1359" t="str">
            <v>OIN-2026.02.03-01</v>
          </cell>
          <cell r="C1359" t="str">
            <v>BDB-000076</v>
          </cell>
          <cell r="D1359" t="str">
            <v>PVN-003911</v>
          </cell>
          <cell r="E1359" t="str">
            <v>[116-1516] X 25 20+/-4 Asker C 0.12D Billiard 1.10M X 2.00M 47mm</v>
          </cell>
          <cell r="F1359">
            <v>54</v>
          </cell>
        </row>
        <row r="1360">
          <cell r="B1360" t="str">
            <v>F-2026-02-17</v>
          </cell>
          <cell r="C1360" t="str">
            <v>BDB-000220</v>
          </cell>
          <cell r="D1360" t="str">
            <v>PVN-003656</v>
          </cell>
          <cell r="E1360" t="str">
            <v>OrthoLite X-25 BILLIARD/16-5427TPX Flat Sheet 0.12D 20+/-4 Asker C 1.1M 1.47M 3mm</v>
          </cell>
          <cell r="F1360">
            <v>2</v>
          </cell>
        </row>
        <row r="1361">
          <cell r="B1361" t="str">
            <v>F-2026-02-74</v>
          </cell>
          <cell r="C1361" t="str">
            <v>BDB-000076</v>
          </cell>
          <cell r="D1361" t="str">
            <v>PVN-003448</v>
          </cell>
          <cell r="E1361" t="str">
            <v>OrthoLite X-25 BILLIARD/16-5427TPX Flat Sheet 0.12D 20+/-4 Asker C 1.1M 2M 6.2mm</v>
          </cell>
          <cell r="F1361">
            <v>1</v>
          </cell>
        </row>
        <row r="1362">
          <cell r="B1362" t="str">
            <v>F-2026-02-242</v>
          </cell>
          <cell r="C1362" t="str">
            <v>BDB-000076</v>
          </cell>
          <cell r="D1362" t="str">
            <v>PVN-003448</v>
          </cell>
          <cell r="E1362" t="str">
            <v>OrthoLite X-25 BILLIARD/16-5427TPX 0.12D 20+/-4 Asker C 1.1M 2M 6.2mm</v>
          </cell>
          <cell r="F1362">
            <v>28</v>
          </cell>
        </row>
        <row r="1363">
          <cell r="B1363" t="str">
            <v>F-2026-01-476</v>
          </cell>
          <cell r="C1363" t="str">
            <v>BDB-000076</v>
          </cell>
          <cell r="D1363" t="str">
            <v>PVN-004091</v>
          </cell>
          <cell r="E1363" t="str">
            <v>OrthoLite X-25 BILLIARD/16-5427TPX Flat Sheet 0.12D 20+/-4 Asker C 1.1M 2M 3.5mm</v>
          </cell>
          <cell r="F1363">
            <v>6</v>
          </cell>
        </row>
        <row r="1364">
          <cell r="B1364" t="str">
            <v>F-2026-01-467</v>
          </cell>
          <cell r="C1364" t="str">
            <v>BDB-000076</v>
          </cell>
          <cell r="D1364" t="str">
            <v>PVN-003448</v>
          </cell>
          <cell r="E1364" t="str">
            <v>OrthoLite X-25 BILLIARD/16-5427TPX Flat Sheet 0.12D 20+/-4 Asker C 1.1M 2M 6.2mm</v>
          </cell>
          <cell r="F1364">
            <v>36</v>
          </cell>
        </row>
        <row r="1365">
          <cell r="B1365" t="str">
            <v>F-2026-01-517</v>
          </cell>
          <cell r="C1365" t="str">
            <v>BDB-000234</v>
          </cell>
          <cell r="D1365" t="str">
            <v>PVN-003581</v>
          </cell>
          <cell r="E1365" t="str">
            <v>OrthoLite X-30-Hybrid BROWN SUGAR/17-1134TPX Hybrid Flat Sheet 0.13D 25+/-4 Asker C 1.1M 2M 12mm</v>
          </cell>
          <cell r="F1365">
            <v>5</v>
          </cell>
        </row>
        <row r="1366">
          <cell r="B1366" t="str">
            <v>F-2026-01-411</v>
          </cell>
          <cell r="C1366" t="str">
            <v>BDB-000125</v>
          </cell>
          <cell r="D1366" t="str">
            <v>PVN-002413</v>
          </cell>
          <cell r="E1366" t="str">
            <v>OrthoLite Regular-Nike AIR BLUE/16-4134TPX 0.11D 25+/-4 Asker C 1.1M 2M 4.2mm</v>
          </cell>
          <cell r="F1366">
            <v>76</v>
          </cell>
        </row>
        <row r="1367">
          <cell r="B1367" t="str">
            <v>F-2026-01-402</v>
          </cell>
          <cell r="C1367" t="str">
            <v>BDB-000125</v>
          </cell>
          <cell r="D1367" t="str">
            <v>PVN-001579</v>
          </cell>
          <cell r="E1367" t="str">
            <v>OrthoLite Regular-Nike AIR BLUE/16-4134TPX Flat Sheet 0.11D 25+/-4 Asker C 1.1M 2M 4mm</v>
          </cell>
          <cell r="F1367">
            <v>20</v>
          </cell>
        </row>
        <row r="1368">
          <cell r="B1368" t="str">
            <v>F-2026-02-14</v>
          </cell>
          <cell r="C1368" t="str">
            <v>BDB-000339</v>
          </cell>
          <cell r="D1368" t="str">
            <v>PVN-004178</v>
          </cell>
          <cell r="E1368" t="str">
            <v>OrthoLite Float NEUTRAL GRAY/17-4402TPX Flat Sheet 0.12D 21+/-4 Asker C 1.1M 2M 5.5mm</v>
          </cell>
          <cell r="F1368">
            <v>10</v>
          </cell>
        </row>
        <row r="1369">
          <cell r="B1369" t="str">
            <v>F-2026-01-82</v>
          </cell>
          <cell r="C1369" t="str">
            <v>BDB-000113</v>
          </cell>
          <cell r="D1369" t="str">
            <v>PVN-003414</v>
          </cell>
          <cell r="E1369" t="str">
            <v>OrthoLite Regular-Hybrid SEEDPEARL/12-0703TPX Hybrid Flat Sheet 0.11D 25+/-4 Asker C 1.1M 2M 12mm</v>
          </cell>
          <cell r="F1369">
            <v>2</v>
          </cell>
        </row>
        <row r="1370">
          <cell r="B1370" t="str">
            <v>F-2026-02-19</v>
          </cell>
          <cell r="C1370" t="str">
            <v>BDB-000363</v>
          </cell>
          <cell r="D1370" t="str">
            <v>PVN-004260</v>
          </cell>
          <cell r="E1370" t="str">
            <v>OrthoLite HybridPlus-Recycled MINT GREEN/11-4805TPX Hybrid Flat Sheet 0.12D 35+/-4 Asker C 1.1M 2M 5.5mm</v>
          </cell>
          <cell r="F1370">
            <v>12</v>
          </cell>
        </row>
        <row r="1371">
          <cell r="B1371" t="str">
            <v>F-2026-01-382</v>
          </cell>
          <cell r="C1371" t="str">
            <v>BDB-000129</v>
          </cell>
          <cell r="D1371" t="str">
            <v>PVN-001550</v>
          </cell>
          <cell r="E1371" t="str">
            <v>OrthoLite Regular-Nike AIR BLUE/16-4134TPX 0.11D 25+/-4 Asker C 1.1M 1.7M 2mm</v>
          </cell>
          <cell r="F1371">
            <v>51</v>
          </cell>
        </row>
        <row r="1372">
          <cell r="B1372" t="str">
            <v>F-2026-02-25</v>
          </cell>
          <cell r="C1372" t="str">
            <v>BDB-000325</v>
          </cell>
          <cell r="D1372" t="str">
            <v>PVN-004115</v>
          </cell>
          <cell r="E1372" t="str">
            <v>OrthoLite X-40 TRUE BLUE/19-4057TPX Flat Sheet 0.16D 35+/-4 Asker C 1.1M 2M 4mm</v>
          </cell>
          <cell r="F1372">
            <v>11</v>
          </cell>
        </row>
        <row r="1373">
          <cell r="B1373" t="str">
            <v>F-2026-02-165</v>
          </cell>
          <cell r="C1373" t="str">
            <v>BDB-000325</v>
          </cell>
          <cell r="D1373" t="str">
            <v>PVN-004115</v>
          </cell>
          <cell r="E1373" t="str">
            <v>OrthoLite X-40 TRUE BLUE/19-4057TPX Flat Sheet 0.16D 35+/-4 Asker C 1.1M 2M 4mm</v>
          </cell>
          <cell r="F1373">
            <v>2</v>
          </cell>
        </row>
        <row r="1374">
          <cell r="B1374" t="str">
            <v>F-2026-02-09</v>
          </cell>
          <cell r="C1374" t="str">
            <v>BDB-000052</v>
          </cell>
          <cell r="D1374" t="str">
            <v>PVN-003603</v>
          </cell>
          <cell r="E1374" t="str">
            <v>OrthoLite X-40 TRUE BLUE/19-4057TPX Flat Sheet 0.16D 25+/-4 Asker C 1.1M 1.47M 12mm</v>
          </cell>
          <cell r="F1374">
            <v>46</v>
          </cell>
        </row>
        <row r="1375">
          <cell r="B1375" t="str">
            <v>F-2026-01-233</v>
          </cell>
          <cell r="C1375" t="str">
            <v>BDB-000217</v>
          </cell>
          <cell r="D1375" t="str">
            <v>PVN-003539</v>
          </cell>
          <cell r="E1375" t="str">
            <v>OrthoLite X-40-Hybrid SEEDPEARL/12-0703TPX Hybrid Flat Sheet 0.16D 35+/-4 Asker C 1.1M 1.7M 6.2mm</v>
          </cell>
          <cell r="F1375">
            <v>46</v>
          </cell>
        </row>
        <row r="1376">
          <cell r="B1376" t="str">
            <v>F-2026-02-154</v>
          </cell>
          <cell r="C1376" t="str">
            <v>BDB-000319</v>
          </cell>
          <cell r="D1376" t="str">
            <v>PVN-004247</v>
          </cell>
          <cell r="E1376" t="str">
            <v>OrthoLite X-40-Hybrid-Nike SEEDPEARL/12-0703TPX Hybrid Flat Sheet 0.16D 25+/-4 Asker C 1.1M 2M 4.2mm</v>
          </cell>
          <cell r="F1376">
            <v>1</v>
          </cell>
        </row>
        <row r="1377">
          <cell r="B1377" t="str">
            <v>F-2026-02-46</v>
          </cell>
          <cell r="C1377" t="str">
            <v>BDB-000319</v>
          </cell>
          <cell r="D1377" t="str">
            <v>PVN-004247</v>
          </cell>
          <cell r="E1377" t="str">
            <v>OrthoLite X-40-Hybrid-Nike SEEDPEARL/12-0703TPX Hybrid Flat Sheet 0.16D 25+/-4 Asker C 1.1M 2M 4.2mm</v>
          </cell>
          <cell r="F1377">
            <v>3</v>
          </cell>
        </row>
        <row r="1378">
          <cell r="B1378" t="str">
            <v>F-2026-02-59</v>
          </cell>
          <cell r="C1378" t="str">
            <v>BDB-000321</v>
          </cell>
          <cell r="D1378" t="str">
            <v>PVN-004239</v>
          </cell>
          <cell r="E1378" t="str">
            <v>OrthoLite Float BLUE ATOLL/16-4535TPX Flat Sheet 0.12D 21+/-4 Asker C 1.1M 2M 9.5mm</v>
          </cell>
          <cell r="F1378">
            <v>4</v>
          </cell>
        </row>
        <row r="1379">
          <cell r="B1379" t="str">
            <v>OIN-2026.02.03-04</v>
          </cell>
          <cell r="C1379" t="str">
            <v>BDB-000200</v>
          </cell>
          <cell r="D1379" t="str">
            <v>PVN-003418</v>
          </cell>
          <cell r="E1379" t="str">
            <v>[116-470] Ultra 78 - 90 Asker F 0.085D Seedpearl 12-0703 Tpx 1.10M X 2.00M 5mm</v>
          </cell>
          <cell r="F1379">
            <v>54</v>
          </cell>
        </row>
        <row r="1380">
          <cell r="B1380" t="str">
            <v>OIN-2026.02.03-05</v>
          </cell>
          <cell r="C1380" t="str">
            <v>BDB-000200</v>
          </cell>
          <cell r="D1380" t="str">
            <v>PVN-003420</v>
          </cell>
          <cell r="E1380" t="str">
            <v>[116-471] Ultra 78 - 90 Asker F 0.085D Seedpearl 12-0703 Tpx 1.10M X 2.00M 6mm</v>
          </cell>
          <cell r="F1380">
            <v>22</v>
          </cell>
        </row>
        <row r="1381">
          <cell r="B1381" t="str">
            <v>F-2026-02-84</v>
          </cell>
          <cell r="C1381" t="str">
            <v>BDB-000123</v>
          </cell>
          <cell r="D1381" t="str">
            <v>PVN-002973</v>
          </cell>
          <cell r="E1381" t="str">
            <v>OrthoLite Ultra-Hybrid SEEDPEARL/12-0703TPX Hybrid Flat Sheet 0.085D 25+/-4 Asker C 1.1M 2M 4.5mm</v>
          </cell>
          <cell r="F1381">
            <v>48</v>
          </cell>
        </row>
        <row r="1382">
          <cell r="B1382" t="str">
            <v>F-2026-02-329</v>
          </cell>
          <cell r="C1382" t="str">
            <v>BDB-000123</v>
          </cell>
          <cell r="D1382" t="str">
            <v>PVN-003300</v>
          </cell>
          <cell r="E1382" t="str">
            <v>OrthoLite Ultra-Hybrid SEEDPEARL/12-0703TPX Hybrid Flat Sheet 0.085D 25+/-4 Asker C 1.1M 2M 2mm</v>
          </cell>
          <cell r="F1382">
            <v>4</v>
          </cell>
        </row>
        <row r="1383">
          <cell r="B1383" t="str">
            <v>F-2026-02-348</v>
          </cell>
          <cell r="C1383" t="str">
            <v>BDB-000212</v>
          </cell>
          <cell r="D1383" t="str">
            <v>PVN-003764</v>
          </cell>
          <cell r="E1383" t="str">
            <v>OrthoLite X-25-Hybrid SEEDPEARL/12-0703TPX Hybrid Flat Sheet 0.12D 20+/-4 Asker C 1.1M 2M 5mm</v>
          </cell>
          <cell r="F1383">
            <v>1</v>
          </cell>
        </row>
        <row r="1384">
          <cell r="B1384" t="str">
            <v>F-2026-01-445</v>
          </cell>
          <cell r="C1384" t="str">
            <v>BDB-000113</v>
          </cell>
          <cell r="D1384" t="str">
            <v>PVN-002465</v>
          </cell>
          <cell r="E1384" t="str">
            <v>OrthoLite Regular-Hybrid SEEDPEARL/12-0703TPX Hybrid Flat Sheet 0.11D 25+/-4 Asker C 1.1M 2M 5mm</v>
          </cell>
          <cell r="F1384">
            <v>135</v>
          </cell>
        </row>
        <row r="1385">
          <cell r="B1385" t="str">
            <v>F-2026-02-105</v>
          </cell>
          <cell r="C1385" t="str">
            <v>BDB-000123</v>
          </cell>
          <cell r="D1385" t="str">
            <v>PVN-002973</v>
          </cell>
          <cell r="E1385" t="str">
            <v>OrthoLite Ultra-Hybrid SEEDPEARL/12-0703TPX Hybrid 0.085D 25+/-4 Asker C 1.1M 2M 4.5mm</v>
          </cell>
          <cell r="F1385">
            <v>28</v>
          </cell>
        </row>
        <row r="1386">
          <cell r="B1386" t="str">
            <v>F-2025-12-527</v>
          </cell>
          <cell r="C1386" t="str">
            <v>BDB-000123</v>
          </cell>
          <cell r="D1386" t="str">
            <v>PVN-003299</v>
          </cell>
          <cell r="E1386" t="str">
            <v>OrthoLite Ultra-Hybrid SEEDPEARL/12-0703TPX Hybrid 0.085D 25+/-4 Asker C 1.1M 2M 3mm</v>
          </cell>
          <cell r="F1386">
            <v>15</v>
          </cell>
        </row>
        <row r="1387">
          <cell r="B1387" t="str">
            <v>F-2026-02-275</v>
          </cell>
          <cell r="C1387" t="str">
            <v>BDB-000149</v>
          </cell>
          <cell r="D1387" t="str">
            <v>PVN-002827</v>
          </cell>
          <cell r="E1387" t="str">
            <v>OrthoLite Regular-Hybrid-Nike SEEDPEARL/12-0703TPX Hybrid Flat Sheet 0.11D 25+/-4 Asker C 1.1M 2M 5mm</v>
          </cell>
          <cell r="F1387">
            <v>8</v>
          </cell>
        </row>
        <row r="1388">
          <cell r="B1388" t="str">
            <v>F-2026-02-170</v>
          </cell>
          <cell r="C1388" t="str">
            <v>BDB-000149</v>
          </cell>
          <cell r="D1388" t="str">
            <v>PVN-002827</v>
          </cell>
          <cell r="E1388" t="str">
            <v>OrthoLite Regular-Hybrid-Nike SEEDPEARL/12-0703TPX Hybrid Flat Sheet 0.11D 25+/-4 Asker C 1.1M 2M 5mm</v>
          </cell>
          <cell r="F1388">
            <v>7</v>
          </cell>
        </row>
        <row r="1389">
          <cell r="B1389" t="str">
            <v>F-2026-02-51</v>
          </cell>
          <cell r="C1389" t="str">
            <v>BDB-000149</v>
          </cell>
          <cell r="D1389" t="str">
            <v>PVN-002827</v>
          </cell>
          <cell r="E1389" t="str">
            <v>OrthoLite Regular-Hybrid-Nike SEEDPEARL/12-0703TPX Hybrid Flat Sheet 0.11D 25+/-4 Asker C 1.1M 2M 5mm</v>
          </cell>
          <cell r="F1389">
            <v>41</v>
          </cell>
        </row>
        <row r="1390">
          <cell r="B1390" t="str">
            <v>F-2026-02-67</v>
          </cell>
          <cell r="C1390" t="str">
            <v>BDB-000149</v>
          </cell>
          <cell r="D1390" t="str">
            <v>PVN-002827</v>
          </cell>
          <cell r="E1390" t="str">
            <v>OrthoLite Regular-Hybrid-Nike SEEDPEARL/12-0703TPX Hybrid Flat Sheet 0.11D 25+/-4 Asker C 1.1M 2M 5mm</v>
          </cell>
          <cell r="F1390">
            <v>18</v>
          </cell>
        </row>
        <row r="1391">
          <cell r="B1391" t="str">
            <v>F-2026-01-416</v>
          </cell>
          <cell r="C1391" t="str">
            <v>BDB-000175</v>
          </cell>
          <cell r="D1391" t="str">
            <v>PVN-002875</v>
          </cell>
          <cell r="E1391" t="str">
            <v>OrthoLite Ultra-Hybrid-Nike SEEDPEARL/12-0703TPX Hybrid 0.085D 25+/-4 Asker C 1.1M 2M 3mm</v>
          </cell>
          <cell r="F1391">
            <v>22</v>
          </cell>
        </row>
        <row r="1392">
          <cell r="B1392" t="str">
            <v>F-2025-12-405</v>
          </cell>
          <cell r="C1392" t="str">
            <v>BDB-000175</v>
          </cell>
          <cell r="D1392" t="str">
            <v>PVN-002966</v>
          </cell>
          <cell r="E1392" t="str">
            <v>OrthoLite Ultra-Hybrid-Nike SEEDPEARL/12-0703TPX Hybrid 0.085D 25+/-4 Asker C 1.1M 2M 4mm</v>
          </cell>
          <cell r="F1392">
            <v>6</v>
          </cell>
        </row>
        <row r="1393">
          <cell r="B1393" t="str">
            <v>F-2026-02-36</v>
          </cell>
          <cell r="C1393" t="str">
            <v>BDB-000057</v>
          </cell>
          <cell r="D1393" t="str">
            <v>PVN-000925</v>
          </cell>
          <cell r="E1393" t="str">
            <v>OrthoLite Ultra YELLOW/13-0858TPX Flat Sheet 0.085D 25+/-4 Asker C 1.1M 2M 5mm</v>
          </cell>
          <cell r="F1393">
            <v>31</v>
          </cell>
        </row>
        <row r="1394">
          <cell r="B1394" t="str">
            <v>F-2026-01-411</v>
          </cell>
          <cell r="C1394" t="str">
            <v>BDB-000125</v>
          </cell>
          <cell r="D1394" t="str">
            <v>PVN-002413</v>
          </cell>
          <cell r="E1394" t="str">
            <v>OrthoLite Regular-Nike AIR BLUE/16-4134TPX 0.11D 25+/-4 Asker C 1.1M 2M 4.2mm</v>
          </cell>
          <cell r="F1394">
            <v>3</v>
          </cell>
        </row>
        <row r="1395">
          <cell r="B1395" t="str">
            <v>F-2025-12-26</v>
          </cell>
          <cell r="C1395" t="str">
            <v>BDB-000165</v>
          </cell>
          <cell r="D1395" t="str">
            <v>PVN-002053</v>
          </cell>
          <cell r="E1395" t="str">
            <v>OrthoLite Ultra-Nike LIME GREEN/14-0452TPX Flat Sheet 0.085D 15+/-4 Asker C 1.1M 2M 5mm</v>
          </cell>
          <cell r="F1395">
            <v>25</v>
          </cell>
        </row>
        <row r="1396">
          <cell r="B1396" t="str">
            <v>F-2026-02-69-2</v>
          </cell>
          <cell r="C1396" t="str">
            <v>BDB-000180</v>
          </cell>
          <cell r="D1396" t="str">
            <v>PVN-003236</v>
          </cell>
          <cell r="E1396" t="str">
            <v>OrthoLite Eco LT-Hybrid-Converse SEEDPEARL/12-0703TPX Hybrid Flat Sheet 0.13D 25+/-4 Asker C 1.1M 2M 5mm</v>
          </cell>
          <cell r="F1396">
            <v>81</v>
          </cell>
        </row>
        <row r="1397">
          <cell r="B1397" t="str">
            <v>F-2026-02-69-1</v>
          </cell>
          <cell r="C1397" t="str">
            <v>BDB-000180</v>
          </cell>
          <cell r="D1397" t="str">
            <v>PVN-003236</v>
          </cell>
          <cell r="E1397" t="str">
            <v>OrthoLite Eco LT-Hybrid-Converse SEEDPEARL/12-0703TPX Hybrid Flat Sheet 0.13D 25+/-4 Asker C 1.1M 2M 5mm</v>
          </cell>
          <cell r="F1397">
            <v>9</v>
          </cell>
        </row>
        <row r="1398">
          <cell r="B1398" t="str">
            <v>OIN-2026.02.03-02</v>
          </cell>
          <cell r="C1398" t="str">
            <v>BDB-000058</v>
          </cell>
          <cell r="D1398" t="str">
            <v>PVN-003780</v>
          </cell>
          <cell r="E1398" t="str">
            <v>[116-361] Ultra 25+/-4 Asker C 0.085D Green 16-5932 Tpx 1.10M X 2.00M 47mm</v>
          </cell>
          <cell r="F1398">
            <v>55</v>
          </cell>
        </row>
        <row r="1399">
          <cell r="B1399" t="str">
            <v>F-2026-01-243</v>
          </cell>
          <cell r="C1399" t="str">
            <v>BDB-000362</v>
          </cell>
          <cell r="D1399" t="str">
            <v>PVN-004259</v>
          </cell>
          <cell r="E1399" t="str">
            <v>OrthoLite X-60-Hybrid SEEDPEARL/12-0703TPX Hybrid Flat Sheet 0.19D 28+/-4 Asker C 1.1M 1.7M 12mm</v>
          </cell>
          <cell r="F1399">
            <v>91</v>
          </cell>
        </row>
        <row r="1400">
          <cell r="B1400" t="str">
            <v>F-2026-02-135</v>
          </cell>
          <cell r="C1400" t="str">
            <v>BDB-000076</v>
          </cell>
          <cell r="D1400" t="str">
            <v>PVN-003494</v>
          </cell>
          <cell r="E1400" t="str">
            <v>OrthoLite X-25 BILLIARD/16-5427TPX Flat Sheet 0.12D 20+/-4 Asker C 1.1M 2M 5.5mm</v>
          </cell>
          <cell r="F1400">
            <v>1</v>
          </cell>
        </row>
        <row r="1401">
          <cell r="B1401" t="str">
            <v>F-2026-02-18</v>
          </cell>
          <cell r="C1401" t="str">
            <v>BDB-000262</v>
          </cell>
          <cell r="D1401" t="str">
            <v>PVN-003816</v>
          </cell>
          <cell r="E1401" t="str">
            <v>OrthoLite Ultra-Hybrid SEEDPEARL/12-0703TPX Hybrid Flat Sheet 0.085D 78-90 Asker F 1.1M 2M 2.5mm</v>
          </cell>
          <cell r="F1401">
            <v>2</v>
          </cell>
        </row>
        <row r="1402">
          <cell r="B1402" t="str">
            <v>F-2026-02-131</v>
          </cell>
          <cell r="C1402" t="str">
            <v>BDB-000076</v>
          </cell>
          <cell r="D1402" t="str">
            <v>PVN-003745</v>
          </cell>
          <cell r="E1402" t="str">
            <v>OrthoLite X-25 BILLIARD/16-5427TPX Flat Sheet 0.12D 20+/-4 Asker C 1.1M 2M 16mm</v>
          </cell>
          <cell r="F1402">
            <v>1</v>
          </cell>
        </row>
        <row r="1403">
          <cell r="B1403" t="str">
            <v>F-2026-02-06</v>
          </cell>
          <cell r="C1403" t="str">
            <v>BDB-000217</v>
          </cell>
          <cell r="D1403" t="str">
            <v>PVN-003483</v>
          </cell>
          <cell r="E1403" t="str">
            <v>OrthoLite X-40-Hybrid SEEDPEARL/12-0703TPX Hybrid Flat Sheet 0.16D 35+/-4 Asker C 1.1M 1.7M 12mm</v>
          </cell>
          <cell r="F1403">
            <v>14</v>
          </cell>
        </row>
        <row r="1404">
          <cell r="B1404" t="str">
            <v>F-2026-01-472</v>
          </cell>
          <cell r="C1404" t="str">
            <v>BDB-000262</v>
          </cell>
          <cell r="D1404" t="str">
            <v>PVN-003816</v>
          </cell>
          <cell r="E1404" t="str">
            <v>OrthoLite Ultra-Hybrid SEEDPEARL/12-0703TPX Hybrid Flat Sheet 0.085D 78-90 Asker F 1.1M 2M 2.5mm</v>
          </cell>
          <cell r="F1404">
            <v>3</v>
          </cell>
        </row>
        <row r="1405">
          <cell r="B1405" t="str">
            <v>F-2026-02-31</v>
          </cell>
          <cell r="C1405" t="str">
            <v>BDB-000057</v>
          </cell>
          <cell r="D1405" t="str">
            <v>PVN-000849</v>
          </cell>
          <cell r="E1405" t="str">
            <v>OrthoLite Ultra YELLOW/13-0858TPX Flat Sheet 0.085D 25+/-4 Asker C 1.1M 2M 8mm</v>
          </cell>
          <cell r="F1405">
            <v>1</v>
          </cell>
        </row>
        <row r="1406">
          <cell r="B1406" t="str">
            <v>L-2026-02-40</v>
          </cell>
          <cell r="C1406" t="str">
            <v>BDB-000162</v>
          </cell>
          <cell r="D1406" t="str">
            <v>PVN-001735</v>
          </cell>
          <cell r="E1406" t="str">
            <v>OrthoLite Ultra-Nike SEEDPEARL/12-0703TPX 0.085D 25+/-4 Asker C 1.1M 2M 10mm</v>
          </cell>
          <cell r="F1406">
            <v>1</v>
          </cell>
        </row>
        <row r="1407">
          <cell r="B1407" t="str">
            <v>S-2026-02-42</v>
          </cell>
          <cell r="C1407" t="str">
            <v>BDB-000113</v>
          </cell>
          <cell r="D1407" t="str">
            <v>PVN-003414</v>
          </cell>
          <cell r="E1407" t="str">
            <v>OrthoLite Regular-Hybrid SEEDPEARL/12-0703TPX Hybrid 0.11D 25+/-4 Asker C 1.1M 2M 12mm</v>
          </cell>
          <cell r="F1407">
            <v>8</v>
          </cell>
        </row>
        <row r="1408">
          <cell r="B1408" t="str">
            <v>OIN-2026.02.03-03</v>
          </cell>
          <cell r="C1408" t="str">
            <v>BDB-000123</v>
          </cell>
          <cell r="D1408" t="str">
            <v>PVN-003784</v>
          </cell>
          <cell r="E1408" t="str">
            <v>[116-311] Ultra Hybrid 25+/-4 Asker C 0.085D Seedpearl 12-0703 Tpx 1.10M X 2.00M 47mm</v>
          </cell>
          <cell r="F1408">
            <v>109</v>
          </cell>
        </row>
        <row r="1409">
          <cell r="B1409" t="str">
            <v>L-2026-03-02</v>
          </cell>
          <cell r="C1409" t="str">
            <v>BDB-000117</v>
          </cell>
          <cell r="D1409" t="str">
            <v>PVN-002955</v>
          </cell>
          <cell r="E1409" t="str">
            <v>OrthoLite X-35-Hybrid SEEDPEARL/12-0703TPX Hybrid Flat Sheet 0.145D 25+/-4 Asker C 1.1M 2M 6mm</v>
          </cell>
          <cell r="F1409">
            <v>1</v>
          </cell>
        </row>
        <row r="1410">
          <cell r="B1410" t="str">
            <v>L-2026-03-01</v>
          </cell>
          <cell r="C1410" t="str">
            <v>BDB-000117</v>
          </cell>
          <cell r="D1410" t="str">
            <v>PVN-003596</v>
          </cell>
          <cell r="E1410" t="str">
            <v>OrthoLite X-35-Hybrid SEEDPEARL/12-0703TPX Hybrid Flat Sheet 0.145D 25+/-4 Asker C 1.1M 2M 3mm</v>
          </cell>
          <cell r="F1410">
            <v>1</v>
          </cell>
        </row>
        <row r="1411">
          <cell r="B1411" t="str">
            <v>F-2026-02-24</v>
          </cell>
          <cell r="C1411" t="str">
            <v>BDB-000317</v>
          </cell>
          <cell r="D1411" t="str">
            <v>PVN-004076</v>
          </cell>
          <cell r="E1411" t="str">
            <v>OrthoLite Regular NEUTRAL GRAY/17-4402TPX Flat Sheet 0.13D 15+/-4 Asker C 1.1M 2M 24mm</v>
          </cell>
          <cell r="F1411">
            <v>41</v>
          </cell>
        </row>
        <row r="1412">
          <cell r="B1412" t="str">
            <v>F-2026-02-164</v>
          </cell>
          <cell r="C1412" t="str">
            <v>BDB-000317</v>
          </cell>
          <cell r="D1412" t="str">
            <v>PVN-004076</v>
          </cell>
          <cell r="E1412" t="str">
            <v>OrthoLite Regular NEUTRAL GRAY/17-4402TPX Flat Sheet 0.13D 15+/-4 Asker C 1.1M 2M 24mm</v>
          </cell>
          <cell r="F1412">
            <v>6</v>
          </cell>
        </row>
        <row r="1413">
          <cell r="B1413" t="str">
            <v>F-2026-01-429</v>
          </cell>
          <cell r="C1413" t="str">
            <v>BDB-000157</v>
          </cell>
          <cell r="D1413" t="str">
            <v>PVN-003244</v>
          </cell>
          <cell r="E1413" t="str">
            <v>OrthoLite X-35-Hybrid-Nike SEEDPEARL/12-0703TPX Hybrid 0.145D 25+/-4 Asker C 1.1M 2M 5.2mm</v>
          </cell>
          <cell r="F1413">
            <v>20</v>
          </cell>
        </row>
        <row r="1414">
          <cell r="B1414" t="str">
            <v>F-2026-01-428</v>
          </cell>
          <cell r="C1414" t="str">
            <v>BDB-000157</v>
          </cell>
          <cell r="D1414" t="str">
            <v>PVN-003244</v>
          </cell>
          <cell r="E1414" t="str">
            <v>OrthoLite X-35-Hybrid-Nike SEEDPEARL/12-0703TPX Hybrid 0.145D 25+/-4 Asker C 1.1M 2M 5.2mm</v>
          </cell>
          <cell r="F1414">
            <v>10</v>
          </cell>
        </row>
        <row r="1415">
          <cell r="B1415" t="str">
            <v>F-2026-01-493</v>
          </cell>
          <cell r="C1415" t="str">
            <v>BDB-000008</v>
          </cell>
          <cell r="D1415" t="str">
            <v>PVN-000505</v>
          </cell>
          <cell r="E1415" t="str">
            <v>OrthoLite Regular LIME GREEN/14-0452TPX Flat Sheet 0.11D 25+/-4 Asker C 1.1M 2M 12mm</v>
          </cell>
          <cell r="F1415">
            <v>32</v>
          </cell>
        </row>
        <row r="1416">
          <cell r="B1416" t="str">
            <v>F-2026-02-143</v>
          </cell>
          <cell r="C1416" t="str">
            <v>BDB-000083</v>
          </cell>
          <cell r="D1416" t="str">
            <v>PVN-000935</v>
          </cell>
          <cell r="E1416" t="str">
            <v>OrthoLite Eco LT 300C(ADIDAS BLUEBIRD) Flat Sheet 0.11D 25+/-4 Asker C 1.1M 2M 4mm</v>
          </cell>
          <cell r="F1416">
            <v>47</v>
          </cell>
        </row>
        <row r="1417">
          <cell r="B1417" t="str">
            <v>F-2026-01-417</v>
          </cell>
          <cell r="C1417" t="str">
            <v>BDB-000175</v>
          </cell>
          <cell r="D1417" t="str">
            <v>PVN-002875</v>
          </cell>
          <cell r="E1417" t="str">
            <v>OrthoLite Ultra-Hybrid-Nike SEEDPEARL/12-0703TPX Hybrid 0.085D 25+/-4 Asker C 1.1M 2M 3mm</v>
          </cell>
          <cell r="F1417">
            <v>7</v>
          </cell>
        </row>
        <row r="1418">
          <cell r="B1418" t="str">
            <v>F-2026-02-133</v>
          </cell>
          <cell r="C1418" t="str">
            <v>BDB-000213</v>
          </cell>
          <cell r="D1418" t="str">
            <v>PVN-003752</v>
          </cell>
          <cell r="E1418" t="str">
            <v>OrthoLite X-25-Hybrid SEEDPEARL/12-0703TPX Hybrid Flat Sheet 0.12D 20+/-4 Asker C 1.1M 1.47M 4.5mm</v>
          </cell>
          <cell r="F1418">
            <v>9</v>
          </cell>
        </row>
        <row r="1419">
          <cell r="B1419" t="str">
            <v>F-2026-02-12</v>
          </cell>
          <cell r="C1419" t="str">
            <v>BDB-000212</v>
          </cell>
          <cell r="D1419" t="str">
            <v>PVN-003460</v>
          </cell>
          <cell r="E1419" t="str">
            <v>OrthoLite X-25-Hybrid SEEDPEARL/12-0703TPX Hybrid Flat Sheet 0.12D 20+/-4 Asker C 1.1M 2M 5.5mm</v>
          </cell>
          <cell r="F1419">
            <v>10</v>
          </cell>
        </row>
        <row r="1420">
          <cell r="B1420" t="str">
            <v>F-2026-01-432</v>
          </cell>
          <cell r="C1420" t="str">
            <v>BDB-000259</v>
          </cell>
          <cell r="D1420" t="str">
            <v>PVN-003684</v>
          </cell>
          <cell r="E1420" t="str">
            <v>OrthoLite Nike PP002 GLACIER GRAY/14-4102TPX Flat Sheet 0.145D 25+/-4 asker C 1.1M 2M 4.2mm</v>
          </cell>
          <cell r="F1420">
            <v>91</v>
          </cell>
        </row>
        <row r="1421">
          <cell r="B1421" t="str">
            <v>F-2026-02-08</v>
          </cell>
          <cell r="C1421" t="str">
            <v>BDB-000209</v>
          </cell>
          <cell r="D1421" t="str">
            <v>PVN-003537</v>
          </cell>
          <cell r="E1421" t="str">
            <v>OrthoLite HybridPlus-Recycled MINT GREEN/11-4805TPX Hybrid Flat Sheet 0.12D 25+/-4 Asker C 1.1M 2M 4.5mm</v>
          </cell>
          <cell r="F1421">
            <v>141</v>
          </cell>
        </row>
        <row r="1422">
          <cell r="B1422" t="str">
            <v>F-2026-01-426</v>
          </cell>
          <cell r="C1422" t="str">
            <v>BDB-000156</v>
          </cell>
          <cell r="D1422" t="str">
            <v>PVN-003243</v>
          </cell>
          <cell r="E1422" t="str">
            <v>OrthoLite X-35-Hybrid-Nike AMAZON/18-6024TPX Hybrid 0.145D 25+/-4 Asker C 1.1M 2M 5.2mm</v>
          </cell>
          <cell r="F1422">
            <v>24</v>
          </cell>
        </row>
        <row r="1423">
          <cell r="B1423" t="str">
            <v>F-2026-01-398</v>
          </cell>
          <cell r="C1423" t="str">
            <v>BDB-000162</v>
          </cell>
          <cell r="D1423" t="str">
            <v>PVN-001566</v>
          </cell>
          <cell r="E1423" t="str">
            <v>OrthoLite Ultra-Nike SEEDPEARL/12-0703TPX 0.085D 25+/-4 Asker C 1.1M 2M 4mm</v>
          </cell>
          <cell r="F1423">
            <v>86</v>
          </cell>
        </row>
        <row r="1424">
          <cell r="B1424" t="str">
            <v>F-2026-01-399</v>
          </cell>
          <cell r="C1424" t="str">
            <v>BDB-000162</v>
          </cell>
          <cell r="D1424" t="str">
            <v>PVN-001566</v>
          </cell>
          <cell r="E1424" t="str">
            <v>OrthoLite Ultra-Nike SEEDPEARL/12-0703TPX 0.085D 25+/-4 Asker C 1.1M 2M 4mm</v>
          </cell>
          <cell r="F1424">
            <v>86</v>
          </cell>
        </row>
        <row r="1425">
          <cell r="B1425" t="str">
            <v>F-2026-01-386</v>
          </cell>
          <cell r="C1425" t="str">
            <v>BDB-000163</v>
          </cell>
          <cell r="D1425" t="str">
            <v>PVN-001556</v>
          </cell>
          <cell r="E1425" t="str">
            <v>OrthoLite Ultra-Nike YELLOW/13-0858TPX 0.085D 25+/-4 Asker C 1.1M 2M 4mm</v>
          </cell>
          <cell r="F1425">
            <v>43</v>
          </cell>
        </row>
        <row r="1426">
          <cell r="B1426" t="str">
            <v>F-2026-02-32</v>
          </cell>
          <cell r="C1426" t="str">
            <v>BDB-000264</v>
          </cell>
          <cell r="D1426" t="str">
            <v>PVN-003881</v>
          </cell>
          <cell r="E1426" t="str">
            <v>OrthoLite Ultra YELLOW/13-0858TPX Flat Sheet 0.085D 25+/-4 Asker C 1.1M 1.47M 5mm</v>
          </cell>
          <cell r="F1426">
            <v>5</v>
          </cell>
        </row>
        <row r="1427">
          <cell r="B1427" t="str">
            <v>OIN-2026.02.14-01</v>
          </cell>
          <cell r="C1427" t="str">
            <v>BDB-000300</v>
          </cell>
          <cell r="D1427" t="str">
            <v>PVN-004267</v>
          </cell>
          <cell r="E1427" t="str">
            <v>[116-12954] Ultra Nike 25+/-4 Asker C 0.085D Seedpearl 12-0703 Tpx 1.10M X 1.70M 47mm</v>
          </cell>
          <cell r="F1427">
            <v>7</v>
          </cell>
        </row>
        <row r="1428">
          <cell r="B1428" t="str">
            <v>F-2026-02-121</v>
          </cell>
          <cell r="C1428" t="str">
            <v>BDB-000002</v>
          </cell>
          <cell r="D1428" t="str">
            <v>PVN-003875</v>
          </cell>
          <cell r="E1428" t="str">
            <v>OrthoLite Regular YELLOW/13-0858TPX Flat Sheet 0.11D 15+/-4 Asker C 1.1M 2M 2mm</v>
          </cell>
          <cell r="F1428">
            <v>3</v>
          </cell>
        </row>
        <row r="1429">
          <cell r="B1429" t="str">
            <v>F-2026-02-83</v>
          </cell>
          <cell r="C1429" t="str">
            <v>BDB-000067</v>
          </cell>
          <cell r="D1429" t="str">
            <v>PVN-003691</v>
          </cell>
          <cell r="E1429" t="str">
            <v>OrthoLite Ultra SEEDPEARL/12-0703TPX Flat Sheet 0.085D 25+/-4 Asker C 1.1M 2M 5.2mm</v>
          </cell>
          <cell r="F1429">
            <v>1</v>
          </cell>
        </row>
        <row r="1430">
          <cell r="B1430" t="str">
            <v>F-2026-02-57</v>
          </cell>
          <cell r="C1430" t="str">
            <v>BDB-000076</v>
          </cell>
          <cell r="D1430" t="str">
            <v>PVN-004091</v>
          </cell>
          <cell r="E1430" t="str">
            <v>OrthoLite X-25 BILLIARD/16-5427TPX Flat Sheet 0.12D 20+/-4 Asker C 1.1M 2M 3.5mm</v>
          </cell>
          <cell r="F1430">
            <v>1</v>
          </cell>
        </row>
        <row r="1431">
          <cell r="B1431" t="str">
            <v>F-2026-02-98</v>
          </cell>
          <cell r="C1431" t="str">
            <v>BDB-000262</v>
          </cell>
          <cell r="D1431" t="str">
            <v>PVN-003816</v>
          </cell>
          <cell r="E1431" t="str">
            <v>OrthoLite Ultra-Hybrid SEEDPEARL/12-0703TPX Hybrid Flat Sheet 0.085D 78-90 Asker F 1.1M 2M 2.5mm</v>
          </cell>
          <cell r="F1431">
            <v>2</v>
          </cell>
        </row>
        <row r="1432">
          <cell r="B1432" t="str">
            <v>F-2026-02-47</v>
          </cell>
          <cell r="C1432" t="str">
            <v>BDB-000157</v>
          </cell>
          <cell r="D1432" t="str">
            <v>PVN-003642</v>
          </cell>
          <cell r="E1432" t="str">
            <v>OrthoLite X-35-Hybrid-Nike SEEDPEARL/12-0703TPX Hybrid Flat Sheet 0.145D 25+/-4 Asker C 1.1M 2M 6.2mm</v>
          </cell>
          <cell r="F1432">
            <v>13</v>
          </cell>
        </row>
        <row r="1433">
          <cell r="B1433" t="str">
            <v>F-2026-01-85</v>
          </cell>
          <cell r="C1433" t="str">
            <v>BDB-000113</v>
          </cell>
          <cell r="D1433" t="str">
            <v>PVN-003414</v>
          </cell>
          <cell r="E1433" t="str">
            <v>OrthoLite Regular-Hybrid SEEDPEARL/12-0703TPX Hybrid Flat Sheet 0.11D 25+/-4 Asker C 1.1M 2M 12mm</v>
          </cell>
          <cell r="F1433">
            <v>7</v>
          </cell>
        </row>
        <row r="1434">
          <cell r="B1434" t="str">
            <v>F-2026-01-445</v>
          </cell>
          <cell r="C1434" t="str">
            <v>BDB-000113</v>
          </cell>
          <cell r="D1434" t="str">
            <v>PVN-002465</v>
          </cell>
          <cell r="E1434" t="str">
            <v>OrthoLite Regular-Hybrid SEEDPEARL/12-0703TPX Hybrid Flat Sheet 0.11D 25+/-4 Asker C 1.1M 2M 5mm</v>
          </cell>
          <cell r="F1434">
            <v>7</v>
          </cell>
        </row>
        <row r="1435">
          <cell r="B1435" t="str">
            <v>F-2026-01-416</v>
          </cell>
          <cell r="C1435" t="str">
            <v>BDB-000175</v>
          </cell>
          <cell r="D1435" t="str">
            <v>PVN-002875</v>
          </cell>
          <cell r="E1435" t="str">
            <v>OrthoLite Ultra-Hybrid-Nike SEEDPEARL/12-0703TPX Hybrid 0.085D 25+/-4 Asker C 1.1M 2M 3mm</v>
          </cell>
          <cell r="F1435">
            <v>18</v>
          </cell>
        </row>
        <row r="1436">
          <cell r="B1436" t="str">
            <v>S-2026-02-44</v>
          </cell>
          <cell r="C1436" t="str">
            <v>BDB-000317</v>
          </cell>
          <cell r="D1436" t="str">
            <v>PVN-004076</v>
          </cell>
          <cell r="E1436" t="str">
            <v>OrthoLite Regular NEUTRAL GRAY/17-4402TPX Flat Sheet 0.13D 15+/-4 Asker C 1.1M 2M 24mm</v>
          </cell>
          <cell r="F1436">
            <v>6</v>
          </cell>
        </row>
        <row r="1437">
          <cell r="B1437" t="str">
            <v>F-2026-01-328</v>
          </cell>
          <cell r="C1437" t="str">
            <v>BDB-000123</v>
          </cell>
          <cell r="D1437" t="str">
            <v>PVN-003298</v>
          </cell>
          <cell r="E1437" t="str">
            <v>OrthoLite Ultra-Hybrid SEEDPEARL/12-0703TPX Hybrid 0.085D 25+/-4 Asker C 1.1M 2M 4mm</v>
          </cell>
          <cell r="F1437">
            <v>15</v>
          </cell>
        </row>
        <row r="1438">
          <cell r="B1438" t="str">
            <v>S-2026-02-37</v>
          </cell>
          <cell r="C1438" t="str">
            <v>BDB-000132</v>
          </cell>
          <cell r="D1438" t="str">
            <v>PVN-001652</v>
          </cell>
          <cell r="E1438" t="str">
            <v>OrthoLite Regular-Nike GREY/17-1501TPX 0.11D 25+/-4 Asker C 1.1M 2M 5mm</v>
          </cell>
          <cell r="F1438">
            <v>2</v>
          </cell>
        </row>
        <row r="1439">
          <cell r="B1439" t="str">
            <v>S-2026-02-49</v>
          </cell>
          <cell r="C1439" t="str">
            <v>BDB-000355</v>
          </cell>
          <cell r="D1439" t="str">
            <v>PVN-004313</v>
          </cell>
          <cell r="E1439" t="str">
            <v>OrthoLite HybridPlus-Recycled CASTLEROCK/18-0201TPX Hybrid 0.12D 25+/-4 Asker C 1.1M 2M 6mm</v>
          </cell>
          <cell r="F1439">
            <v>3</v>
          </cell>
        </row>
        <row r="1440">
          <cell r="B1440" t="str">
            <v>F-2026-02-08</v>
          </cell>
          <cell r="C1440" t="str">
            <v>BDB-000209</v>
          </cell>
          <cell r="D1440" t="str">
            <v>PVN-003537</v>
          </cell>
          <cell r="E1440" t="str">
            <v>OrthoLite HybridPlus-Recycled MINT GREEN/11-4805TPX Hybrid Flat Sheet 0.12D 25+/-4 Asker C 1.1M 2M 4.5mm</v>
          </cell>
          <cell r="F1440">
            <v>15</v>
          </cell>
        </row>
        <row r="1441">
          <cell r="B1441" t="str">
            <v>S-2026-02-41</v>
          </cell>
          <cell r="C1441" t="str">
            <v>BDB-000113</v>
          </cell>
          <cell r="D1441" t="str">
            <v>PVN-002465</v>
          </cell>
          <cell r="E1441" t="str">
            <v>OrthoLite Regular-Hybrid SEEDPEARL/12-0703TPX Hybrid Flat Sheet 0.11D 25+/-4 Asker C 1.1M 2M 5mm</v>
          </cell>
          <cell r="F1441">
            <v>2</v>
          </cell>
        </row>
        <row r="1442">
          <cell r="B1442" t="str">
            <v>S-2026-02-50</v>
          </cell>
          <cell r="C1442" t="str">
            <v>BDB-000113</v>
          </cell>
          <cell r="D1442" t="str">
            <v>PVN-003414</v>
          </cell>
          <cell r="E1442" t="str">
            <v>OrthoLite Regular-Hybrid SEEDPEARL/12-0703TPX Hybrid 0.11D 25+/-4 Asker C 1.1M 2M 12mm</v>
          </cell>
          <cell r="F1442">
            <v>7</v>
          </cell>
        </row>
        <row r="1443">
          <cell r="B1443" t="str">
            <v>S-2026-02-43</v>
          </cell>
          <cell r="C1443" t="str">
            <v>BDB-000113</v>
          </cell>
          <cell r="D1443" t="str">
            <v>PVN-002699</v>
          </cell>
          <cell r="E1443" t="str">
            <v>OrthoLite Regular-Hybrid SEEDPEARL/12-0703TPX Hybrid 0.11D 25+/-4 Asker C 1.1M 2M 4.5mm</v>
          </cell>
          <cell r="F1443">
            <v>1</v>
          </cell>
        </row>
        <row r="1444">
          <cell r="B1444" t="str">
            <v>S-2026-03-03</v>
          </cell>
          <cell r="C1444" t="str">
            <v>BDB-000083</v>
          </cell>
          <cell r="D1444" t="str">
            <v>PVN-000935</v>
          </cell>
          <cell r="E1444" t="str">
            <v>OrthoLite Eco LT 300C(ADIDAS BLUEBIRD) Flat Sheet 0.11D 25+/-4 Asker C 1.1M 2M 4mm</v>
          </cell>
          <cell r="F1444">
            <v>3</v>
          </cell>
        </row>
        <row r="1445">
          <cell r="B1445" t="str">
            <v>S-2026-02-52</v>
          </cell>
          <cell r="C1445" t="str">
            <v>BDB-000179</v>
          </cell>
          <cell r="D1445" t="str">
            <v>PVN-004059</v>
          </cell>
          <cell r="E1445" t="str">
            <v>OrthoLite X-55 RED/19-1764TPX Flat Sheet 0.16D 25+/-4 Asker C 1.1M 1.7M 5.2mm</v>
          </cell>
          <cell r="F1445">
            <v>2</v>
          </cell>
        </row>
        <row r="1446">
          <cell r="B1446" t="str">
            <v>S-2026-02-48</v>
          </cell>
          <cell r="C1446" t="str">
            <v>BDB-000054</v>
          </cell>
          <cell r="D1446" t="str">
            <v>PVN-003895</v>
          </cell>
          <cell r="E1446" t="str">
            <v>OrthoLite X-40 RED/19-1764TPX Flat Sheet 0.16D 25+/-4 Asker C 1.1M 1.7M 5mm</v>
          </cell>
          <cell r="F1446">
            <v>1</v>
          </cell>
        </row>
        <row r="1447">
          <cell r="B1447" t="str">
            <v>S-2026-02-47</v>
          </cell>
          <cell r="C1447" t="str">
            <v>BDB-000117</v>
          </cell>
          <cell r="D1447" t="str">
            <v>PVN-003234</v>
          </cell>
          <cell r="E1447" t="str">
            <v>OrthoLite X-35-Hybrid SEEDPEARL/12-0703TPX Hybrid Flat Sheet 0.145D 25+/-4 Asker C 1.1M 2M 5.5mm</v>
          </cell>
          <cell r="F1447">
            <v>1</v>
          </cell>
        </row>
        <row r="1448">
          <cell r="B1448" t="str">
            <v>S-2026-03-06</v>
          </cell>
          <cell r="C1448" t="str">
            <v>BDB-000180</v>
          </cell>
          <cell r="D1448" t="str">
            <v>PVN-003236</v>
          </cell>
          <cell r="E1448" t="str">
            <v>OrthoLite Eco LT-Hybrid-Converse SEEDPEARL/12-0703TPX Hybrid Flat Sheet 0.13D 25+/-4 Asker C 1.1M 2M 5mm</v>
          </cell>
          <cell r="F1448">
            <v>6</v>
          </cell>
        </row>
        <row r="1449">
          <cell r="B1449" t="str">
            <v>S-2026-02-44</v>
          </cell>
          <cell r="C1449" t="str">
            <v>BDB-000317</v>
          </cell>
          <cell r="D1449" t="str">
            <v>PVN-004076</v>
          </cell>
          <cell r="E1449" t="str">
            <v>OrthoLite Regular NEUTRAL GRAY/17-4402TPX Flat Sheet 0.13D 15+/-4 Asker C 1.1M 2M 24mm</v>
          </cell>
          <cell r="F1449">
            <v>4</v>
          </cell>
        </row>
        <row r="1450">
          <cell r="B1450" t="str">
            <v>F-2026-02-240</v>
          </cell>
          <cell r="C1450" t="str">
            <v>BDB-000200</v>
          </cell>
          <cell r="D1450" t="str">
            <v>PVN-003425</v>
          </cell>
          <cell r="E1450" t="str">
            <v>OrthoLite Ultra SEEDPEARL/12-0703TPX Flat Sheet 0.085D 78-90 Asker F 1.1M 2M 4mm</v>
          </cell>
          <cell r="F1450">
            <v>38</v>
          </cell>
        </row>
        <row r="1451">
          <cell r="B1451" t="str">
            <v>F-2026-02-210</v>
          </cell>
          <cell r="C1451" t="str">
            <v>BDB-000058</v>
          </cell>
          <cell r="D1451" t="str">
            <v>PVN-001319</v>
          </cell>
          <cell r="E1451" t="str">
            <v>OrthoLite Ultra GREEN/16-5932TPX 0.085D 25+/-4 Asker C 1.1M 2M 5mm</v>
          </cell>
          <cell r="F1451">
            <v>72</v>
          </cell>
        </row>
        <row r="1452">
          <cell r="B1452" t="str">
            <v>F-2026-02-44</v>
          </cell>
          <cell r="C1452" t="str">
            <v>BDB-000332</v>
          </cell>
          <cell r="D1452" t="str">
            <v>PVN-004146</v>
          </cell>
          <cell r="E1452" t="str">
            <v>OrthoLite X-25 CASTLEROCK/18-0201TPX Flat Sheet 0.12D 20+/-4 Asker C 1.1M 2M 5.5mm</v>
          </cell>
          <cell r="F1452">
            <v>58</v>
          </cell>
        </row>
        <row r="1453">
          <cell r="B1453" t="str">
            <v>F-2026-02-79</v>
          </cell>
          <cell r="C1453" t="str">
            <v>BDB-000339</v>
          </cell>
          <cell r="D1453" t="str">
            <v>PVN-004178</v>
          </cell>
          <cell r="E1453" t="str">
            <v>OrthoLite Float NEUTRAL GRAY/17-4402TPX Flat Sheet 0.12D 21+/-4 Asker C 1.1M 2M 5.5mm</v>
          </cell>
          <cell r="F1453">
            <v>11</v>
          </cell>
        </row>
        <row r="1454">
          <cell r="B1454" t="str">
            <v>F-2026-02-151</v>
          </cell>
          <cell r="C1454" t="str">
            <v>BDB-000339</v>
          </cell>
          <cell r="D1454" t="str">
            <v>PVN-004178</v>
          </cell>
          <cell r="E1454" t="str">
            <v>OrthoLite Float NEUTRAL GRAY/17-4402TPX Flat Sheet 0.12D 21+/-4 Asker C 1.1M 2M 5.5mm</v>
          </cell>
          <cell r="F1454">
            <v>1</v>
          </cell>
        </row>
        <row r="1455">
          <cell r="B1455" t="str">
            <v>F-2026-02-45</v>
          </cell>
          <cell r="C1455" t="str">
            <v>BDB-000339</v>
          </cell>
          <cell r="D1455" t="str">
            <v>PVN-004178</v>
          </cell>
          <cell r="E1455" t="str">
            <v>OrthoLite Float NEUTRAL GRAY/17-4402TPX Flat Sheet 0.12D 21+/-4 Asker C 1.1M 2M 5.5mm</v>
          </cell>
          <cell r="F1455">
            <v>22</v>
          </cell>
        </row>
        <row r="1456">
          <cell r="B1456" t="str">
            <v>F-2026-02-38</v>
          </cell>
          <cell r="C1456" t="str">
            <v>BDB-000051</v>
          </cell>
          <cell r="D1456" t="str">
            <v>PVN-003329</v>
          </cell>
          <cell r="E1456" t="str">
            <v>OrthoLite X-40 TRUE BLUE/19-4057TPX Flat Sheet 0.16D 25+/-4 Asker C 1.1M 1.7M 5.5mm</v>
          </cell>
          <cell r="F1456">
            <v>1</v>
          </cell>
        </row>
        <row r="1457">
          <cell r="B1457" t="str">
            <v>F-2026-02-157</v>
          </cell>
          <cell r="C1457" t="str">
            <v>BDB-000011</v>
          </cell>
          <cell r="D1457" t="str">
            <v>PVN-000184</v>
          </cell>
          <cell r="E1457" t="str">
            <v>OrthoLite Regular AIR BLUE/16-4134TPX Flat Sheet 0.13D 35+/-4 Asker C 1.1M 2M 14mm</v>
          </cell>
          <cell r="F1457">
            <v>10</v>
          </cell>
        </row>
        <row r="1458">
          <cell r="B1458" t="str">
            <v>F-2026-01-478</v>
          </cell>
          <cell r="C1458" t="str">
            <v>BDB-000011</v>
          </cell>
          <cell r="D1458" t="str">
            <v>PVN-000121</v>
          </cell>
          <cell r="E1458" t="str">
            <v>OrthoLite Regular AIR BLUE/16-4134TPX Flat Sheet 0.13D 35+/-4 Asker C 1.1M 2M 12mm</v>
          </cell>
          <cell r="F1458">
            <v>44</v>
          </cell>
        </row>
        <row r="1459">
          <cell r="B1459" t="str">
            <v>F-2026-02-34</v>
          </cell>
          <cell r="C1459" t="str">
            <v>BDB-000011</v>
          </cell>
          <cell r="D1459" t="str">
            <v>PVN-000127</v>
          </cell>
          <cell r="E1459" t="str">
            <v>OrthoLite Regular AIR BLUE/16-4134TPX Flat Sheet 0.13D 35+/-4 Asker C 1.1M 2M 5mm</v>
          </cell>
          <cell r="F1459">
            <v>5</v>
          </cell>
        </row>
        <row r="1460">
          <cell r="B1460" t="str">
            <v>F-2026-02-48</v>
          </cell>
          <cell r="C1460" t="str">
            <v>BDB-000321</v>
          </cell>
          <cell r="D1460" t="str">
            <v>PVN-004092</v>
          </cell>
          <cell r="E1460" t="str">
            <v>OrthoLite Float BLUE ATOLL/16-4535TPX Flat Sheet 0.12D 21+/-4 Asker C 1.1M 2M 14.5mm</v>
          </cell>
          <cell r="F1460">
            <v>5</v>
          </cell>
        </row>
        <row r="1461">
          <cell r="B1461" t="str">
            <v>F-2026-02-40</v>
          </cell>
          <cell r="C1461" t="str">
            <v>BDB-000336</v>
          </cell>
          <cell r="D1461" t="str">
            <v>PVN-004168</v>
          </cell>
          <cell r="E1461" t="str">
            <v>OrthoLite X-40-Nike SEEDPEARL/12-0703TPX Flat Sheet 0.16D 35+/-4 Asker C 1.1M 2M 4.5mm</v>
          </cell>
          <cell r="F1461">
            <v>6</v>
          </cell>
        </row>
        <row r="1462">
          <cell r="B1462" t="str">
            <v>F-2026-02-92</v>
          </cell>
          <cell r="C1462" t="str">
            <v>BDB-000336</v>
          </cell>
          <cell r="D1462" t="str">
            <v>PVN-004168</v>
          </cell>
          <cell r="E1462" t="str">
            <v>OrthoLite X-40-Nike SEEDPEARL/12-0703TPX Flat Sheet 0.16D 35+/-4 Asker C 1.1M 2M 4.5mm</v>
          </cell>
          <cell r="F1462">
            <v>2</v>
          </cell>
        </row>
        <row r="1463">
          <cell r="B1463" t="str">
            <v>F-2026-01-435</v>
          </cell>
          <cell r="C1463" t="str">
            <v>BDB-000157</v>
          </cell>
          <cell r="D1463" t="str">
            <v>PVN-003573</v>
          </cell>
          <cell r="E1463" t="str">
            <v>OrthoLite X-35-Hybrid-Nike SEEDPEARL/12-0703TPX Hybrid 0.145D 25+/-4 Asker C 1.1M 2M 4.2mm</v>
          </cell>
          <cell r="F1463">
            <v>91</v>
          </cell>
        </row>
        <row r="1464">
          <cell r="B1464" t="str">
            <v>F-2026-02-65</v>
          </cell>
          <cell r="C1464" t="str">
            <v>BDB-000209</v>
          </cell>
          <cell r="D1464" t="str">
            <v>PVN-003461</v>
          </cell>
          <cell r="E1464" t="str">
            <v>OrthoLite HybridPlus-Recycled MINT GREEN/11-4805TPX Hybrid Flat Sheet 0.12D 25+/-4 Asker C 1.1M 2M 11mm</v>
          </cell>
          <cell r="F1464">
            <v>2</v>
          </cell>
        </row>
        <row r="1465">
          <cell r="B1465" t="str">
            <v>F-2026-02-77</v>
          </cell>
          <cell r="C1465" t="str">
            <v>BDB-000209</v>
          </cell>
          <cell r="D1465" t="str">
            <v>PVN-003537</v>
          </cell>
          <cell r="E1465" t="str">
            <v>OrthoLite HybridPlus-Recycled MINT GREEN/11-4805TPX Hybrid Flat Sheet 0.12D 25+/-4 Asker C 1.1M 2M 4.5mm</v>
          </cell>
          <cell r="F1465">
            <v>7</v>
          </cell>
        </row>
        <row r="1466">
          <cell r="B1466" t="str">
            <v>F-2026-02-94</v>
          </cell>
          <cell r="C1466" t="str">
            <v>BDB-000209</v>
          </cell>
          <cell r="D1466" t="str">
            <v>PVN-003537</v>
          </cell>
          <cell r="E1466" t="str">
            <v>OrthoLite HybridPlus-Recycled MINT GREEN/11-4805TPX Hybrid Flat Sheet 0.12D 25+/-4 Asker C 1.1M 2M 4.5mm</v>
          </cell>
          <cell r="F1466">
            <v>2</v>
          </cell>
        </row>
        <row r="1467">
          <cell r="B1467" t="str">
            <v>OIN-2026.02.13-01</v>
          </cell>
          <cell r="C1467" t="str">
            <v>BDB-000106</v>
          </cell>
          <cell r="D1467" t="str">
            <v>PVN-003847</v>
          </cell>
          <cell r="E1467" t="str">
            <v>[116-095] Eco Lite Hybrid 35+/-4 Asker C 0.13D Grey 17-1501 Tpx 1.10M X 2.00M 47mm</v>
          </cell>
          <cell r="F1467">
            <v>2</v>
          </cell>
        </row>
        <row r="1468">
          <cell r="B1468" t="str">
            <v>OIN-2026.02.19-01</v>
          </cell>
          <cell r="C1468" t="str">
            <v>BDB-000025</v>
          </cell>
          <cell r="D1468" t="str">
            <v>PVN-003785</v>
          </cell>
          <cell r="E1468" t="str">
            <v>[116-247] Regular 25+/-4 Asker C 0.11D Green 16-5932 Tpx 1.10M X 2.00M 47mm</v>
          </cell>
          <cell r="F1468">
            <v>9</v>
          </cell>
        </row>
        <row r="1469">
          <cell r="B1469" t="str">
            <v>F-2026-02-30</v>
          </cell>
          <cell r="C1469" t="str">
            <v>BDB-000008</v>
          </cell>
          <cell r="D1469" t="str">
            <v>PVN-000313</v>
          </cell>
          <cell r="E1469" t="str">
            <v>OrthoLite Regular LIME GREEN/14-0452TPX Flat Sheet 0.11D 25+/-4 Asker C 1.1M 2M 4mm</v>
          </cell>
          <cell r="F1469">
            <v>4</v>
          </cell>
        </row>
        <row r="1470">
          <cell r="B1470" t="str">
            <v>F-2026-02-146</v>
          </cell>
          <cell r="C1470" t="str">
            <v>BDB-000200</v>
          </cell>
          <cell r="D1470" t="str">
            <v>PVN-003425</v>
          </cell>
          <cell r="E1470" t="str">
            <v>OrthoLite Ultra SEEDPEARL/12-0703TPX Flat Sheet 0.085D 78-90 Asker F 1.1M 2M 4mm</v>
          </cell>
          <cell r="F1470">
            <v>13</v>
          </cell>
        </row>
        <row r="1471">
          <cell r="B1471" t="str">
            <v>F-2026-01-498</v>
          </cell>
          <cell r="C1471" t="str">
            <v>BDB-000113</v>
          </cell>
          <cell r="D1471" t="str">
            <v>PVN-002465</v>
          </cell>
          <cell r="E1471" t="str">
            <v>OrthoLite Regular-Hybrid SEEDPEARL/12-0703TPX Hybrid Flat Sheet 0.11D 25+/-4 Asker C 1.1M 2M 5mm</v>
          </cell>
          <cell r="F1471">
            <v>10</v>
          </cell>
        </row>
        <row r="1472">
          <cell r="B1472" t="str">
            <v>OIN-2026.02.03-03</v>
          </cell>
          <cell r="C1472" t="str">
            <v>BDB-000123</v>
          </cell>
          <cell r="D1472" t="str">
            <v>PVN-003784</v>
          </cell>
          <cell r="E1472" t="str">
            <v>[116-311] Ultra Hybrid 25+/-4 Asker C 0.085D Seedpearl 12-0703 Tpx 1.10M X 2.00M 47mm</v>
          </cell>
          <cell r="F1472">
            <v>266</v>
          </cell>
        </row>
        <row r="1473">
          <cell r="B1473" t="str">
            <v>F-2026-02-39</v>
          </cell>
          <cell r="C1473" t="str">
            <v>BDB-000348</v>
          </cell>
          <cell r="D1473" t="str">
            <v>PVN-004210</v>
          </cell>
          <cell r="E1473" t="str">
            <v>OrthoLite IMPERIAL SEEDPEARL/12-0703TPX Flat Sheet 0.22D 25+/-4 Asker C 1.1M 1.47M 5mm</v>
          </cell>
          <cell r="F1473">
            <v>10</v>
          </cell>
        </row>
        <row r="1474">
          <cell r="B1474" t="str">
            <v>F-2026-02-91</v>
          </cell>
          <cell r="C1474" t="str">
            <v>BDB-000348</v>
          </cell>
          <cell r="D1474" t="str">
            <v>PVN-004210</v>
          </cell>
          <cell r="E1474" t="str">
            <v>OrthoLite IMPERIAL SEEDPEARL/12-0703TPX Flat Sheet 0.22D 25+/-4 Asker C 1.1M 1.47M 5mm</v>
          </cell>
          <cell r="F1474">
            <v>4</v>
          </cell>
        </row>
        <row r="1475">
          <cell r="B1475" t="str">
            <v>F-2026-02-139</v>
          </cell>
          <cell r="C1475" t="str">
            <v>BDB-000348</v>
          </cell>
          <cell r="D1475" t="str">
            <v>PVN-004195</v>
          </cell>
          <cell r="E1475" t="str">
            <v>OrthoLite IMPERIAL SEEDPEARL/12-0703TPX Flat Sheet 0.22D 25+/-4 Asker C 1.1M 1.47M 4mm</v>
          </cell>
          <cell r="F1475">
            <v>72</v>
          </cell>
        </row>
        <row r="1476">
          <cell r="B1476" t="str">
            <v>F-2026-01-412</v>
          </cell>
          <cell r="C1476" t="str">
            <v>BDB-000125</v>
          </cell>
          <cell r="D1476" t="str">
            <v>PVN-002413</v>
          </cell>
          <cell r="E1476" t="str">
            <v>OrthoLite Regular-Nike AIR BLUE/16-4134TPX 0.11D 25+/-4 Asker C 1.1M 2M 4.2mm</v>
          </cell>
          <cell r="F1476">
            <v>67</v>
          </cell>
        </row>
        <row r="1477">
          <cell r="B1477" t="str">
            <v>F-2026-02-93</v>
          </cell>
          <cell r="C1477" t="str">
            <v>BDB-000052</v>
          </cell>
          <cell r="D1477" t="str">
            <v>PVN-003603</v>
          </cell>
          <cell r="E1477" t="str">
            <v>OrthoLite X-40 TRUE BLUE/19-4057TPX Flat Sheet 0.16D 25+/-4 Asker C 1.1M 1.47M 12mm</v>
          </cell>
          <cell r="F1477">
            <v>3</v>
          </cell>
        </row>
        <row r="1478">
          <cell r="B1478" t="str">
            <v>F-2026-02-53</v>
          </cell>
          <cell r="C1478" t="str">
            <v>BDB-000309</v>
          </cell>
          <cell r="D1478" t="str">
            <v>PVN-004033</v>
          </cell>
          <cell r="E1478" t="str">
            <v>OrthoLite X-40-Hybrid NEUTRAL GRAY/17-4402TPX Hybrid Flat Sheet 0.16D 35+/-4 Asker C 1.1M 2M 2mm</v>
          </cell>
          <cell r="F1478">
            <v>10</v>
          </cell>
        </row>
        <row r="1479">
          <cell r="B1479" t="str">
            <v>F-2026-02-09</v>
          </cell>
          <cell r="C1479" t="str">
            <v>BDB-000052</v>
          </cell>
          <cell r="D1479" t="str">
            <v>PVN-003603</v>
          </cell>
          <cell r="E1479" t="str">
            <v>OrthoLite X-40 TRUE BLUE/19-4057TPX Flat Sheet 0.16D 25+/-4 Asker C 1.1M 1.47M 12mm</v>
          </cell>
          <cell r="F1479">
            <v>4</v>
          </cell>
        </row>
        <row r="1480">
          <cell r="B1480" t="str">
            <v>F-2026-02-125</v>
          </cell>
          <cell r="C1480" t="str">
            <v>BDB-000052</v>
          </cell>
          <cell r="D1480" t="str">
            <v>PVN-003603</v>
          </cell>
          <cell r="E1480" t="str">
            <v>OrthoLite X-40 TRUE BLUE/19-4057TPX Flat Sheet 0.16D 25+/-4 Asker C 1.1M 1.47M 12mm</v>
          </cell>
          <cell r="F1480">
            <v>2</v>
          </cell>
        </row>
        <row r="1481">
          <cell r="B1481" t="str">
            <v>F-2026-02-81</v>
          </cell>
          <cell r="C1481" t="str">
            <v>BDB-000077</v>
          </cell>
          <cell r="D1481" t="str">
            <v>PVN-004147</v>
          </cell>
          <cell r="E1481" t="str">
            <v>OrthoLite X-25 SEEDPEARL/12-0703TPX Flat Sheet 0.12D 20+/-4 Asker C 1.1M 2M 5.5mm</v>
          </cell>
          <cell r="F1481">
            <v>11</v>
          </cell>
        </row>
        <row r="1482">
          <cell r="B1482" t="str">
            <v>F-2026-02-80</v>
          </cell>
          <cell r="C1482" t="str">
            <v>BDB-000157</v>
          </cell>
          <cell r="D1482" t="str">
            <v>PVN-003642</v>
          </cell>
          <cell r="E1482" t="str">
            <v>OrthoLite X-35-Hybrid-Nike SEEDPEARL/12-0703TPX Hybrid Flat Sheet 0.145D 25+/-4 Asker C 1.1M 2M 6.2mm</v>
          </cell>
          <cell r="F1482">
            <v>21</v>
          </cell>
        </row>
        <row r="1483">
          <cell r="B1483" t="str">
            <v>F-2026-02-70</v>
          </cell>
          <cell r="C1483" t="str">
            <v>BDB-000181</v>
          </cell>
          <cell r="D1483" t="str">
            <v>PVN-003238</v>
          </cell>
          <cell r="E1483" t="str">
            <v>OrthoLite Eco LT-Hybrid-Converse SEEDPEARL/12-0703TPX Hybrid Flat Sheet 0.11D 25+/-4 Asker C 1.1M 2M 5mm</v>
          </cell>
          <cell r="F1483">
            <v>4</v>
          </cell>
        </row>
        <row r="1484">
          <cell r="B1484" t="str">
            <v>F-2026-02-86</v>
          </cell>
          <cell r="C1484" t="str">
            <v>BDB-000126</v>
          </cell>
          <cell r="D1484" t="str">
            <v>PVN-002325</v>
          </cell>
          <cell r="E1484" t="str">
            <v>OrthoLite Regular-Nike RED/19-1764TPX Flat Sheet 0.11D 25+/-4 Asker C 1.1M 2M 5.2mm</v>
          </cell>
          <cell r="F1484">
            <v>2</v>
          </cell>
        </row>
        <row r="1485">
          <cell r="B1485" t="str">
            <v>F-2026-01-386</v>
          </cell>
          <cell r="C1485" t="str">
            <v>BDB-000163</v>
          </cell>
          <cell r="D1485" t="str">
            <v>PVN-001556</v>
          </cell>
          <cell r="E1485" t="str">
            <v>OrthoLite Ultra-Nike YELLOW/13-0858TPX 0.085D 25+/-4 Asker C 1.1M 2M 4mm</v>
          </cell>
          <cell r="F1485">
            <v>1</v>
          </cell>
        </row>
        <row r="1486">
          <cell r="B1486" t="str">
            <v>F-2026-01-432</v>
          </cell>
          <cell r="C1486" t="str">
            <v>BDB-000259</v>
          </cell>
          <cell r="D1486" t="str">
            <v>PVN-003684</v>
          </cell>
          <cell r="E1486" t="str">
            <v>OrthoLite Nike PP002 GLACIER GRAY/14-4102TPX Flat Sheet 0.145D 25+/-4 asker C 1.1M 2M 4.2mm</v>
          </cell>
          <cell r="F1486">
            <v>1</v>
          </cell>
        </row>
        <row r="1487">
          <cell r="B1487" t="str">
            <v>F-2026-02-239</v>
          </cell>
          <cell r="C1487" t="str">
            <v>BDB-000123</v>
          </cell>
          <cell r="D1487" t="str">
            <v>PVN-003300</v>
          </cell>
          <cell r="E1487" t="str">
            <v>OrthoLite Ultra-Hybrid SEEDPEARL/12-0703TPX Hybrid Flat Sheet 0.085D 25+/-4 Asker C 1.1M 2M 2mm</v>
          </cell>
          <cell r="F1487">
            <v>20</v>
          </cell>
        </row>
        <row r="1488">
          <cell r="B1488" t="str">
            <v>OIN-2026.02.03-02</v>
          </cell>
          <cell r="C1488" t="str">
            <v>BDB-000058</v>
          </cell>
          <cell r="D1488" t="str">
            <v>PVN-003780</v>
          </cell>
          <cell r="E1488" t="str">
            <v>[116-361] Ultra 25+/-4 Asker C 0.085D Green 16-5932 Tpx 1.10M X 2.00M 47mm</v>
          </cell>
          <cell r="F1488">
            <v>4</v>
          </cell>
        </row>
        <row r="1489">
          <cell r="B1489" t="str">
            <v>OIN-2026.02.03-03</v>
          </cell>
          <cell r="C1489" t="str">
            <v>BDB-000123</v>
          </cell>
          <cell r="D1489" t="str">
            <v>PVN-003784</v>
          </cell>
          <cell r="E1489" t="str">
            <v>[116-311] Ultra Hybrid 25+/-4 Asker C 0.085D Seedpearl 12-0703 Tpx 1.10M X 2.00M 47mm</v>
          </cell>
          <cell r="F1489">
            <v>51</v>
          </cell>
        </row>
        <row r="1490">
          <cell r="B1490" t="str">
            <v>F-2026-02-81</v>
          </cell>
          <cell r="C1490" t="str">
            <v>BDB-000077</v>
          </cell>
          <cell r="D1490" t="str">
            <v>PVN-004147</v>
          </cell>
          <cell r="E1490" t="str">
            <v>OrthoLite X-25 SEEDPEARL/12-0703TPX Flat Sheet 0.12D 20+/-4 Asker C 1.1M 2M 5.5mm</v>
          </cell>
          <cell r="F1490">
            <v>10</v>
          </cell>
        </row>
        <row r="1491">
          <cell r="B1491" t="str">
            <v>F-2026-02-11</v>
          </cell>
          <cell r="C1491" t="str">
            <v>BDB-000123</v>
          </cell>
          <cell r="D1491" t="str">
            <v>PVN-002539</v>
          </cell>
          <cell r="E1491" t="str">
            <v>OrthoLite Ultra-Hybrid SEEDPEARL/12-0703TPX Hybrid Flat Sheet 0.085D 25+/-4 Asker C 1.1M 2M 5mm</v>
          </cell>
          <cell r="F1491">
            <v>35</v>
          </cell>
        </row>
        <row r="1492">
          <cell r="B1492" t="str">
            <v>F-2026-02-198</v>
          </cell>
          <cell r="C1492" t="str">
            <v>BDB-000123</v>
          </cell>
          <cell r="D1492" t="str">
            <v>PVN-002973</v>
          </cell>
          <cell r="E1492" t="str">
            <v>OrthoLite Ultra-Hybrid SEEDPEARL/12-0703TPX Hybrid 0.085D 25+/-4 Asker C 1.1M 2M 4.5mm</v>
          </cell>
          <cell r="F1492">
            <v>49</v>
          </cell>
        </row>
        <row r="1493">
          <cell r="B1493" t="str">
            <v>S-2026-02-27</v>
          </cell>
          <cell r="C1493" t="str">
            <v>BDB-000008</v>
          </cell>
          <cell r="D1493" t="str">
            <v>PVN-000505</v>
          </cell>
          <cell r="E1493" t="str">
            <v>OrthoLite Regular LIME GREEN/14-0452TPX 0.11D 25+/-4 Asker C 1.1M 2M 12mm</v>
          </cell>
          <cell r="F1493">
            <v>3</v>
          </cell>
        </row>
        <row r="1494">
          <cell r="B1494" t="str">
            <v>S-2026-02-53</v>
          </cell>
          <cell r="C1494" t="str">
            <v>BDB-000097</v>
          </cell>
          <cell r="D1494" t="str">
            <v>PVN-002473</v>
          </cell>
          <cell r="E1494" t="str">
            <v>OrthoLite Eco LT-Hybrid SEEDPEARL/12-0703TPX Hybrid 0.11D 25+/-4 Asker C 1.1M 2M 5mm</v>
          </cell>
          <cell r="F1494">
            <v>2</v>
          </cell>
        </row>
        <row r="1495">
          <cell r="B1495" t="str">
            <v>S-2026-02-46</v>
          </cell>
          <cell r="C1495" t="str">
            <v>BDB-000097</v>
          </cell>
          <cell r="D1495" t="str">
            <v>PVN-002478</v>
          </cell>
          <cell r="E1495" t="str">
            <v>OrthoLite Eco LT-Hybrid SEEDPEARL/12-0703TPX Hybrid 0.11D 25+/-4 Asker C 1.1M 2M 4mm</v>
          </cell>
          <cell r="F1495">
            <v>2</v>
          </cell>
        </row>
        <row r="1496">
          <cell r="B1496" t="str">
            <v>F-2026-01-507</v>
          </cell>
          <cell r="C1496" t="str">
            <v>BDB-000113</v>
          </cell>
          <cell r="D1496" t="str">
            <v>PVN-003414</v>
          </cell>
          <cell r="E1496" t="str">
            <v>OrthoLite Regular-Hybrid SEEDPEARL/12-0703TPX Hybrid Flat Sheet 0.11D 25+/-4 Asker C 1.1M 2M 12mm</v>
          </cell>
          <cell r="F1496">
            <v>348</v>
          </cell>
        </row>
        <row r="1497">
          <cell r="B1497" t="str">
            <v>F-2026-02-37</v>
          </cell>
          <cell r="C1497" t="str">
            <v>BDB-000113</v>
          </cell>
          <cell r="D1497" t="str">
            <v>PVN-003161</v>
          </cell>
          <cell r="E1497" t="str">
            <v>OrthoLite Regular-Hybrid SEEDPEARL/12-0703TPX Hybrid Flat Sheet 0.11D 25+/-4 Asker C 1.1M 2M 2.5mm</v>
          </cell>
          <cell r="F1497">
            <v>2</v>
          </cell>
        </row>
        <row r="1498">
          <cell r="B1498" t="str">
            <v>F-2026-01-446</v>
          </cell>
          <cell r="C1498" t="str">
            <v>BDB-000113</v>
          </cell>
          <cell r="D1498" t="str">
            <v>PVN-003414</v>
          </cell>
          <cell r="E1498" t="str">
            <v>OrthoLite Regular-Hybrid SEEDPEARL/12-0703TPX Hybrid Flat Sheet 0.11D 25+/-4 Asker C 1.1M 2M 12mm</v>
          </cell>
          <cell r="F1498">
            <v>19</v>
          </cell>
        </row>
        <row r="1499">
          <cell r="B1499" t="str">
            <v>F-2026-02-107</v>
          </cell>
          <cell r="C1499" t="str">
            <v>BDB-000188</v>
          </cell>
          <cell r="D1499" t="str">
            <v>PVN-003479</v>
          </cell>
          <cell r="E1499" t="str">
            <v>OrthoLite Ultra-Hybrid SEEDPEARL/12-0703TPX Hybrid Flat Sheet 0.085D 25+/-4 Asker C 1.1M 1.47M 4mm</v>
          </cell>
          <cell r="F1499">
            <v>18</v>
          </cell>
        </row>
        <row r="1500">
          <cell r="B1500" t="str">
            <v>F-2026-02-139</v>
          </cell>
          <cell r="C1500" t="str">
            <v>BDB-000348</v>
          </cell>
          <cell r="D1500" t="str">
            <v>PVN-004195</v>
          </cell>
          <cell r="E1500" t="str">
            <v>OrthoLite IMPERIAL SEEDPEARL/12-0703TPX Flat Sheet 0.22D 25+/-4 Asker C 1.1M 1.47M 4mm</v>
          </cell>
          <cell r="F1500">
            <v>31</v>
          </cell>
        </row>
        <row r="1501">
          <cell r="B1501" t="str">
            <v>S-2026-03-05</v>
          </cell>
          <cell r="C1501" t="str">
            <v>BDB-000348</v>
          </cell>
          <cell r="D1501" t="str">
            <v>PVN-004195</v>
          </cell>
          <cell r="E1501" t="str">
            <v>OrthoLite IMPERIAL SEEDPEARL/12-0703TPX Flat Sheet 0.22D 25+/-4 Asker C 1.1M 1.47M 4mm</v>
          </cell>
          <cell r="F1501">
            <v>6</v>
          </cell>
        </row>
        <row r="1502">
          <cell r="B1502" t="str">
            <v>S-2026-03-04</v>
          </cell>
          <cell r="C1502" t="str">
            <v>BDB-000348</v>
          </cell>
          <cell r="D1502" t="str">
            <v>PVN-004210</v>
          </cell>
          <cell r="E1502" t="str">
            <v>OrthoLite IMPERIAL SEEDPEARL/12-0703TPX Flat Sheet 0.22D 25+/-4 Asker C 1.1M 1.47M 5mm</v>
          </cell>
          <cell r="F1502">
            <v>8</v>
          </cell>
        </row>
        <row r="1503">
          <cell r="B1503" t="str">
            <v>L-2026-03-26</v>
          </cell>
          <cell r="C1503" t="str">
            <v>BDB-000113</v>
          </cell>
          <cell r="D1503" t="str">
            <v>PVN-002699</v>
          </cell>
          <cell r="E1503" t="str">
            <v>OrthoLite Regular-Hybrid SEEDPEARL/12-0703TPX Hybrid Flat Sheet 0.11D 25+/-4 Asker C 1.1M 2M 4.5mm</v>
          </cell>
          <cell r="F1503">
            <v>1</v>
          </cell>
        </row>
        <row r="1504">
          <cell r="B1504" t="str">
            <v>OIN-2026.02.13-02</v>
          </cell>
          <cell r="C1504" t="str">
            <v>BDB-000102</v>
          </cell>
          <cell r="D1504" t="str">
            <v>PVN-003821</v>
          </cell>
          <cell r="E1504" t="str">
            <v>[118-467] Eco Lite Hybrid 35+/-4 Asker C 0.13D Lime Green 14-0452 Tpx 1.10M X 2.00M 47mm</v>
          </cell>
          <cell r="F1504">
            <v>5</v>
          </cell>
        </row>
        <row r="1505">
          <cell r="B1505" t="str">
            <v>F-2026-01-329</v>
          </cell>
          <cell r="C1505" t="str">
            <v>BDB-000123</v>
          </cell>
          <cell r="D1505" t="str">
            <v>PVN-003298</v>
          </cell>
          <cell r="E1505" t="str">
            <v>OrthoLite Ultra-Hybrid SEEDPEARL/12-0703TPX Hybrid 0.085D 25+/-4 Asker C 1.1M 2M 4mm</v>
          </cell>
          <cell r="F1505">
            <v>200</v>
          </cell>
        </row>
        <row r="1506">
          <cell r="B1506" t="str">
            <v>F-2026-02-210</v>
          </cell>
          <cell r="C1506" t="str">
            <v>BDB-000058</v>
          </cell>
          <cell r="D1506" t="str">
            <v>PVN-001319</v>
          </cell>
          <cell r="E1506" t="str">
            <v>OrthoLite Ultra GREEN/16-5932TPX 0.085D 25+/-4 Asker C 1.1M 2M 5mm</v>
          </cell>
          <cell r="F1506">
            <v>6</v>
          </cell>
        </row>
        <row r="1507">
          <cell r="B1507" t="str">
            <v>F-2026-02-63</v>
          </cell>
          <cell r="C1507" t="str">
            <v>BDB-000123</v>
          </cell>
          <cell r="D1507" t="str">
            <v>PVN-003743</v>
          </cell>
          <cell r="E1507" t="str">
            <v>OrthoLite Ultra-Hybrid SEEDPEARL/12-0703TPX Hybrid Flat Sheet 0.085D 25+/-4 Asker C 1.1M 2M 5.5mm</v>
          </cell>
          <cell r="F1507">
            <v>3</v>
          </cell>
        </row>
        <row r="1508">
          <cell r="B1508" t="str">
            <v>F-2026-02-08</v>
          </cell>
          <cell r="C1508" t="str">
            <v>BDB-000209</v>
          </cell>
          <cell r="D1508" t="str">
            <v>PVN-003537</v>
          </cell>
          <cell r="E1508" t="str">
            <v>OrthoLite HybridPlus-Recycled MINT GREEN/11-4805TPX Hybrid Flat Sheet 0.12D 25+/-4 Asker C 1.1M 2M 4.5mm</v>
          </cell>
          <cell r="F1508">
            <v>7</v>
          </cell>
        </row>
        <row r="1509">
          <cell r="B1509" t="str">
            <v>OIN-2026.02.03-03</v>
          </cell>
          <cell r="C1509" t="str">
            <v>BDB-000123</v>
          </cell>
          <cell r="D1509" t="str">
            <v>PVN-003784</v>
          </cell>
          <cell r="E1509" t="str">
            <v>[116-311] Ultra Hybrid 25+/-4 Asker C 0.085D Seedpearl 12-0703 Tpx 1.10M X 2.00M 47mm</v>
          </cell>
          <cell r="F1509">
            <v>25</v>
          </cell>
        </row>
        <row r="1510">
          <cell r="B1510" t="str">
            <v>F-2026-02-122</v>
          </cell>
          <cell r="C1510" t="str">
            <v>BDB-000305</v>
          </cell>
          <cell r="D1510" t="str">
            <v>PVN-004000</v>
          </cell>
          <cell r="E1510" t="str">
            <v>OrthoLite X-35-Nike YELLOW/13-0858TPX Flat Sheet 0.145D 25+/-4 Asker C 1.1M 2M 5.5mm</v>
          </cell>
          <cell r="F1510">
            <v>1</v>
          </cell>
        </row>
        <row r="1511">
          <cell r="B1511" t="str">
            <v>F-2026-03-03</v>
          </cell>
          <cell r="C1511" t="str">
            <v>BDB-000305</v>
          </cell>
          <cell r="D1511" t="str">
            <v>PVN-004000</v>
          </cell>
          <cell r="E1511" t="str">
            <v>OrthoLite X-35-Nike YELLOW/13-0858TPX Flat Sheet 0.145D 25+/-4 Asker C 1.1M 2M 5.5mm</v>
          </cell>
          <cell r="F1511">
            <v>7</v>
          </cell>
        </row>
        <row r="1512">
          <cell r="B1512" t="str">
            <v>F-2026-01-436</v>
          </cell>
          <cell r="C1512" t="str">
            <v>BDB-000157</v>
          </cell>
          <cell r="D1512" t="str">
            <v>PVN-003573</v>
          </cell>
          <cell r="E1512" t="str">
            <v>OrthoLite X-35-Hybrid-Nike SEEDPEARL/12-0703TPX Hybrid 0.145D 25+/-4 Asker C 1.1M 2M 4.2mm</v>
          </cell>
          <cell r="F1512">
            <v>36</v>
          </cell>
        </row>
        <row r="1513">
          <cell r="B1513" t="str">
            <v>F-2026-02-134</v>
          </cell>
          <cell r="C1513" t="str">
            <v>BDB-000217</v>
          </cell>
          <cell r="D1513" t="str">
            <v>PVN-003483</v>
          </cell>
          <cell r="E1513" t="str">
            <v>OrthoLite X-40-Hybrid SEEDPEARL/12-0703TPX Hybrid Flat Sheet 0.16D 35+/-4 Asker C 1.1M 1.7M 12mm</v>
          </cell>
          <cell r="F1513">
            <v>13</v>
          </cell>
        </row>
        <row r="1514">
          <cell r="B1514" t="str">
            <v>F-2026-03-39</v>
          </cell>
          <cell r="C1514" t="str">
            <v>BDB-000217</v>
          </cell>
          <cell r="D1514" t="str">
            <v>PVN-003733</v>
          </cell>
          <cell r="E1514" t="str">
            <v>OrthoLite X-40-Hybrid SEEDPEARL/12-0703TPX Hybrid Flat Sheet 0.16D 35+/-4 Asker C 1.1M 1.7M 12.5mm</v>
          </cell>
          <cell r="F1514">
            <v>1</v>
          </cell>
        </row>
        <row r="1515">
          <cell r="B1515" t="str">
            <v>F-2026-02-115</v>
          </cell>
          <cell r="C1515" t="str">
            <v>BDB-000057</v>
          </cell>
          <cell r="D1515" t="str">
            <v>PVN-000925</v>
          </cell>
          <cell r="E1515" t="str">
            <v>OrthoLite Ultra YELLOW/13-0858TPX Flat Sheet 0.085D 25+/-4 Asker C 1.1M 2M 5mm</v>
          </cell>
          <cell r="F1515">
            <v>1</v>
          </cell>
        </row>
        <row r="1516">
          <cell r="B1516" t="str">
            <v>F-2026-02-277</v>
          </cell>
          <cell r="C1516" t="str">
            <v>BDB-000057</v>
          </cell>
          <cell r="D1516" t="str">
            <v>PVN-000925</v>
          </cell>
          <cell r="E1516" t="str">
            <v>OrthoLite Ultra YELLOW/13-0858TPX Flat Sheet 0.085D 25+/-4 Asker C 1.1M 2M 5mm (OIN-RM)</v>
          </cell>
          <cell r="F1516">
            <v>6</v>
          </cell>
        </row>
        <row r="1517">
          <cell r="B1517" t="str">
            <v>F-2026-01-508</v>
          </cell>
          <cell r="C1517" t="str">
            <v>BDB-000113</v>
          </cell>
          <cell r="D1517" t="str">
            <v>PVN-003414</v>
          </cell>
          <cell r="E1517" t="str">
            <v>OrthoLite Regular-Hybrid SEEDPEARL/12-0703TPX Hybrid Flat Sheet 0.11D 25+/-4 Asker C 1.1M 2M 12mm</v>
          </cell>
          <cell r="F1517">
            <v>96</v>
          </cell>
        </row>
        <row r="1518">
          <cell r="B1518" t="str">
            <v>F-2026-03-32</v>
          </cell>
          <cell r="C1518" t="str">
            <v>BDB-000011</v>
          </cell>
          <cell r="D1518" t="str">
            <v>PVN-000184</v>
          </cell>
          <cell r="E1518" t="str">
            <v>OrthoLite Regular AIR BLUE/16-4134TPX Flat Sheet 0.13D 35+/-4 Asker C 1.1M 2M 14mm</v>
          </cell>
          <cell r="F1518">
            <v>6</v>
          </cell>
        </row>
        <row r="1519">
          <cell r="B1519" t="str">
            <v>F-2026-01-241</v>
          </cell>
          <cell r="C1519" t="str">
            <v>BDB-000123</v>
          </cell>
          <cell r="D1519" t="str">
            <v>PVN-002539</v>
          </cell>
          <cell r="E1519" t="str">
            <v>OrthoLite Ultra-Hybrid SEEDPEARL/12-0703TPX Hybrid Flat Sheet 0.085D 25+/-4 Asker C 1.1M 2M 5mm</v>
          </cell>
          <cell r="F1519">
            <v>21</v>
          </cell>
        </row>
        <row r="1520">
          <cell r="B1520" t="str">
            <v>F-2026-02-330</v>
          </cell>
          <cell r="C1520" t="str">
            <v>BDB-000123</v>
          </cell>
          <cell r="D1520" t="str">
            <v>PVN-003315</v>
          </cell>
          <cell r="E1520" t="str">
            <v>OrthoLite Ultra-Hybrid SEEDPEARL/12-0703TPX Hybrid 0.085D 25+/-4 Asker C 1.1M 2M 3.5mm</v>
          </cell>
          <cell r="F1520">
            <v>2</v>
          </cell>
        </row>
        <row r="1521">
          <cell r="B1521" t="str">
            <v>F-2026-02-198</v>
          </cell>
          <cell r="C1521" t="str">
            <v>BDB-000123</v>
          </cell>
          <cell r="D1521" t="str">
            <v>PVN-002973</v>
          </cell>
          <cell r="E1521" t="str">
            <v>OrthoLite Ultra-Hybrid SEEDPEARL/12-0703TPX Hybrid 0.085D 25+/-4 Asker C 1.1M 2M 4.5mm</v>
          </cell>
          <cell r="F1521">
            <v>5</v>
          </cell>
        </row>
        <row r="1522">
          <cell r="B1522" t="str">
            <v>F-2026-01-329</v>
          </cell>
          <cell r="C1522" t="str">
            <v>BDB-000123</v>
          </cell>
          <cell r="D1522" t="str">
            <v>PVN-003298</v>
          </cell>
          <cell r="E1522" t="str">
            <v>OrthoLite Ultra-Hybrid SEEDPEARL/12-0703TPX Hybrid 0.085D 25+/-4 Asker C 1.1M 2M 4mm</v>
          </cell>
          <cell r="F1522">
            <v>17</v>
          </cell>
        </row>
        <row r="1523">
          <cell r="B1523" t="str">
            <v>F-2026-02-52</v>
          </cell>
          <cell r="C1523" t="str">
            <v>BDB-000248</v>
          </cell>
          <cell r="D1523" t="str">
            <v>PVN-003931</v>
          </cell>
          <cell r="E1523" t="str">
            <v>OrthoLite X-40-Hybrid RED/19-1764TPX Hybrid Flat Sheet 0.16D 25+/-4 Asker C 1.1M 1.7M 6.5mm</v>
          </cell>
          <cell r="F1523">
            <v>48</v>
          </cell>
        </row>
        <row r="1524">
          <cell r="B1524" t="str">
            <v>F-2026-02-35</v>
          </cell>
          <cell r="C1524" t="str">
            <v>BDB-000016</v>
          </cell>
          <cell r="D1524" t="str">
            <v>PVN-000458</v>
          </cell>
          <cell r="E1524" t="str">
            <v>OrthoLite Regular GREEN/16-5932TPX Flat Sheet 0.13D 35+/-4 Asker C 1.1M 2M 3mm</v>
          </cell>
          <cell r="F1524">
            <v>10</v>
          </cell>
        </row>
        <row r="1525">
          <cell r="B1525" t="str">
            <v>F-2026-01-417</v>
          </cell>
          <cell r="C1525" t="str">
            <v>BDB-000175</v>
          </cell>
          <cell r="D1525" t="str">
            <v>PVN-002875</v>
          </cell>
          <cell r="E1525" t="str">
            <v>OrthoLite Ultra-Hybrid-Nike SEEDPEARL/12-0703TPX Hybrid 0.085D 25+/-4 Asker C 1.1M 2M 3mm</v>
          </cell>
          <cell r="F1525">
            <v>15</v>
          </cell>
        </row>
        <row r="1526">
          <cell r="B1526" t="str">
            <v>F-2026-01-398</v>
          </cell>
          <cell r="C1526" t="str">
            <v>BDB-000162</v>
          </cell>
          <cell r="D1526" t="str">
            <v>PVN-001566</v>
          </cell>
          <cell r="E1526" t="str">
            <v>OrthoLite Ultra-Nike SEEDPEARL/12-0703TPX 0.085D 25+/-4 Asker C 1.1M 2M 4mm</v>
          </cell>
          <cell r="F1526">
            <v>12</v>
          </cell>
        </row>
        <row r="1527">
          <cell r="B1527" t="str">
            <v>S-2026-03-31</v>
          </cell>
          <cell r="C1527" t="str">
            <v>BDB-000117</v>
          </cell>
          <cell r="D1527" t="str">
            <v>PVN-003234</v>
          </cell>
          <cell r="E1527" t="str">
            <v>OrthoLite X-35-Hybrid SEEDPEARL/12-0703TPX Hybrid Flat Sheet 0.145D 25+/-4 Asker C 1.1M 2M 5.5mm</v>
          </cell>
          <cell r="F1527">
            <v>1</v>
          </cell>
        </row>
        <row r="1528">
          <cell r="B1528" t="str">
            <v>S-2026-03-40</v>
          </cell>
          <cell r="C1528" t="str">
            <v>BDB-000348</v>
          </cell>
          <cell r="D1528" t="str">
            <v>PVN-004195</v>
          </cell>
          <cell r="E1528" t="str">
            <v>OrthoLite IMPERIAL SEEDPEARL/12-0703TPX Flat Sheet 0.22D 25+/-4 Asker C 1.1M 1.47M 4mm</v>
          </cell>
          <cell r="F1528">
            <v>6</v>
          </cell>
        </row>
        <row r="1529">
          <cell r="B1529" t="str">
            <v>S-2026-03-19</v>
          </cell>
          <cell r="C1529" t="str">
            <v>BDB-000175</v>
          </cell>
          <cell r="D1529" t="str">
            <v>PVN-002966</v>
          </cell>
          <cell r="E1529" t="str">
            <v>OrthoLite Ultra-Hybrid-Nike SEEDPEARL/12-0703TPX Hybrid Flat Sheet 0.085D 25+/-4 Asker C 1.1M 2M 4mm</v>
          </cell>
          <cell r="F1529">
            <v>2</v>
          </cell>
        </row>
        <row r="1530">
          <cell r="B1530" t="str">
            <v>S-2026-03-08</v>
          </cell>
          <cell r="C1530" t="str">
            <v>BDB-000010</v>
          </cell>
          <cell r="D1530" t="str">
            <v>PVN-003437</v>
          </cell>
          <cell r="E1530" t="str">
            <v>OrthoLite Regular AIR BLUE/16-4134TPX 0.11D 25+/-4 Asker C 1.1M 2M 10.5mm</v>
          </cell>
          <cell r="F1530">
            <v>3</v>
          </cell>
        </row>
        <row r="1531">
          <cell r="B1531" t="str">
            <v>S-2026-03-38</v>
          </cell>
          <cell r="C1531" t="str">
            <v>BDB-000123</v>
          </cell>
          <cell r="D1531" t="str">
            <v>PVN-002539</v>
          </cell>
          <cell r="E1531" t="str">
            <v>OrthoLite Ultra-Hybrid SEEDPEARL/12-0703TPX Hybrid Flat Sheet 0.085D 25+/-4 Asker C 1.1M 2M 5mm</v>
          </cell>
          <cell r="F1531">
            <v>15</v>
          </cell>
        </row>
        <row r="1532">
          <cell r="B1532" t="str">
            <v>S-2026-03-39</v>
          </cell>
          <cell r="C1532" t="str">
            <v>BDB-000123</v>
          </cell>
          <cell r="D1532" t="str">
            <v>PVN-003300</v>
          </cell>
          <cell r="E1532" t="str">
            <v>OrthoLite Ultra-Hybrid SEEDPEARL/12-0703TPX Hybrid Flat Sheet 0.085D 25+/-4 Asker C 1.1M 2M 2mm</v>
          </cell>
          <cell r="F1532">
            <v>3</v>
          </cell>
        </row>
        <row r="1533">
          <cell r="B1533" t="str">
            <v>S-2026-03-30</v>
          </cell>
          <cell r="C1533" t="str">
            <v>BDB-000123</v>
          </cell>
          <cell r="D1533" t="str">
            <v>PVN-002973</v>
          </cell>
          <cell r="E1533" t="str">
            <v>UltraLite-Hybrid OrthoLite SEEDPEARL/12-0703TPX Hybrid Flat Sheet 0.085D 25+/-4 Asker C 1.1M 2M 4.5mm</v>
          </cell>
          <cell r="F1533">
            <v>1</v>
          </cell>
        </row>
        <row r="1534">
          <cell r="B1534" t="str">
            <v>S-2026-03-37</v>
          </cell>
          <cell r="C1534" t="str">
            <v>BDB-000123</v>
          </cell>
          <cell r="D1534" t="str">
            <v>PVN-002973</v>
          </cell>
          <cell r="E1534" t="str">
            <v>OrthoLite Ultra-Hybrid SEEDPEARL/12-0703TPX Hybrid Flat Sheet 0.085D 25+/-4 Asker C 1.1M 2M 4.5mm</v>
          </cell>
          <cell r="F1534">
            <v>4</v>
          </cell>
        </row>
        <row r="1535">
          <cell r="B1535" t="str">
            <v>S-2026-03-14</v>
          </cell>
          <cell r="C1535" t="str">
            <v>BDB-000113</v>
          </cell>
          <cell r="D1535" t="str">
            <v>PVN-002887</v>
          </cell>
          <cell r="E1535" t="str">
            <v>OrthoLite Regular-Hybrid SEEDPEARL/12-0703TPX Hybrid Flat Sheet 0.11D 25+/-4 Asker C 1.1M 2M 5.5mm</v>
          </cell>
          <cell r="F1535">
            <v>2</v>
          </cell>
        </row>
        <row r="1536">
          <cell r="B1536" t="str">
            <v>S-2026-02-45</v>
          </cell>
          <cell r="C1536" t="str">
            <v>BDB-000055</v>
          </cell>
          <cell r="D1536" t="str">
            <v>PVN-003327</v>
          </cell>
          <cell r="E1536" t="str">
            <v>OrthoLite X-40 TRUE BLUE/19-4057TPX 0.16D 35+/-4 Asker C 1.1M 1.7M 4mm</v>
          </cell>
          <cell r="F1536">
            <v>2</v>
          </cell>
        </row>
        <row r="1537">
          <cell r="B1537" t="str">
            <v>S-2026-03-41</v>
          </cell>
          <cell r="C1537" t="str">
            <v>BDB-000348</v>
          </cell>
          <cell r="D1537" t="str">
            <v>PVN-004210</v>
          </cell>
          <cell r="E1537" t="str">
            <v>OrthoLite IMPERIAL SEEDPEARL/12-0703TPX Flat Sheet 0.22D 25+/-4 Asker C 1.1M 1.47M 5mm</v>
          </cell>
          <cell r="F1537">
            <v>4</v>
          </cell>
        </row>
        <row r="1538">
          <cell r="B1538" t="str">
            <v>S-2026-03-33</v>
          </cell>
          <cell r="C1538" t="str">
            <v>BDB-000058</v>
          </cell>
          <cell r="D1538" t="str">
            <v>PVN-003894</v>
          </cell>
          <cell r="E1538" t="str">
            <v>OrthoLite Ultra GREEN/16-5932TPX Flat Sheet 0.085D 25+/-4 Asker C 1.1M 2M 11mm</v>
          </cell>
          <cell r="F1538">
            <v>2</v>
          </cell>
        </row>
        <row r="1539">
          <cell r="B1539" t="str">
            <v>F-2026-01-412</v>
          </cell>
          <cell r="C1539" t="str">
            <v>BDB-000125</v>
          </cell>
          <cell r="D1539" t="str">
            <v>PVN-002413</v>
          </cell>
          <cell r="E1539" t="str">
            <v>OrthoLite Regular-Nike AIR BLUE/16-4134TPX 0.11D 25+/-4 Asker C 1.1M 2M 4.2mm</v>
          </cell>
          <cell r="F1539">
            <v>10</v>
          </cell>
        </row>
        <row r="1540">
          <cell r="B1540" t="str">
            <v>F-2026-02-240</v>
          </cell>
          <cell r="C1540" t="str">
            <v>BDB-000200</v>
          </cell>
          <cell r="D1540" t="str">
            <v>PVN-003425</v>
          </cell>
          <cell r="E1540" t="str">
            <v>OrthoLite Ultra SEEDPEARL/12-0703TPX Flat Sheet 0.085D 78-90 Asker F 1.1M 2M 4mm</v>
          </cell>
          <cell r="F1540">
            <v>4</v>
          </cell>
        </row>
        <row r="1541">
          <cell r="B1541" t="str">
            <v>F-2026-02-12</v>
          </cell>
          <cell r="C1541" t="str">
            <v>BDB-000212</v>
          </cell>
          <cell r="D1541" t="str">
            <v>PVN-003460</v>
          </cell>
          <cell r="E1541" t="str">
            <v>OrthoLite X-25-Hybrid SEEDPEARL/12-0703TPX Hybrid Flat Sheet 0.12D 20+/-4 Asker C 1.1M 2M 5.5mm</v>
          </cell>
          <cell r="F1541">
            <v>6</v>
          </cell>
        </row>
        <row r="1542">
          <cell r="B1542" t="str">
            <v>F-2026-02-139</v>
          </cell>
          <cell r="C1542" t="str">
            <v>BDB-000348</v>
          </cell>
          <cell r="D1542" t="str">
            <v>PVN-004195</v>
          </cell>
          <cell r="E1542" t="str">
            <v>OrthoLite IMPERIAL SEEDPEARL/12-0703TPX Flat Sheet 0.22D 25+/-4 Asker C 1.1M 1.47M 4mm</v>
          </cell>
          <cell r="F1542">
            <v>4</v>
          </cell>
        </row>
        <row r="1543">
          <cell r="B1543" t="str">
            <v>F-2026-01-507</v>
          </cell>
          <cell r="C1543" t="str">
            <v>BDB-000113</v>
          </cell>
          <cell r="D1543" t="str">
            <v>PVN-003414</v>
          </cell>
          <cell r="E1543" t="str">
            <v>OrthoLite Regular-Hybrid SEEDPEARL/12-0703TPX Hybrid Flat Sheet 0.11D 25+/-4 Asker C 1.1M 2M 12mm</v>
          </cell>
          <cell r="F1543">
            <v>11</v>
          </cell>
        </row>
        <row r="1544">
          <cell r="B1544" t="str">
            <v>F-2025-12-524</v>
          </cell>
          <cell r="C1544" t="str">
            <v>BDB-000123</v>
          </cell>
          <cell r="D1544" t="str">
            <v>PVN-003299</v>
          </cell>
          <cell r="E1544" t="str">
            <v>OrthoLite Ultra-Hybrid SEEDPEARL/12-0703TPX Hybrid 0.085D 25+/-4 Asker C 1.1M 2M 3mm</v>
          </cell>
          <cell r="F1544">
            <v>83</v>
          </cell>
        </row>
        <row r="1545">
          <cell r="B1545" t="str">
            <v>F-2026-02-142</v>
          </cell>
          <cell r="C1545" t="str">
            <v>BDB-000083</v>
          </cell>
          <cell r="D1545" t="str">
            <v>PVN-000930</v>
          </cell>
          <cell r="E1545" t="str">
            <v>OrthoLite Eco LT 300C(ADIDAS BLUEBIRD) Flat Sheet 0.11D 25+/-4 Asker C 1.1M 2M 3mm</v>
          </cell>
          <cell r="F1545">
            <v>8</v>
          </cell>
        </row>
        <row r="1546">
          <cell r="B1546" t="str">
            <v>F-2026-01-241</v>
          </cell>
          <cell r="C1546" t="str">
            <v>BDB-000123</v>
          </cell>
          <cell r="D1546" t="str">
            <v>PVN-002539</v>
          </cell>
          <cell r="E1546" t="str">
            <v>OrthoLite Ultra-Hybrid SEEDPEARL/12-0703TPX Hybrid Flat Sheet 0.085D 25+/-4 Asker C 1.1M 2M 5mm</v>
          </cell>
          <cell r="F1546">
            <v>1</v>
          </cell>
        </row>
        <row r="1547">
          <cell r="B1547" t="str">
            <v>F-2026-02-326</v>
          </cell>
          <cell r="C1547" t="str">
            <v>BDB-000010</v>
          </cell>
          <cell r="D1547" t="str">
            <v>PVN-000101</v>
          </cell>
          <cell r="E1547" t="str">
            <v>OrthoLite Regular AIR BLUE/16-4134TPX Flat Sheet 0.11D 25+/-4 Asker C 1.1M 2M 3mm</v>
          </cell>
          <cell r="F1547">
            <v>7</v>
          </cell>
        </row>
        <row r="1548">
          <cell r="B1548" t="str">
            <v>F-2026-03-11</v>
          </cell>
          <cell r="C1548" t="str">
            <v>BDB-000113</v>
          </cell>
          <cell r="D1548" t="str">
            <v>PVN-002699</v>
          </cell>
          <cell r="E1548" t="str">
            <v>OrthoLite Regular-Hybrid SEEDPEARL/12-0703TPX Hybrid Flat Sheet 0.11D 25+/-4 Asker C 1.1M 2M 4.5mm</v>
          </cell>
          <cell r="F1548">
            <v>4</v>
          </cell>
        </row>
        <row r="1549">
          <cell r="B1549" t="str">
            <v>F-2026-03-12</v>
          </cell>
          <cell r="C1549" t="str">
            <v>BDB-000113</v>
          </cell>
          <cell r="D1549" t="str">
            <v>PVN-003796</v>
          </cell>
          <cell r="E1549" t="str">
            <v>OrthoLite Regular-Hybrid SEEDPEARL/12-0703TPX Hybrid Flat Sheet 0.11D 25+/-4 Asker C 1.1M 2M 3.5mm</v>
          </cell>
          <cell r="F1549">
            <v>3</v>
          </cell>
        </row>
        <row r="1550">
          <cell r="B1550" t="str">
            <v>F-2026-02-357</v>
          </cell>
          <cell r="C1550" t="str">
            <v>BDB-000113</v>
          </cell>
          <cell r="D1550" t="str">
            <v>PVN-002515</v>
          </cell>
          <cell r="E1550" t="str">
            <v>OrthoLite Regular-Hybrid SEEDPEARL/12-0703TPX Hybrid Flat Sheet 0.11D 25+/-4 Asker C 1.1M 2M 11mm</v>
          </cell>
          <cell r="F1550">
            <v>5</v>
          </cell>
        </row>
        <row r="1551">
          <cell r="B1551" t="str">
            <v>F-2026-01-508</v>
          </cell>
          <cell r="C1551" t="str">
            <v>BDB-000113</v>
          </cell>
          <cell r="D1551" t="str">
            <v>PVN-003414</v>
          </cell>
          <cell r="E1551" t="str">
            <v>OrthoLite Regular-Hybrid SEEDPEARL/12-0703TPX Hybrid Flat Sheet 0.11D 25+/-4 Asker C 1.1M 2M 12mm</v>
          </cell>
          <cell r="F1551">
            <v>252</v>
          </cell>
        </row>
        <row r="1552">
          <cell r="B1552" t="str">
            <v>F-2026-01-485</v>
          </cell>
          <cell r="C1552" t="str">
            <v>BDB-000011</v>
          </cell>
          <cell r="D1552" t="str">
            <v>PVN-000258</v>
          </cell>
          <cell r="E1552" t="str">
            <v>OrthoLite Regular AIR BLUE/16-4134TPX Flat Sheet 0.13D 35+/-4 Asker C 1.1M 2M 2.5mm</v>
          </cell>
          <cell r="F1552">
            <v>45</v>
          </cell>
        </row>
        <row r="1553">
          <cell r="B1553" t="str">
            <v>F-2026-01-330</v>
          </cell>
          <cell r="C1553" t="str">
            <v>BDB-000123</v>
          </cell>
          <cell r="D1553" t="str">
            <v>PVN-003298</v>
          </cell>
          <cell r="E1553" t="str">
            <v>OrthoLite Ultra-Hybrid SEEDPEARL/12-0703TPX Hybrid 0.085D 25+/-4 Asker C 1.1M 2M 4mm</v>
          </cell>
          <cell r="F1553">
            <v>200</v>
          </cell>
        </row>
        <row r="1554">
          <cell r="B1554" t="str">
            <v>F-2026-02-152</v>
          </cell>
          <cell r="C1554" t="str">
            <v>BDB-000055</v>
          </cell>
          <cell r="D1554" t="str">
            <v>PVN-003387</v>
          </cell>
          <cell r="E1554" t="str">
            <v>OrthoLite X-40 TRUE BLUE/19-4057TPX Flat Sheet 0.16D 35+/-4 Asker C 1.1M 1.7M 13.5mm</v>
          </cell>
          <cell r="F1554">
            <v>12</v>
          </cell>
        </row>
        <row r="1555">
          <cell r="B1555" t="str">
            <v>F-2026-02-156</v>
          </cell>
          <cell r="C1555" t="str">
            <v>BDB-000055</v>
          </cell>
          <cell r="D1555" t="str">
            <v>PVN-003326</v>
          </cell>
          <cell r="E1555" t="str">
            <v>OrthoLite X-40 TRUE BLUE/19-4057TPX Flat Sheet 0.16D 35+/-4 Asker C 1.1M 1.7M 14mm</v>
          </cell>
          <cell r="F1555">
            <v>109</v>
          </cell>
        </row>
        <row r="1556">
          <cell r="B1556" t="str">
            <v>F-2025-12-526</v>
          </cell>
          <cell r="C1556" t="str">
            <v>BDB-000123</v>
          </cell>
          <cell r="D1556" t="str">
            <v>PVN-003299</v>
          </cell>
          <cell r="E1556" t="str">
            <v>OrthoLite Ultra-Hybrid SEEDPEARL/12-0703TPX Hybrid 0.085D 25+/-4 Asker C 1.1M 2M 3mm</v>
          </cell>
          <cell r="F1556">
            <v>85</v>
          </cell>
        </row>
        <row r="1557">
          <cell r="B1557" t="str">
            <v>F-2026-02-104</v>
          </cell>
          <cell r="C1557" t="str">
            <v>BDB-000052</v>
          </cell>
          <cell r="D1557" t="str">
            <v>PVN-004308</v>
          </cell>
          <cell r="E1557" t="str">
            <v>OrthoLite X-40 TRUE BLUE/19-4057TPX Flat Sheet 0.16D 25+/-4 Asker C 1.1M 1.47M 3mm</v>
          </cell>
          <cell r="F1557">
            <v>2</v>
          </cell>
        </row>
        <row r="1558">
          <cell r="B1558" t="str">
            <v>F-2026-02-76</v>
          </cell>
          <cell r="C1558" t="str">
            <v>BDB-000052</v>
          </cell>
          <cell r="D1558" t="str">
            <v>PVN-003603</v>
          </cell>
          <cell r="E1558" t="str">
            <v>OrthoLite X-40 TRUE BLUE/19-4057TPX Flat Sheet 0.16D 25+/-4 Asker C 1.1M 1.47M 12mm</v>
          </cell>
          <cell r="F1558">
            <v>18</v>
          </cell>
        </row>
        <row r="1559">
          <cell r="B1559" t="str">
            <v>F-2026-02-149</v>
          </cell>
          <cell r="C1559" t="str">
            <v>BDB-000052</v>
          </cell>
          <cell r="D1559" t="str">
            <v>PVN-003603</v>
          </cell>
          <cell r="E1559" t="str">
            <v>OrthoLite X-40 TRUE BLUE/19-4057TPX Flat Sheet 0.16D 25+/-4 Asker C 1.1M 1.47M 12mm</v>
          </cell>
          <cell r="F1559">
            <v>2</v>
          </cell>
        </row>
        <row r="1560">
          <cell r="B1560" t="str">
            <v>F-2026-03-09</v>
          </cell>
          <cell r="C1560" t="str">
            <v>BDB-000039</v>
          </cell>
          <cell r="D1560" t="str">
            <v>PVN-002019</v>
          </cell>
          <cell r="E1560" t="str">
            <v>OrthoLite Regular NEUTRAL GRAY/17-4402TPX Flat Sheet 0.11D 25+/-4 Asker C 1.1M 2M 13mm</v>
          </cell>
          <cell r="F1560">
            <v>47</v>
          </cell>
        </row>
        <row r="1561">
          <cell r="B1561" t="str">
            <v>F-2026-02-201</v>
          </cell>
          <cell r="C1561" t="str">
            <v>BDB-000180</v>
          </cell>
          <cell r="D1561" t="str">
            <v>PVN-003236</v>
          </cell>
          <cell r="E1561" t="str">
            <v>OrthoLite Eco LT-Hybrid-Converse SEEDPEARL/12-0703TPX Hybrid 0.13D 25+/-4 Asker C 1.1M 2M 5mm</v>
          </cell>
          <cell r="F1561">
            <v>32</v>
          </cell>
        </row>
        <row r="1562">
          <cell r="B1562" t="str">
            <v>F-2026-02-278</v>
          </cell>
          <cell r="C1562" t="str">
            <v>BDB-000180</v>
          </cell>
          <cell r="D1562" t="str">
            <v>PVN-003236</v>
          </cell>
          <cell r="E1562" t="str">
            <v>OrthoLite Eco LT-Hybrid-Converse SEEDPEARL/12-0703TPX Hybrid Flat Sheet 0.13D 25+/-4 Asker C 1.1M 2M 5mm</v>
          </cell>
          <cell r="F1562">
            <v>8</v>
          </cell>
        </row>
        <row r="1563">
          <cell r="B1563" t="str">
            <v>F-2026-02-279</v>
          </cell>
          <cell r="C1563" t="str">
            <v>BDB-000180</v>
          </cell>
          <cell r="D1563" t="str">
            <v>PVN-003236</v>
          </cell>
          <cell r="E1563" t="str">
            <v>OrthoLite Eco LT-Hybrid-Converse SEEDPEARL/12-0703TPX Hybrid Flat Sheet 0.13D 25+/-4 Asker C 1.1M 2M 5mm</v>
          </cell>
          <cell r="F1563">
            <v>29</v>
          </cell>
        </row>
        <row r="1564">
          <cell r="B1564" t="str">
            <v>F-2026-02-327</v>
          </cell>
          <cell r="C1564" t="str">
            <v>BDB-000058</v>
          </cell>
          <cell r="D1564" t="str">
            <v>PVN-001277</v>
          </cell>
          <cell r="E1564" t="str">
            <v>OrthoLite Ultra GREEN/16-5932TPX Flat Sheet 0.085D 25+/-4 Asker C 1.1M 2M 4mm</v>
          </cell>
          <cell r="F1564">
            <v>115</v>
          </cell>
        </row>
        <row r="1565">
          <cell r="B1565" t="str">
            <v>F-2025-10-228</v>
          </cell>
          <cell r="C1565" t="str">
            <v>BDB-000160</v>
          </cell>
          <cell r="D1565" t="str">
            <v>PVN-001562</v>
          </cell>
          <cell r="E1565" t="str">
            <v>OrthoLite Ultra-Nike LIME GREEN/14-0452TPX 0.085D 25+/-4 Asker C 1.1M 2M 4mm</v>
          </cell>
          <cell r="F1565">
            <v>72</v>
          </cell>
        </row>
        <row r="1566">
          <cell r="B1566" t="str">
            <v>F-2026-02-132</v>
          </cell>
          <cell r="C1566" t="str">
            <v>BDB-000212</v>
          </cell>
          <cell r="D1566" t="str">
            <v>PVN-003458</v>
          </cell>
          <cell r="E1566" t="str">
            <v>OrthoLite X-25-Hybrid SEEDPEARL/12-0703TPX Hybrid Flat Sheet 0.12D 20+/-4 Asker C 1.1M 2M 4mm</v>
          </cell>
          <cell r="F1566">
            <v>2</v>
          </cell>
        </row>
        <row r="1567">
          <cell r="B1567" t="str">
            <v>F-2026-02-172</v>
          </cell>
          <cell r="C1567" t="str">
            <v>BDB-000083</v>
          </cell>
          <cell r="D1567" t="str">
            <v>PVN-000933</v>
          </cell>
          <cell r="E1567" t="str">
            <v>OrthoLite Eco LT 300C(ADIDAS BLUEBIRD) Flat Sheet 0.11D 25+/-4 Asker C 1.1M 2M 4.5mm</v>
          </cell>
          <cell r="F1567">
            <v>18</v>
          </cell>
        </row>
        <row r="1568">
          <cell r="B1568" t="str">
            <v>F-2026-02-72</v>
          </cell>
          <cell r="C1568" t="str">
            <v>BDB-000105</v>
          </cell>
          <cell r="D1568" t="str">
            <v>PVN-003127</v>
          </cell>
          <cell r="E1568" t="str">
            <v>OrthoLite Eco LT-Hybrid AIR BLUE/16-4134TPX Hybrid Flat Sheet 0.13D 35+/-4 Asker C 1.1M 2M 3mm</v>
          </cell>
          <cell r="F1568">
            <v>5</v>
          </cell>
        </row>
        <row r="1569">
          <cell r="B1569" t="str">
            <v>F-2026-03-21</v>
          </cell>
          <cell r="C1569" t="str">
            <v>BDB-000085</v>
          </cell>
          <cell r="D1569" t="str">
            <v>PVN-001091</v>
          </cell>
          <cell r="E1569" t="str">
            <v>OrthoLite Eco LT GREY/17-1501TPX Flat Sheet 0.11D 25+/-4 Asker C 1.1M 2M 4mm</v>
          </cell>
          <cell r="F1569">
            <v>3</v>
          </cell>
        </row>
        <row r="1570">
          <cell r="B1570" t="str">
            <v>F-2026-02-116</v>
          </cell>
          <cell r="C1570" t="str">
            <v>BDB-000085</v>
          </cell>
          <cell r="D1570" t="str">
            <v>PVN-001091</v>
          </cell>
          <cell r="E1570" t="str">
            <v>OrthoLite Eco LT GREY/17-1501TPX Flat Sheet 0.11D 25+/-4 Asker C 1.1M 2M 4mm</v>
          </cell>
          <cell r="F1570">
            <v>8</v>
          </cell>
        </row>
        <row r="1571">
          <cell r="B1571" t="str">
            <v>F-2026-02-160</v>
          </cell>
          <cell r="C1571" t="str">
            <v>BDB-000213</v>
          </cell>
          <cell r="D1571" t="str">
            <v>PVN-003752</v>
          </cell>
          <cell r="E1571" t="str">
            <v>OrthoLite X-25-Hybrid SEEDPEARL/12-0703TPX Hybrid Flat Sheet 0.12D 20+/-4 Asker C 1.1M 1.47M 4.5mm</v>
          </cell>
          <cell r="F1571">
            <v>2</v>
          </cell>
        </row>
        <row r="1572">
          <cell r="B1572" t="str">
            <v>F-2026-03-06</v>
          </cell>
          <cell r="C1572" t="str">
            <v>BDB-000117</v>
          </cell>
          <cell r="D1572" t="str">
            <v>PVN-003234</v>
          </cell>
          <cell r="E1572" t="str">
            <v>OrthoLite X-35-Hybrid SEEDPEARL/12-0703TPX Hybrid Flat Sheet 0.145D 25+/-4 Asker C 1.1M 2M 5.5mm</v>
          </cell>
          <cell r="F1572">
            <v>1</v>
          </cell>
        </row>
        <row r="1573">
          <cell r="B1573" t="str">
            <v>F-2026-02-331</v>
          </cell>
          <cell r="C1573" t="str">
            <v>BDB-000200</v>
          </cell>
          <cell r="D1573" t="str">
            <v>PVN-003418</v>
          </cell>
          <cell r="E1573" t="str">
            <v>OrthoLite Ultra SEEDPEARL/12-0703TPX Flat Sheet 0.085D 78-90 Asker F 1.1M 2M 5mm</v>
          </cell>
          <cell r="F1573">
            <v>7</v>
          </cell>
        </row>
        <row r="1574">
          <cell r="B1574" t="str">
            <v>F-2026-02-342</v>
          </cell>
          <cell r="C1574" t="str">
            <v>BDB-000318</v>
          </cell>
          <cell r="D1574" t="str">
            <v>PVN-004077</v>
          </cell>
          <cell r="E1574" t="str">
            <v>OrthoLite X-55 RED/19-1764TPX Flat Sheet 0.16D 25+/-4 Asker C 1.1M 2M 5.2mm</v>
          </cell>
          <cell r="F1574">
            <v>1</v>
          </cell>
        </row>
        <row r="1575">
          <cell r="B1575" t="str">
            <v>F-2026-02-364</v>
          </cell>
          <cell r="C1575" t="str">
            <v>BDB-000318</v>
          </cell>
          <cell r="D1575" t="str">
            <v>PVN-004077</v>
          </cell>
          <cell r="E1575" t="str">
            <v>OrthoLite X-55 RED/19-1764TPX Flat Sheet 0.16D 25+/-4 Asker C 1.1M 2M 5.2mm</v>
          </cell>
          <cell r="F1575">
            <v>4</v>
          </cell>
        </row>
        <row r="1576">
          <cell r="B1576" t="str">
            <v>F-2026-02-88</v>
          </cell>
          <cell r="C1576" t="str">
            <v>BDB-000355</v>
          </cell>
          <cell r="D1576" t="str">
            <v>PVN-004231</v>
          </cell>
          <cell r="E1576" t="str">
            <v>OrthoLite HybridPlus-Recycled CASTLEROCK/18-0201TPX Hybrid Flat Sheet 0.12D 25+/-4 Asker C 1.1M 2M 4.5mm</v>
          </cell>
          <cell r="F1576">
            <v>57</v>
          </cell>
        </row>
        <row r="1577">
          <cell r="B1577" t="str">
            <v>F-2026-02-333</v>
          </cell>
          <cell r="C1577" t="str">
            <v>BDB-000117</v>
          </cell>
          <cell r="D1577" t="str">
            <v>PVN-003588</v>
          </cell>
          <cell r="E1577" t="str">
            <v>OrthoLite X-35-Hybrid SEEDPEARL/12-0703TPX Hybrid 0.145D 25+/-4 Asker C 1.1M 2M 5mm</v>
          </cell>
          <cell r="F1577">
            <v>21</v>
          </cell>
        </row>
        <row r="1578">
          <cell r="B1578" t="str">
            <v>F-2026-02-339</v>
          </cell>
          <cell r="C1578" t="str">
            <v>BDB-000319</v>
          </cell>
          <cell r="D1578" t="str">
            <v>PVN-004247</v>
          </cell>
          <cell r="E1578" t="str">
            <v>OrthoLite X-40-Hybrid-Nike SEEDPEARL/12-0703TPX Hybrid Flat Sheet 0.16D 25+/-4 Asker C 1.1M 2M 4.2mm</v>
          </cell>
          <cell r="F1578">
            <v>8</v>
          </cell>
        </row>
        <row r="1579">
          <cell r="B1579" t="str">
            <v>F-2026-02-128</v>
          </cell>
          <cell r="C1579" t="str">
            <v>BDB-000319</v>
          </cell>
          <cell r="D1579" t="str">
            <v>PVN-004081</v>
          </cell>
          <cell r="E1579" t="str">
            <v>OrthoLite X-40-Hybrid-Nike SEEDPEARL/12-0703TPX Hybrid Flat Sheet 0.16D 25+/-4 Asker C 1.1M 2M 6mm</v>
          </cell>
          <cell r="F1579">
            <v>66</v>
          </cell>
        </row>
        <row r="1580">
          <cell r="B1580" t="str">
            <v>F-2026-02-259</v>
          </cell>
          <cell r="C1580" t="str">
            <v>BDB-000123</v>
          </cell>
          <cell r="D1580" t="str">
            <v>PVN-003315</v>
          </cell>
          <cell r="E1580" t="str">
            <v>OrthoLite Ultra-Hybrid SEEDPEARL/12-0703TPX Hybrid 0.085D 25+/-4 Asker C 1.1M 2M 3.5mm</v>
          </cell>
          <cell r="F1580">
            <v>1</v>
          </cell>
        </row>
        <row r="1581">
          <cell r="B1581" t="str">
            <v>F-2026-02-145</v>
          </cell>
          <cell r="C1581" t="str">
            <v>BDB-000123</v>
          </cell>
          <cell r="D1581" t="str">
            <v>PVN-003315</v>
          </cell>
          <cell r="E1581" t="str">
            <v>OrthoLite Ultra-Hybrid SEEDPEARL/12-0703TPX Hybrid 0.085D 25+/-4 Asker C 1.1M 2M 3.5mm</v>
          </cell>
          <cell r="F1581">
            <v>8</v>
          </cell>
        </row>
        <row r="1582">
          <cell r="B1582" t="str">
            <v>F-2025-12-524</v>
          </cell>
          <cell r="C1582" t="str">
            <v>BDB-000123</v>
          </cell>
          <cell r="D1582" t="str">
            <v>PVN-003299</v>
          </cell>
          <cell r="E1582" t="str">
            <v>OrthoLite Ultra-Hybrid SEEDPEARL/12-0703TPX Hybrid 0.085D 25+/-4 Asker C 1.1M 2M 3mm</v>
          </cell>
          <cell r="F1582">
            <v>70</v>
          </cell>
        </row>
        <row r="1583">
          <cell r="B1583" t="str">
            <v>S-2026-02-39</v>
          </cell>
          <cell r="C1583" t="str">
            <v>BDB-000117</v>
          </cell>
          <cell r="D1583" t="str">
            <v>PVN-002979</v>
          </cell>
          <cell r="E1583" t="str">
            <v>OrthoLite X-35-Hybrid SEEDPEARL/12-0703TPX Hybrid Flat Sheet 0.145D 25+/-4 Asker C 1.1M 2M 11mm</v>
          </cell>
          <cell r="F1583">
            <v>5</v>
          </cell>
        </row>
        <row r="1584">
          <cell r="B1584" t="str">
            <v>S-2026-02-51</v>
          </cell>
          <cell r="C1584" t="str">
            <v>BDB-000337</v>
          </cell>
          <cell r="D1584" t="str">
            <v>PVN-004171</v>
          </cell>
          <cell r="E1584" t="str">
            <v>OrthoLite X-55 SEEDPEARL/12-0703TPX Flat Sheet 0.16D 25+/-4 Asker C 1.1M 2M 5.2mm</v>
          </cell>
          <cell r="F1584">
            <v>2</v>
          </cell>
        </row>
        <row r="1585">
          <cell r="B1585" t="str">
            <v>S-2026-03-10</v>
          </cell>
          <cell r="C1585" t="str">
            <v>BDB-000004</v>
          </cell>
          <cell r="D1585" t="str">
            <v>PVN-004316</v>
          </cell>
          <cell r="E1585" t="str">
            <v>OrthoLite Regular GREY/17-1501TPX 0.11D 25+/-4 Asker C 1.1M 2M 22mm</v>
          </cell>
          <cell r="F1585">
            <v>4</v>
          </cell>
        </row>
        <row r="1586">
          <cell r="B1586" t="str">
            <v>S-2026-03-15</v>
          </cell>
          <cell r="C1586" t="str">
            <v>BDB-000129</v>
          </cell>
          <cell r="D1586" t="str">
            <v>PVN-001550</v>
          </cell>
          <cell r="E1586" t="str">
            <v>OrthoLite Regular-Nike AIR BLUE/16-4134TPX Flat Sheet 0.11D 25+/-4 Asker C 1.1M 1.7M 2mm</v>
          </cell>
          <cell r="F1586">
            <v>1</v>
          </cell>
        </row>
        <row r="1587">
          <cell r="B1587" t="str">
            <v>S-2026-03-32</v>
          </cell>
          <cell r="C1587" t="str">
            <v>BDB-000097</v>
          </cell>
          <cell r="D1587" t="str">
            <v>PVN-002478</v>
          </cell>
          <cell r="E1587" t="str">
            <v>OrthoLite Eco LT-Hybrid SEEDPEARL/12-0703TPX Hybrid 0.11D 25+/-4 Asker C 1.1M 2M 4mm</v>
          </cell>
          <cell r="F1587">
            <v>1</v>
          </cell>
        </row>
        <row r="1588">
          <cell r="B1588" t="str">
            <v>S-2026-03-07</v>
          </cell>
          <cell r="C1588" t="str">
            <v>BDB-000242</v>
          </cell>
          <cell r="D1588" t="str">
            <v>PVN-003614</v>
          </cell>
          <cell r="E1588" t="str">
            <v>OrthoLite Regular GREY/17-1501TPX Flat Sheet 0.11D 5-10 Asker C 1.1M 2M 3.5mm</v>
          </cell>
          <cell r="F1588">
            <v>2</v>
          </cell>
        </row>
        <row r="1589">
          <cell r="B1589" t="str">
            <v>F-2026-02-73</v>
          </cell>
          <cell r="C1589" t="str">
            <v>BDB-000117</v>
          </cell>
          <cell r="D1589" t="str">
            <v>PVN-003588</v>
          </cell>
          <cell r="E1589" t="str">
            <v>OrthoLite X-35-Hybrid SEEDPEARL/12-0703TPX Hybrid 0.145D 25+/-4 Asker C 1.1M 2M 5mm</v>
          </cell>
          <cell r="F1589">
            <v>65</v>
          </cell>
        </row>
        <row r="1590">
          <cell r="B1590" t="str">
            <v>F-2026-02-71</v>
          </cell>
          <cell r="C1590" t="str">
            <v>BDB-000117</v>
          </cell>
          <cell r="D1590" t="str">
            <v>PVN-002899</v>
          </cell>
          <cell r="E1590" t="str">
            <v>OrthoLite X-35-Hybrid SEEDPEARL/12-0703TPX Hybrid 0.145D 25+/-4 Asker C 1.1M 2M 4mm</v>
          </cell>
          <cell r="F1590">
            <v>12</v>
          </cell>
        </row>
        <row r="1591">
          <cell r="B1591" t="str">
            <v>F-2026-01-405</v>
          </cell>
          <cell r="C1591" t="str">
            <v>BDB-000164</v>
          </cell>
          <cell r="D1591" t="str">
            <v>PVN-001618</v>
          </cell>
          <cell r="E1591" t="str">
            <v>OrthoLite Ultra-Nike GREY/17-1501TPX 0.085D 25+/-4 Asker C 1.1M 2M 4mm</v>
          </cell>
          <cell r="F1591">
            <v>15</v>
          </cell>
        </row>
        <row r="1592">
          <cell r="B1592" t="str">
            <v>F-2026-02-123</v>
          </cell>
          <cell r="C1592" t="str">
            <v>BDB-000348</v>
          </cell>
          <cell r="D1592" t="str">
            <v>PVN-004210</v>
          </cell>
          <cell r="E1592" t="str">
            <v>OrthoLite IMPERIAL SEEDPEARL/12-0703TPX Flat Sheet 0.22D 25+/-4 Asker C 1.1M 1.47M 5mm</v>
          </cell>
          <cell r="F1592">
            <v>9</v>
          </cell>
        </row>
        <row r="1593">
          <cell r="B1593" t="str">
            <v>F-2026-02-163</v>
          </cell>
          <cell r="C1593" t="str">
            <v>BDB-000313</v>
          </cell>
          <cell r="D1593" t="str">
            <v>PVN-004061</v>
          </cell>
          <cell r="E1593" t="str">
            <v>OrthoLite X-55 RED/19-1764TPX Flat Sheet 0.16D 25+/-4 Asker C 1.1M 1.47M 18mm</v>
          </cell>
          <cell r="F1593">
            <v>3</v>
          </cell>
        </row>
        <row r="1594">
          <cell r="B1594" t="str">
            <v>F-2025-12-526</v>
          </cell>
          <cell r="C1594" t="str">
            <v>BDB-000123</v>
          </cell>
          <cell r="D1594" t="str">
            <v>PVN-003299</v>
          </cell>
          <cell r="E1594" t="str">
            <v>OrthoLite Ultra-Hybrid SEEDPEARL/12-0703TPX Hybrid 0.085D 25+/-4 Asker C 1.1M 2M 3mm</v>
          </cell>
          <cell r="F1594">
            <v>66</v>
          </cell>
        </row>
        <row r="1595">
          <cell r="B1595" t="str">
            <v>F-2026-01-436</v>
          </cell>
          <cell r="C1595" t="str">
            <v>BDB-000157</v>
          </cell>
          <cell r="D1595" t="str">
            <v>PVN-003573</v>
          </cell>
          <cell r="E1595" t="str">
            <v>OrthoLite X-35-Hybrid-Nike SEEDPEARL/12-0703TPX Hybrid 0.145D 25+/-4 Asker C 1.1M 2M 4.2mm</v>
          </cell>
          <cell r="F1595">
            <v>55</v>
          </cell>
        </row>
        <row r="1596">
          <cell r="B1596" t="str">
            <v>F-2026-02-103</v>
          </cell>
          <cell r="C1596" t="str">
            <v>BDB-000346</v>
          </cell>
          <cell r="D1596" t="str">
            <v>PVN-004226</v>
          </cell>
          <cell r="E1596" t="str">
            <v>OrthoLite Float NEUTRAL GRAY/17-4402TPX Flat Sheet 0.12D 21+/-4 Asker C 1.1M 1.47M 5mm</v>
          </cell>
          <cell r="F1596">
            <v>4</v>
          </cell>
        </row>
        <row r="1597">
          <cell r="B1597" t="str">
            <v>F-2026-02-274</v>
          </cell>
          <cell r="C1597" t="str">
            <v>BDB-000145</v>
          </cell>
          <cell r="D1597" t="str">
            <v>PVN-002811</v>
          </cell>
          <cell r="E1597" t="str">
            <v>OrthoLite Regular-Hybrid-Nike YELLOW/13-0858TPX Hybrid Flat Sheet 0.11D 25+/-4 Asker C 1.1M 1.7M 2mm</v>
          </cell>
          <cell r="F1597">
            <v>6</v>
          </cell>
        </row>
        <row r="1598">
          <cell r="B1598" t="str">
            <v>F-2026-02-42</v>
          </cell>
          <cell r="C1598" t="str">
            <v>BDB-000209</v>
          </cell>
          <cell r="D1598" t="str">
            <v>PVN-003537</v>
          </cell>
          <cell r="E1598" t="str">
            <v>OrthoLite HybridPlus-Recycled MINT GREEN/11-4805TPX Hybrid Flat Sheet 0.12D 25+/-4 Asker C 1.1M 2M 4.5mm</v>
          </cell>
          <cell r="F1598">
            <v>10</v>
          </cell>
        </row>
        <row r="1599">
          <cell r="B1599" t="str">
            <v>F-2026-01-383</v>
          </cell>
          <cell r="C1599" t="str">
            <v>BDB-000129</v>
          </cell>
          <cell r="D1599" t="str">
            <v>PVN-001550</v>
          </cell>
          <cell r="E1599" t="str">
            <v>OrthoLite Regular-Nike AIR BLUE/16-4134TPX 0.11D 25+/-4 Asker C 1.1M 1.7M 2mm</v>
          </cell>
          <cell r="F1599">
            <v>30</v>
          </cell>
        </row>
        <row r="1600">
          <cell r="B1600" t="str">
            <v>F-2026-03-19</v>
          </cell>
          <cell r="C1600" t="str">
            <v>BDB-000011</v>
          </cell>
          <cell r="D1600" t="str">
            <v>PVN-000127</v>
          </cell>
          <cell r="E1600" t="str">
            <v>OrthoLite Regular AIR BLUE/16-4134TPX Flat Sheet 0.13D 35+/-4 Asker C 1.1M 2M 5mm</v>
          </cell>
          <cell r="F1600">
            <v>3</v>
          </cell>
        </row>
        <row r="1601">
          <cell r="B1601" t="str">
            <v>F-2026-02-118</v>
          </cell>
          <cell r="C1601" t="str">
            <v>BDB-000154</v>
          </cell>
          <cell r="D1601" t="str">
            <v>PVN-003347</v>
          </cell>
          <cell r="E1601" t="str">
            <v>OrthoLite X-40-Nike TRUE BLUE/19-4057TPX Flat Sheet 0.16D 35+/-4 Asker C 1.1M 1.7M 4mm</v>
          </cell>
          <cell r="F1601">
            <v>58</v>
          </cell>
        </row>
        <row r="1602">
          <cell r="B1602" t="str">
            <v>F-2026-02-119</v>
          </cell>
          <cell r="C1602" t="str">
            <v>BDB-000154</v>
          </cell>
          <cell r="D1602" t="str">
            <v>PVN-003347</v>
          </cell>
          <cell r="E1602" t="str">
            <v>OrthoLite X-40-Nike TRUE BLUE/19-4057TPX Flat Sheet 0.16D 35+/-4 Asker C 1.1M 1.7M 4mm</v>
          </cell>
          <cell r="F1602">
            <v>38</v>
          </cell>
        </row>
        <row r="1603">
          <cell r="B1603" t="str">
            <v>F-2026-03-33</v>
          </cell>
          <cell r="C1603" t="str">
            <v>BDB-000055</v>
          </cell>
          <cell r="D1603" t="str">
            <v>PVN-003326</v>
          </cell>
          <cell r="E1603" t="str">
            <v>OrthoLite X-40 TRUE BLUE/19-4057TPX Flat Sheet 0.16D 35+/-4 Asker C 1.1M 1.7M 14mm</v>
          </cell>
          <cell r="F1603">
            <v>20</v>
          </cell>
        </row>
        <row r="1604">
          <cell r="B1604" t="str">
            <v>F-2026-02-153</v>
          </cell>
          <cell r="C1604" t="str">
            <v>BDB-000055</v>
          </cell>
          <cell r="D1604" t="str">
            <v>PVN-004155</v>
          </cell>
          <cell r="E1604" t="str">
            <v>OrthoLite X-40 TRUE BLUE/19-4057TPX Flat Sheet 0.16D 35+/-4 Asker C 1.1M 1.7M 3.2mm</v>
          </cell>
          <cell r="F1604">
            <v>7</v>
          </cell>
        </row>
        <row r="1605">
          <cell r="B1605" t="str">
            <v>F-2026-02-353</v>
          </cell>
          <cell r="C1605" t="str">
            <v>BDB-000055</v>
          </cell>
          <cell r="D1605" t="str">
            <v>PVN-003326</v>
          </cell>
          <cell r="E1605" t="str">
            <v>OrthoLite X-40 TRUE BLUE/19-4057TPX Flat Sheet 0.16D 35+/-4 Asker C 1.1M 1.7M 14mm</v>
          </cell>
          <cell r="F1605">
            <v>1</v>
          </cell>
        </row>
        <row r="1606">
          <cell r="B1606" t="str">
            <v>F-2026-02-268</v>
          </cell>
          <cell r="C1606" t="str">
            <v>BDB-000125</v>
          </cell>
          <cell r="D1606" t="str">
            <v>PVN-002413</v>
          </cell>
          <cell r="E1606" t="str">
            <v>OrthoLite Regular-Nike AIR BLUE/16-4134TPX Flat Sheet 0.11D 25+/-4 Asker C 1.1M 2M 4.2mm</v>
          </cell>
          <cell r="F1606">
            <v>47</v>
          </cell>
        </row>
        <row r="1607">
          <cell r="B1607" t="str">
            <v>F-2026-02-267</v>
          </cell>
          <cell r="C1607" t="str">
            <v>BDB-000125</v>
          </cell>
          <cell r="D1607" t="str">
            <v>PVN-002413</v>
          </cell>
          <cell r="E1607" t="str">
            <v>OrthoLite Regular-Nike AIR BLUE/16-4134TPX Flat Sheet 0.11D 25+/-4 Asker C 1.1M 2M 4.2mm</v>
          </cell>
          <cell r="F1607">
            <v>76</v>
          </cell>
        </row>
        <row r="1608">
          <cell r="B1608" t="str">
            <v>F-2026-01-234</v>
          </cell>
          <cell r="C1608" t="str">
            <v>BDB-000217</v>
          </cell>
          <cell r="D1608" t="str">
            <v>PVN-003539</v>
          </cell>
          <cell r="E1608" t="str">
            <v>OrthoLite X-40-Hybrid SEEDPEARL/12-0703TPX Hybrid Flat Sheet 0.16D 35+/-4 Asker C 1.1M 1.7M 6.2mm</v>
          </cell>
          <cell r="F1608">
            <v>43</v>
          </cell>
        </row>
        <row r="1609">
          <cell r="B1609" t="str">
            <v>F-2026-02-144</v>
          </cell>
          <cell r="C1609" t="str">
            <v>BDB-000033</v>
          </cell>
          <cell r="D1609" t="str">
            <v>PVN-001471</v>
          </cell>
          <cell r="E1609" t="str">
            <v>OrthoLite Regular SEEDPEARL/12-0703TPX 0.13D 35+/-4 Asker C 1.1M 2M 4mm</v>
          </cell>
          <cell r="F1609">
            <v>1</v>
          </cell>
        </row>
        <row r="1610">
          <cell r="B1610" t="str">
            <v>S-2026-03-22</v>
          </cell>
          <cell r="C1610" t="str">
            <v>BDB-000221</v>
          </cell>
          <cell r="D1610" t="str">
            <v>PVN-004053</v>
          </cell>
          <cell r="E1610" t="str">
            <v>OrthoLite X-40-Hybrid-Nike SEEDPEARL/12-0703TPX Hybrid Flat Sheet 0.16D 25+/-4 Asker C 1.1M 1.7M 6mm</v>
          </cell>
          <cell r="F1610">
            <v>2</v>
          </cell>
        </row>
        <row r="1611">
          <cell r="B1611" t="str">
            <v>S-2026-03-17</v>
          </cell>
          <cell r="C1611" t="str">
            <v>BDB-000157</v>
          </cell>
          <cell r="D1611" t="str">
            <v>PVN-003573</v>
          </cell>
          <cell r="E1611" t="str">
            <v>OrthoLite X-35-Hybrid-Nike SEEDPEARL/12-0703TPX Hybrid Flat Sheet 0.145D 25+/-4 Asker C 1.1M 2M 4.2mm</v>
          </cell>
          <cell r="F1611">
            <v>2</v>
          </cell>
        </row>
        <row r="1612">
          <cell r="B1612" t="str">
            <v>F-2026-02-40</v>
          </cell>
          <cell r="C1612" t="str">
            <v>BDB-000336</v>
          </cell>
          <cell r="D1612" t="str">
            <v>PVN-004168</v>
          </cell>
          <cell r="E1612" t="str">
            <v>OrthoLite X-40-Nike SEEDPEARL/12-0703TPX Flat Sheet 0.16D 35+/-4 Asker C 1.1M 2M 4.5mm</v>
          </cell>
          <cell r="F1612">
            <v>6</v>
          </cell>
        </row>
        <row r="1613">
          <cell r="B1613" t="str">
            <v>F-2026-02-92</v>
          </cell>
          <cell r="C1613" t="str">
            <v>BDB-000336</v>
          </cell>
          <cell r="D1613" t="str">
            <v>PVN-004168</v>
          </cell>
          <cell r="E1613" t="str">
            <v>OrthoLite X-40-Nike SEEDPEARL/12-0703TPX Flat Sheet 0.16D 35+/-4 Asker C 1.1M 2M 4.5mm</v>
          </cell>
          <cell r="F1613">
            <v>2</v>
          </cell>
        </row>
        <row r="1614">
          <cell r="B1614" t="str">
            <v>F-2026-02-53</v>
          </cell>
          <cell r="C1614" t="str">
            <v>BDB-000309</v>
          </cell>
          <cell r="D1614" t="str">
            <v>PVN-004033</v>
          </cell>
          <cell r="E1614" t="str">
            <v>OrthoLite X-40-Hybrid NEUTRAL GRAY/17-4402TPX Hybrid Flat Sheet 0.16D 35+/-4 Asker C 1.1M 2M 2mm</v>
          </cell>
          <cell r="F1614">
            <v>10</v>
          </cell>
        </row>
        <row r="1615">
          <cell r="B1615" t="str">
            <v>F-2026-02-128</v>
          </cell>
          <cell r="C1615" t="str">
            <v>BDB-000319</v>
          </cell>
          <cell r="D1615" t="str">
            <v>PVN-004081</v>
          </cell>
          <cell r="E1615" t="str">
            <v>OrthoLite X-40-Hybrid-Nike SEEDPEARL/12-0703TPX Hybrid Flat Sheet 0.16D 25+/-4 Asker C 1.1M 2M 6mm</v>
          </cell>
          <cell r="F1615">
            <v>2</v>
          </cell>
        </row>
        <row r="1616">
          <cell r="B1616" t="str">
            <v>F-2026-01-508</v>
          </cell>
          <cell r="C1616" t="str">
            <v>BDB-000113</v>
          </cell>
          <cell r="D1616" t="str">
            <v>PVN-003414</v>
          </cell>
          <cell r="E1616" t="str">
            <v>OrthoLite Regular-Hybrid SEEDPEARL/12-0703TPX Hybrid Flat Sheet 0.11D 25+/-4 Asker C 1.1M 2M 12mm</v>
          </cell>
          <cell r="F1616">
            <v>18</v>
          </cell>
        </row>
        <row r="1617">
          <cell r="B1617" t="str">
            <v>F-2026-01-383</v>
          </cell>
          <cell r="C1617" t="str">
            <v>BDB-000129</v>
          </cell>
          <cell r="D1617" t="str">
            <v>PVN-001550</v>
          </cell>
          <cell r="E1617" t="str">
            <v>OrthoLite Regular-Nike AIR BLUE/16-4134TPX 0.11D 25+/-4 Asker C 1.1M 1.7M 2mm</v>
          </cell>
          <cell r="F1617">
            <v>21</v>
          </cell>
        </row>
        <row r="1618">
          <cell r="B1618" t="str">
            <v>F-2026-02-44</v>
          </cell>
          <cell r="C1618" t="str">
            <v>BDB-000332</v>
          </cell>
          <cell r="D1618" t="str">
            <v>PVN-004146</v>
          </cell>
          <cell r="E1618" t="str">
            <v>OrthoLite X-25 CASTLEROCK/18-0201TPX Flat Sheet 0.12D 20+/-4 Asker C 1.1M 2M 5.5mm</v>
          </cell>
          <cell r="F1618">
            <v>8</v>
          </cell>
        </row>
        <row r="1619">
          <cell r="B1619" t="str">
            <v>F-2026-02-52</v>
          </cell>
          <cell r="C1619" t="str">
            <v>BDB-000248</v>
          </cell>
          <cell r="D1619" t="str">
            <v>PVN-003931</v>
          </cell>
          <cell r="E1619" t="str">
            <v>OrthoLite X-40-Hybrid RED/19-1764TPX Hybrid Flat Sheet 0.16D 25+/-4 Asker C 1.1M 1.7M 6.5mm</v>
          </cell>
          <cell r="F1619">
            <v>4</v>
          </cell>
        </row>
        <row r="1620">
          <cell r="B1620" t="str">
            <v>F-2026-02-87</v>
          </cell>
          <cell r="C1620" t="str">
            <v>BDB-000229</v>
          </cell>
          <cell r="D1620" t="str">
            <v>PVN-003878</v>
          </cell>
          <cell r="E1620" t="str">
            <v>OrthoLite Ultra-Hybrid SEEDPEARL/12-0703TPX Hybrid Flat Sheet 0.095D 33+/-4 Asker C 1.1M 2M 4mm</v>
          </cell>
          <cell r="F1620">
            <v>4</v>
          </cell>
        </row>
        <row r="1621">
          <cell r="B1621" t="str">
            <v>F-2026-02-95</v>
          </cell>
          <cell r="C1621" t="str">
            <v>BDB-000229</v>
          </cell>
          <cell r="D1621" t="str">
            <v>PVN-003692</v>
          </cell>
          <cell r="E1621" t="str">
            <v>OrthoLite Ultra-Hybrid SEEDPEARL/12-0703TPX Hybrid Flat Sheet 0.095D 33+/-4 Asker C 1.1M 2M 15.5mm</v>
          </cell>
          <cell r="F1621">
            <v>6</v>
          </cell>
        </row>
        <row r="1622">
          <cell r="B1622" t="str">
            <v>F-2026-02-205</v>
          </cell>
          <cell r="C1622" t="str">
            <v>BDB-000180</v>
          </cell>
          <cell r="D1622" t="str">
            <v>PVN-003236</v>
          </cell>
          <cell r="E1622" t="str">
            <v>OrthoLite Eco LT-Hybrid-Converse SEEDPEARL/12-0703TPX Hybrid 0.13D 25+/-4 Asker C 1.1M 2M 5mm</v>
          </cell>
          <cell r="F1622">
            <v>11</v>
          </cell>
        </row>
        <row r="1623">
          <cell r="B1623" t="str">
            <v>F-2026-02-136</v>
          </cell>
          <cell r="C1623" t="str">
            <v>BDB-000340</v>
          </cell>
          <cell r="D1623" t="str">
            <v>PVN-004177</v>
          </cell>
          <cell r="E1623" t="str">
            <v>OrthoLite Float SEEDPEARL/12-0703TPX Flat Sheet 0.12D 21+/-4 Asker C 1.1M 2M 5.5mm</v>
          </cell>
          <cell r="F1623">
            <v>4</v>
          </cell>
        </row>
        <row r="1624">
          <cell r="B1624" t="str">
            <v>F-2026-02-127</v>
          </cell>
          <cell r="C1624" t="str">
            <v>BDB-000209</v>
          </cell>
          <cell r="D1624" t="str">
            <v>PVN-003537</v>
          </cell>
          <cell r="E1624" t="str">
            <v>OrthoLite HybridPlus-Recycled MINT GREEN/11-4805TPX Hybrid Flat Sheet 0.12D 25+/-4 Asker C 1.1M 2M 4.5mm</v>
          </cell>
          <cell r="F1624">
            <v>47</v>
          </cell>
        </row>
        <row r="1625">
          <cell r="B1625" t="str">
            <v>F-2026-01-330</v>
          </cell>
          <cell r="C1625" t="str">
            <v>BDB-000123</v>
          </cell>
          <cell r="D1625" t="str">
            <v>PVN-003298</v>
          </cell>
          <cell r="E1625" t="str">
            <v>OrthoLite Ultra-Hybrid SEEDPEARL/12-0703TPX Hybrid 0.085D 25+/-4 Asker C 1.1M 2M 4mm</v>
          </cell>
          <cell r="F1625">
            <v>19</v>
          </cell>
        </row>
        <row r="1626">
          <cell r="B1626" t="str">
            <v>F-2026-02-201</v>
          </cell>
          <cell r="C1626" t="str">
            <v>BDB-000180</v>
          </cell>
          <cell r="D1626" t="str">
            <v>PVN-003236</v>
          </cell>
          <cell r="E1626" t="str">
            <v>OrthoLite Eco LT-Hybrid-Converse SEEDPEARL/12-0703TPX Hybrid 0.13D 25+/-4 Asker C 1.1M 2M 5mm</v>
          </cell>
          <cell r="F1626">
            <v>4</v>
          </cell>
        </row>
        <row r="1627">
          <cell r="B1627" t="str">
            <v>F-2026-02-201</v>
          </cell>
          <cell r="C1627" t="str">
            <v>BDB-000180</v>
          </cell>
          <cell r="D1627" t="str">
            <v>PVN-003236</v>
          </cell>
          <cell r="E1627" t="str">
            <v>OrthoLite Eco LT-Hybrid-Converse SEEDPEARL/12-0703TPX Hybrid 0.13D 25+/-4 Asker C 1.1M 2M 5mm</v>
          </cell>
          <cell r="F1627">
            <v>9</v>
          </cell>
        </row>
        <row r="1628">
          <cell r="B1628" t="str">
            <v>F-2026-02-158</v>
          </cell>
          <cell r="C1628" t="str">
            <v>BDB-000076</v>
          </cell>
          <cell r="D1628" t="str">
            <v>PVN-003745</v>
          </cell>
          <cell r="E1628" t="str">
            <v>OrthoLite X-25 BILLIARD/16-5427TPX Flat Sheet 0.12D 20+/-4 Asker C 1.1M 2M 16mm</v>
          </cell>
          <cell r="F1628">
            <v>28</v>
          </cell>
        </row>
        <row r="1629">
          <cell r="B1629" t="str">
            <v>F-2026-02-243</v>
          </cell>
          <cell r="C1629" t="str">
            <v>BDB-000076</v>
          </cell>
          <cell r="D1629" t="str">
            <v>PVN-003448</v>
          </cell>
          <cell r="E1629" t="str">
            <v>OrthoLite X-25 BILLIARD/16-5427TPX 0.12D 20+/-4 Asker C 1.1M 2M 6.2mm</v>
          </cell>
          <cell r="F1629">
            <v>23</v>
          </cell>
        </row>
        <row r="1630">
          <cell r="B1630" t="str">
            <v>F-2026-02-137</v>
          </cell>
          <cell r="C1630" t="str">
            <v>BDB-000076</v>
          </cell>
          <cell r="D1630" t="str">
            <v>PVN-004091</v>
          </cell>
          <cell r="E1630" t="str">
            <v>OrthoLite X-25 BILLIARD/16-5427TPX Flat Sheet 0.12D 20+/-4 Asker C 1.1M 2M 3.5mm</v>
          </cell>
          <cell r="F1630">
            <v>10</v>
          </cell>
        </row>
        <row r="1631">
          <cell r="B1631" t="str">
            <v>F-2026-02-270</v>
          </cell>
          <cell r="C1631" t="str">
            <v>BDB-000076</v>
          </cell>
          <cell r="D1631" t="str">
            <v>PVN-004119</v>
          </cell>
          <cell r="E1631" t="str">
            <v>OrthoLite X-25 BILLIARD/16-5427TPX Flat Sheet 0.12D 20+/-4 Asker C 1.1M 2M 6.5mm</v>
          </cell>
          <cell r="F1631">
            <v>5</v>
          </cell>
        </row>
        <row r="1632">
          <cell r="B1632" t="str">
            <v>S-2026-03-20</v>
          </cell>
          <cell r="C1632" t="str">
            <v>BDB-000125</v>
          </cell>
          <cell r="D1632" t="str">
            <v>PVN-002413</v>
          </cell>
          <cell r="E1632" t="str">
            <v>OrthoLite Regular-Nike AIR BLUE/16-4134TPX Flat Sheet 0.11D 25+/-4 Asker C 1.1M 2M 4.2mm</v>
          </cell>
          <cell r="F1632">
            <v>2</v>
          </cell>
        </row>
        <row r="1633">
          <cell r="B1633" t="str">
            <v>S-2026-02-38</v>
          </cell>
          <cell r="C1633" t="str">
            <v>BDB-000372</v>
          </cell>
          <cell r="D1633" t="str">
            <v>PVN-004311</v>
          </cell>
          <cell r="E1633" t="str">
            <v>OrthoLite Float CASTLEROCK/18-0201TPX Flat Sheet 0.12D 21+/-4 Asker C 1.1M 2M 5.5mm</v>
          </cell>
          <cell r="F1633">
            <v>1</v>
          </cell>
        </row>
        <row r="1634">
          <cell r="B1634" t="str">
            <v>S-2026-03-43</v>
          </cell>
          <cell r="C1634" t="str">
            <v>BDB-000010</v>
          </cell>
          <cell r="D1634" t="str">
            <v>PVN-000099</v>
          </cell>
          <cell r="E1634" t="str">
            <v>OrthoLite Regular AIR BLUE/16-4134TPX Flat Sheet 0.11D 25+/-4 Asker C 1.1M 2M 2mm</v>
          </cell>
          <cell r="F1634">
            <v>2</v>
          </cell>
        </row>
        <row r="1635">
          <cell r="B1635" t="str">
            <v>S-2026-03-42</v>
          </cell>
          <cell r="C1635" t="str">
            <v>BDB-000355</v>
          </cell>
          <cell r="D1635" t="str">
            <v>PVN-004320</v>
          </cell>
          <cell r="E1635" t="str">
            <v>OrthoLite HybridPlus-Recycled CASTLEROCK/18-0201TPX Hybrid Flat Sheet 0.12D 25+/-4 Asker C 1.1M 2M 5.5mm</v>
          </cell>
          <cell r="F1635">
            <v>2</v>
          </cell>
        </row>
        <row r="1636">
          <cell r="B1636" t="str">
            <v>S-2026-03-35</v>
          </cell>
          <cell r="C1636" t="str">
            <v>BDB-000056</v>
          </cell>
          <cell r="D1636" t="str">
            <v>PVN-003954</v>
          </cell>
          <cell r="E1636" t="str">
            <v>OrthoLite X-40 SEEDPEARL/12-0703TPX Flat Sheet 0.16D 25+/-4 Asker C 1.1M 1.7M 4mm</v>
          </cell>
          <cell r="F1636">
            <v>2</v>
          </cell>
        </row>
        <row r="1637">
          <cell r="B1637" t="str">
            <v>F-2026-03-86</v>
          </cell>
          <cell r="C1637" t="str">
            <v>BDB-000076</v>
          </cell>
          <cell r="D1637" t="str">
            <v>PVN-003740</v>
          </cell>
          <cell r="E1637" t="str">
            <v>OrthoLite X-25 BILLIARD/16-5427TPX Flat Sheet 0.12D 20+/-4 Asker C 1.1M 2M 10.5mm</v>
          </cell>
          <cell r="F1637">
            <v>1</v>
          </cell>
        </row>
        <row r="1638">
          <cell r="B1638" t="str">
            <v>F-2026-02-352</v>
          </cell>
          <cell r="C1638" t="str">
            <v>BDB-000076</v>
          </cell>
          <cell r="D1638" t="str">
            <v>PVN-003342</v>
          </cell>
          <cell r="E1638" t="str">
            <v>OrthoLite X-25 BILLIARD/16-5427TPX Flat Sheet 0.12D 20+/-4 Asker C 1.1M 2M 4.5mm</v>
          </cell>
          <cell r="F1638">
            <v>15</v>
          </cell>
        </row>
        <row r="1639">
          <cell r="B1639" t="str">
            <v>F-2026-02-340</v>
          </cell>
          <cell r="C1639" t="str">
            <v>BDB-000123</v>
          </cell>
          <cell r="D1639" t="str">
            <v>PVN-002884</v>
          </cell>
          <cell r="E1639" t="str">
            <v>OrthoLite Ultra-Hybrid SEEDPEARL/12-0703TPX Hybrid Flat Sheet 0.085D 25+/-4 Asker C 1.1M 2M 10mm</v>
          </cell>
          <cell r="F1639">
            <v>18</v>
          </cell>
        </row>
        <row r="1640">
          <cell r="B1640" t="str">
            <v>F-2026-02-167</v>
          </cell>
          <cell r="C1640" t="str">
            <v>BDB-000301</v>
          </cell>
          <cell r="D1640" t="str">
            <v>PVN-004088</v>
          </cell>
          <cell r="E1640" t="str">
            <v>OrthoLite Regular NEUTRAL GRAY/17-4402TPX Flat Sheet 0.13D 35+/-4 Asker C 1.1M 2M 4.5mm</v>
          </cell>
          <cell r="F1640">
            <v>2</v>
          </cell>
        </row>
        <row r="1641">
          <cell r="B1641" t="str">
            <v>F-2026-03-22</v>
          </cell>
          <cell r="C1641" t="str">
            <v>BDB-000084</v>
          </cell>
          <cell r="D1641" t="str">
            <v>PVN-001111</v>
          </cell>
          <cell r="E1641" t="str">
            <v>OrthoLite Eco LT YELLOW/13-0858TPX 0.11D 25+/-4 Asker C 1.1M 2M 4mm</v>
          </cell>
          <cell r="F1641">
            <v>1</v>
          </cell>
        </row>
        <row r="1642">
          <cell r="B1642" t="str">
            <v>F-2026-02-78</v>
          </cell>
          <cell r="C1642" t="str">
            <v>BDB-000332</v>
          </cell>
          <cell r="D1642" t="str">
            <v>PVN-004146</v>
          </cell>
          <cell r="E1642" t="str">
            <v>OrthoLite X-25 CASTLEROCK/18-0201TPX Flat Sheet 0.12D 20+/-4 Asker C 1.1M 2M 5.5mm</v>
          </cell>
          <cell r="F1642">
            <v>24</v>
          </cell>
        </row>
        <row r="1643">
          <cell r="B1643" t="str">
            <v>F-2026-02-260</v>
          </cell>
          <cell r="C1643" t="str">
            <v>BDB-000210</v>
          </cell>
          <cell r="D1643" t="str">
            <v>PVN-003453</v>
          </cell>
          <cell r="E1643" t="str">
            <v>OrthoLite Eco LT-Hybrid BLACK/19-4007TPX Hybrid Flat Sheet 0.13D 35+/-4 Asker C 1.1M 2M 3mm</v>
          </cell>
          <cell r="F1643">
            <v>8</v>
          </cell>
        </row>
        <row r="1644">
          <cell r="B1644" t="str">
            <v>F-2026-01-518</v>
          </cell>
          <cell r="C1644" t="str">
            <v>BDB-000234</v>
          </cell>
          <cell r="D1644" t="str">
            <v>PVN-003581</v>
          </cell>
          <cell r="E1644" t="str">
            <v>OrthoLite X-30-Hybrid BROWN SUGAR/17-1134TPX Hybrid Flat Sheet 0.13D 25+/-4 Asker C 1.1M 2M 12mm</v>
          </cell>
          <cell r="F1644">
            <v>87</v>
          </cell>
        </row>
        <row r="1645">
          <cell r="B1645" t="str">
            <v>F-2026-02-257</v>
          </cell>
          <cell r="C1645" t="str">
            <v>BDB-000102</v>
          </cell>
          <cell r="D1645" t="str">
            <v>PVN-003629</v>
          </cell>
          <cell r="E1645" t="str">
            <v>OrthoLite Eco LT-Hybrid LIME GREEN/14-0452TPX Hybrid 0.13D 35+/-4 Asker C 1.1M 2M 2.5mm</v>
          </cell>
          <cell r="F1645">
            <v>4</v>
          </cell>
        </row>
        <row r="1646">
          <cell r="B1646" t="str">
            <v>F-2026-02-99</v>
          </cell>
          <cell r="C1646" t="str">
            <v>BDB-000355</v>
          </cell>
          <cell r="D1646" t="str">
            <v>PVN-004231</v>
          </cell>
          <cell r="E1646" t="str">
            <v>OrthoLite HybridPlus-Recycled CASTLEROCK/18-0201TPX Hybrid Flat Sheet 0.12D 25+/-4 Asker C 1.1M 2M 4.5mm</v>
          </cell>
          <cell r="F1646">
            <v>4</v>
          </cell>
        </row>
        <row r="1647">
          <cell r="B1647" t="str">
            <v>F-2026-02-264</v>
          </cell>
          <cell r="C1647" t="str">
            <v>BDB-000220</v>
          </cell>
          <cell r="D1647" t="str">
            <v>PVN-003656</v>
          </cell>
          <cell r="E1647" t="str">
            <v>OrthoLite X-25 BILLIARD/16-5427TPX Flat Sheet 0.12D 20+/-4 Asker C 1.1M 1.47M 3mm</v>
          </cell>
          <cell r="F1647">
            <v>2</v>
          </cell>
        </row>
        <row r="1648">
          <cell r="B1648" t="str">
            <v>F-2026-02-117</v>
          </cell>
          <cell r="C1648" t="str">
            <v>BDB-000084</v>
          </cell>
          <cell r="D1648" t="str">
            <v>PVN-001111</v>
          </cell>
          <cell r="E1648" t="str">
            <v>OrthoLite Eco LT YELLOW/13-0858TPX 0.11D 25+/-4 Asker C 1.1M 2M 4mm</v>
          </cell>
          <cell r="F1648">
            <v>3</v>
          </cell>
        </row>
        <row r="1649">
          <cell r="B1649" t="str">
            <v>F-2026-02-62</v>
          </cell>
          <cell r="C1649" t="str">
            <v>BDB-000209</v>
          </cell>
          <cell r="D1649" t="str">
            <v>PVN-003537</v>
          </cell>
          <cell r="E1649" t="str">
            <v>OrthoLite HybridPlus-Recycled MINT GREEN/11-4805TPX Hybrid Flat Sheet 0.12D 25+/-4 Asker C 1.1M 2M 4.5mm</v>
          </cell>
          <cell r="F1649">
            <v>46</v>
          </cell>
        </row>
        <row r="1650">
          <cell r="B1650" t="str">
            <v>F-2026-03-37</v>
          </cell>
          <cell r="C1650" t="str">
            <v>BDB-000234</v>
          </cell>
          <cell r="D1650" t="str">
            <v>PVN-003575</v>
          </cell>
          <cell r="E1650" t="str">
            <v>OrthoLite X-30-Hybrid BROWN SUGAR/17-1134TPX Hybrid Flat Sheet 0.13D 25+/-4 Asker C 1.1M 2M 10mm</v>
          </cell>
          <cell r="F1650">
            <v>2</v>
          </cell>
        </row>
        <row r="1651">
          <cell r="B1651" t="str">
            <v>F-2026-01-519</v>
          </cell>
          <cell r="C1651" t="str">
            <v>BDB-000234</v>
          </cell>
          <cell r="D1651" t="str">
            <v>PVN-003581</v>
          </cell>
          <cell r="E1651" t="str">
            <v>OrthoLite X-30-Hybrid BROWN SUGAR/17-1134TPX Hybrid Flat Sheet 0.13D 25+/-4 Asker C 1.1M 2M 12mm</v>
          </cell>
          <cell r="F1651">
            <v>49</v>
          </cell>
        </row>
        <row r="1652">
          <cell r="B1652" t="str">
            <v>F-2026-03-59</v>
          </cell>
          <cell r="C1652" t="str">
            <v>BDB-000105</v>
          </cell>
          <cell r="D1652" t="str">
            <v>PVN-003127</v>
          </cell>
          <cell r="E1652" t="str">
            <v>OrthoLite Eco LT-Hybrid AIR BLUE/16-4134TPX Hybrid Flat Sheet 0.13D 35+/-4 Asker C 1.1M 2M 3mm</v>
          </cell>
          <cell r="F1652">
            <v>1</v>
          </cell>
        </row>
        <row r="1653">
          <cell r="B1653" t="str">
            <v>F-2026-02-368</v>
          </cell>
          <cell r="C1653" t="str">
            <v>BDB-000340</v>
          </cell>
          <cell r="D1653" t="str">
            <v>PVN-004177</v>
          </cell>
          <cell r="E1653" t="str">
            <v>OrthoLite Float SEEDPEARL/12-0703TPX Flat Sheet 0.12D 21+/-4 Asker C 1.1M 2M 5.5mm</v>
          </cell>
          <cell r="F1653">
            <v>1</v>
          </cell>
        </row>
        <row r="1654">
          <cell r="B1654" t="str">
            <v>F-2026-03-40</v>
          </cell>
          <cell r="C1654" t="str">
            <v>BDB-000055</v>
          </cell>
          <cell r="D1654" t="str">
            <v>PVN-003387</v>
          </cell>
          <cell r="E1654" t="str">
            <v>OrthoLite X-40 TRUE BLUE/19-4057TPX Flat Sheet 0.16D 35+/-4 Asker C 1.1M 1.7M 13.5mm</v>
          </cell>
          <cell r="F1654">
            <v>6</v>
          </cell>
        </row>
        <row r="1655">
          <cell r="B1655" t="str">
            <v>F-2026-02-271</v>
          </cell>
          <cell r="C1655" t="str">
            <v>BDB-000175</v>
          </cell>
          <cell r="D1655" t="str">
            <v>PVN-003018</v>
          </cell>
          <cell r="E1655" t="str">
            <v>OrthoLite Ultra-Hybrid-Nike SEEDPEARL/12-0703TPX Hybrid Flat Sheet 0.085D 25+/-4 Asker C 1.1M 2M 2mm</v>
          </cell>
          <cell r="F1655">
            <v>2</v>
          </cell>
        </row>
        <row r="1656">
          <cell r="B1656" t="str">
            <v>F-2026-03-44</v>
          </cell>
          <cell r="C1656" t="str">
            <v>BDB-000175</v>
          </cell>
          <cell r="D1656" t="str">
            <v>PVN-003018</v>
          </cell>
          <cell r="E1656" t="str">
            <v>OrthoLite Ultra-Hybrid-Nike SEEDPEARL/12-0703TPX Hybrid Flat Sheet 0.085D 25+/-4 Asker C 1.1M 2M 2mm</v>
          </cell>
          <cell r="F1656">
            <v>3</v>
          </cell>
        </row>
        <row r="1657">
          <cell r="B1657" t="str">
            <v>F-2026-02-347</v>
          </cell>
          <cell r="C1657" t="str">
            <v>BDB-000175</v>
          </cell>
          <cell r="D1657" t="str">
            <v>PVN-003018</v>
          </cell>
          <cell r="E1657" t="str">
            <v>OrthoLite Ultra-Hybrid-Nike SEEDPEARL/12-0703TPX Hybrid Flat Sheet 0.085D 25+/-4 Asker C 1.1M 2M 2mm</v>
          </cell>
          <cell r="F1657">
            <v>2</v>
          </cell>
        </row>
        <row r="1658">
          <cell r="B1658" t="str">
            <v>F-2026-03-83</v>
          </cell>
          <cell r="C1658" t="str">
            <v>BDB-000175</v>
          </cell>
          <cell r="D1658" t="str">
            <v>PVN-003018</v>
          </cell>
          <cell r="E1658" t="str">
            <v>OrthoLite Ultra-Hybrid-Nike SEEDPEARL/12-0703TPX Hybrid Flat Sheet 0.085D 25+/-4 Asker C 1.1M 2M 2mm</v>
          </cell>
          <cell r="F1658">
            <v>2</v>
          </cell>
        </row>
        <row r="1659">
          <cell r="B1659" t="str">
            <v>F-2026-01-418</v>
          </cell>
          <cell r="C1659" t="str">
            <v>BDB-000175</v>
          </cell>
          <cell r="D1659" t="str">
            <v>PVN-002875</v>
          </cell>
          <cell r="E1659" t="str">
            <v>OrthoLite Ultra-Hybrid-Nike SEEDPEARL/12-0703TPX Hybrid 0.085D 25+/-4 Asker C 1.1M 2M 3mm</v>
          </cell>
          <cell r="F1659">
            <v>22</v>
          </cell>
        </row>
        <row r="1660">
          <cell r="B1660" t="str">
            <v>F-2026-03-13</v>
          </cell>
          <cell r="C1660" t="str">
            <v>BDB-000076</v>
          </cell>
          <cell r="D1660" t="str">
            <v>PVN-004091</v>
          </cell>
          <cell r="E1660" t="str">
            <v>OrthoLite X-25 BILLIARD/16-5427TPX Flat Sheet 0.12D 20+/-4 Asker C 1.1M 2M 3.5mm</v>
          </cell>
          <cell r="F1660">
            <v>1</v>
          </cell>
        </row>
        <row r="1661">
          <cell r="B1661" t="str">
            <v>F-2026-03-26</v>
          </cell>
          <cell r="C1661" t="str">
            <v>BDB-000077</v>
          </cell>
          <cell r="D1661" t="str">
            <v>PVN-003478</v>
          </cell>
          <cell r="E1661" t="str">
            <v>Ortholite X-25 SEEDPEARL/12-0703TPX Flat Sheet 0.12D 20+/-4 Asker C 1.1M 2M 4mm</v>
          </cell>
          <cell r="F1661">
            <v>19</v>
          </cell>
        </row>
        <row r="1662">
          <cell r="B1662" t="str">
            <v>F-2026-03-01</v>
          </cell>
          <cell r="C1662" t="str">
            <v>BDB-000077</v>
          </cell>
          <cell r="D1662" t="str">
            <v>PVN-003513</v>
          </cell>
          <cell r="E1662" t="str">
            <v>OrthoLite X-25 SEEDPEARL/12-0703TPX Flat Sheet 0.12D 20+/-4 Asker C 1.1M 2M 2mm</v>
          </cell>
          <cell r="F1662">
            <v>2</v>
          </cell>
        </row>
        <row r="1663">
          <cell r="B1663" t="str">
            <v>F-2026-02-268</v>
          </cell>
          <cell r="C1663" t="str">
            <v>BDB-000125</v>
          </cell>
          <cell r="D1663" t="str">
            <v>PVN-002413</v>
          </cell>
          <cell r="E1663" t="str">
            <v>OrthoLite Regular-Nike AIR BLUE/16-4134TPX Flat Sheet 0.11D 25+/-4 Asker C 1.1M 2M 4.2mm</v>
          </cell>
          <cell r="F1663">
            <v>29</v>
          </cell>
        </row>
        <row r="1664">
          <cell r="B1664" t="str">
            <v>F-2026-01-514</v>
          </cell>
          <cell r="C1664" t="str">
            <v>BDB-000235</v>
          </cell>
          <cell r="D1664" t="str">
            <v>PVN-003576</v>
          </cell>
          <cell r="E1664" t="str">
            <v>OrthoLite X-55-Hybrid FOSSIL/17-0909TPX Hybrid Flat Sheet 0.16D 25+/-4 Asker C 1.1M 1.7M 12mm</v>
          </cell>
          <cell r="F1664">
            <v>227</v>
          </cell>
        </row>
        <row r="1665">
          <cell r="B1665" t="str">
            <v>S-2026-03-36</v>
          </cell>
          <cell r="C1665" t="str">
            <v>BDB-000376</v>
          </cell>
          <cell r="D1665" t="str">
            <v>PVN-004323</v>
          </cell>
          <cell r="E1665" t="str">
            <v>OrthoLite Regular BLACK/19-4007TPX Flat Sheet 0.11D 25+/-4 Asker C 1.1M 2M 13mm</v>
          </cell>
          <cell r="F1665">
            <v>1</v>
          </cell>
        </row>
        <row r="1666">
          <cell r="B1666" t="str">
            <v>BÙ SẢN XUẤT</v>
          </cell>
          <cell r="C1666" t="str">
            <v>BDB-000113</v>
          </cell>
          <cell r="D1666" t="str">
            <v>PVN-002465</v>
          </cell>
          <cell r="E1666" t="str">
            <v>OrthoLite Regular-Hybrid SEEDPEARL/12-0703TPX Hybrid Flat Sheet 0.11D 25+/-4 Asker C 1.1M 2M 12mm</v>
          </cell>
          <cell r="F1666">
            <v>2</v>
          </cell>
        </row>
        <row r="1667">
          <cell r="B1667" t="str">
            <v>F-2026-02-274</v>
          </cell>
          <cell r="C1667" t="str">
            <v>BDB-000145</v>
          </cell>
          <cell r="D1667" t="str">
            <v>PVN-002811</v>
          </cell>
          <cell r="E1667" t="str">
            <v>OrthoLite Regular-Hybrid-Nike YELLOW/13-0858TPX Hybrid Flat Sheet 0.11D 25+/-4 Asker C 1.1M 1.7M 2mm</v>
          </cell>
          <cell r="F1667">
            <v>3</v>
          </cell>
        </row>
        <row r="1668">
          <cell r="B1668" t="str">
            <v>F-2026-01-234</v>
          </cell>
          <cell r="C1668" t="str">
            <v>BDB-000217</v>
          </cell>
          <cell r="D1668" t="str">
            <v>PVN-003539</v>
          </cell>
          <cell r="E1668" t="str">
            <v>OrthoLite X-40-Hybrid SEEDPEARL/12-0703TPX Hybrid Flat Sheet 0.16D 35+/-4 Asker C 1.1M 1.7M 6.2mm</v>
          </cell>
          <cell r="F1668">
            <v>3</v>
          </cell>
        </row>
        <row r="1669">
          <cell r="B1669" t="str">
            <v>F-2026-03-02</v>
          </cell>
          <cell r="C1669" t="str">
            <v>BDB-000117</v>
          </cell>
          <cell r="D1669" t="str">
            <v>PVN-003596</v>
          </cell>
          <cell r="E1669" t="str">
            <v>OrthoLite X-35-Hybrid SEEDPEARL/12-0703TPX Hybrid Flat Sheet 0.145D 25+/-4 Asker C 1.1M 2M 3mm</v>
          </cell>
          <cell r="F1669">
            <v>2</v>
          </cell>
        </row>
        <row r="1670">
          <cell r="B1670" t="str">
            <v>F-2026-03-105</v>
          </cell>
          <cell r="C1670" t="str">
            <v>BDB-000117</v>
          </cell>
          <cell r="D1670" t="str">
            <v>PVN-003234</v>
          </cell>
          <cell r="E1670" t="str">
            <v>OrthoLite X-35-Hybrid SEEDPEARL/12-0703TPX Hybrid Flat Sheet 0.145D 25+/-4 Asker C 1.1M 2M 5.5mm</v>
          </cell>
          <cell r="F1670">
            <v>5</v>
          </cell>
        </row>
        <row r="1671">
          <cell r="B1671" t="str">
            <v>F-2026-02-335</v>
          </cell>
          <cell r="C1671" t="str">
            <v>BDB-000212</v>
          </cell>
          <cell r="D1671" t="str">
            <v>PVN-003530</v>
          </cell>
          <cell r="E1671" t="str">
            <v>OrthoLite X-25-Hybrid SEEDPEARL/12-0703TPX Hybrid Flat Sheet 0.12D 20+/-4 Asker C 1.1M 2M 8.2mm</v>
          </cell>
          <cell r="F1671">
            <v>7</v>
          </cell>
        </row>
        <row r="1672">
          <cell r="B1672" t="str">
            <v>F-2026-02-332</v>
          </cell>
          <cell r="C1672" t="str">
            <v>BDB-000200</v>
          </cell>
          <cell r="D1672" t="str">
            <v>PVN-003420</v>
          </cell>
          <cell r="E1672" t="str">
            <v>OrthoLite Ultra SEEDPEARL/12-0703TPX Flat Sheet 0.085D 78-90 Asker F 1.1M 2M 6mm</v>
          </cell>
          <cell r="F1672">
            <v>10</v>
          </cell>
        </row>
        <row r="1673">
          <cell r="B1673" t="str">
            <v>F-2026-02-349</v>
          </cell>
          <cell r="C1673" t="str">
            <v>BDB-000125</v>
          </cell>
          <cell r="D1673" t="str">
            <v>PVN-001412</v>
          </cell>
          <cell r="E1673" t="str">
            <v>OrthoLite Regular-Nike AIR BLUE/16-4134TPX Flat Sheet 0.11D 25+/-4 Asker C 1.1M 2M 5mm</v>
          </cell>
          <cell r="F1673">
            <v>2</v>
          </cell>
        </row>
        <row r="1674">
          <cell r="B1674" t="str">
            <v>F-2026-02-337</v>
          </cell>
          <cell r="C1674" t="str">
            <v>BDB-000209</v>
          </cell>
          <cell r="D1674" t="str">
            <v>PVN-003462</v>
          </cell>
          <cell r="E1674" t="str">
            <v>OrthoLite HybridPlus-Recycled MINT GREEN/11-4805TPX Hybrid Flat Sheet 0.12D 25+/-4 Asker C 1.1M 2M 12mm</v>
          </cell>
          <cell r="F1674">
            <v>6</v>
          </cell>
        </row>
        <row r="1675">
          <cell r="B1675" t="str">
            <v>F-2026-02-150</v>
          </cell>
          <cell r="C1675" t="str">
            <v>BDB-000209</v>
          </cell>
          <cell r="D1675" t="str">
            <v>PVN-003537</v>
          </cell>
          <cell r="E1675" t="str">
            <v>OrthoLite HybridPlus-Recycled MINT GREEN/11-4805TPX Hybrid Flat Sheet 0.12D 25+/-4 Asker C 1.1M 2M 4.5mm</v>
          </cell>
          <cell r="F1675">
            <v>5</v>
          </cell>
        </row>
        <row r="1676">
          <cell r="B1676" t="str">
            <v>F-2026-03-34</v>
          </cell>
          <cell r="C1676" t="str">
            <v>BDB-000209</v>
          </cell>
          <cell r="D1676" t="str">
            <v>PVN-003461</v>
          </cell>
          <cell r="E1676" t="str">
            <v>OrthoLite HybridPlus-Recycled MINT GREEN/11-4805TPX Hybrid Flat Sheet 0.12D 25+/-4 Asker C 1.1M 2M 11mm</v>
          </cell>
          <cell r="F1676">
            <v>1</v>
          </cell>
        </row>
        <row r="1677">
          <cell r="B1677" t="str">
            <v>F-2026-02-258</v>
          </cell>
          <cell r="C1677" t="str">
            <v>BDB-000058</v>
          </cell>
          <cell r="D1677" t="str">
            <v>PVN-001277</v>
          </cell>
          <cell r="E1677" t="str">
            <v>OrthoLite Ultra GREEN/16-5932TPX Flat Sheet 0.085D 25+/-4 Asker C 1.1M 2M 4mm</v>
          </cell>
          <cell r="F1677">
            <v>12</v>
          </cell>
        </row>
        <row r="1678">
          <cell r="B1678" t="str">
            <v>F-2026-02-261</v>
          </cell>
          <cell r="C1678" t="str">
            <v>BDB-000129</v>
          </cell>
          <cell r="D1678" t="str">
            <v>PVN-001550</v>
          </cell>
          <cell r="E1678" t="str">
            <v>OrthoLite Regular-Nike AIR BLUE/16-4134TPX Flat Sheet 0.11D 25+/-4 Asker C 1.1M 1.7M 2mm</v>
          </cell>
          <cell r="F1678">
            <v>2</v>
          </cell>
        </row>
        <row r="1679">
          <cell r="B1679" t="str">
            <v>F-2026-02-200</v>
          </cell>
          <cell r="C1679" t="str">
            <v>BDB-000180</v>
          </cell>
          <cell r="D1679" t="str">
            <v>PVN-003236</v>
          </cell>
          <cell r="E1679" t="str">
            <v>OrthoLite Eco LT-Hybrid-Converse SEEDPEARL/12-0703TPX Hybrid 0.13D 25+/-4 Asker C 1.1M 2M 5mm</v>
          </cell>
          <cell r="F1679">
            <v>54</v>
          </cell>
        </row>
        <row r="1680">
          <cell r="B1680" t="str">
            <v>F-2026-02-272</v>
          </cell>
          <cell r="C1680" t="str">
            <v>BDB-000157</v>
          </cell>
          <cell r="D1680" t="str">
            <v>PVN-003244</v>
          </cell>
          <cell r="E1680" t="str">
            <v>OrthoLite X-35-Hybrid-Nike SEEDPEARL/12-0703TPX Hybrid Flat Sheet 0.145D 25+/-4 Asker C 1.1M 2M 5.2mm</v>
          </cell>
          <cell r="F1680">
            <v>28</v>
          </cell>
        </row>
        <row r="1681">
          <cell r="B1681" t="str">
            <v>F-2026-03-10</v>
          </cell>
          <cell r="C1681" t="str">
            <v>BDB-000157</v>
          </cell>
          <cell r="D1681" t="str">
            <v>PVN-003642</v>
          </cell>
          <cell r="E1681" t="str">
            <v>OrthoLite X-35-Hybrid-Nike SEEDPEARL/12-0703TPX Hybrid Flat Sheet 0.145D 25+/-4 Asker C 1.1M 2M 6.2mm</v>
          </cell>
          <cell r="F1681">
            <v>1</v>
          </cell>
        </row>
        <row r="1682">
          <cell r="B1682" t="str">
            <v>F-2026-02-343</v>
          </cell>
          <cell r="C1682" t="str">
            <v>BDB-000157</v>
          </cell>
          <cell r="D1682" t="str">
            <v>PVN-003642</v>
          </cell>
          <cell r="E1682" t="str">
            <v>OrthoLite X-35-Hybrid-Nike SEEDPEARL/12-0703TPX Hybrid Flat Sheet 0.145D 25+/-4 Asker C 1.1M 2M 6.2mm</v>
          </cell>
          <cell r="F1682">
            <v>13</v>
          </cell>
        </row>
        <row r="1683">
          <cell r="B1683" t="str">
            <v>F-2026-01-436</v>
          </cell>
          <cell r="C1683" t="str">
            <v>BDB-000157</v>
          </cell>
          <cell r="D1683" t="str">
            <v>PVN-003573</v>
          </cell>
          <cell r="E1683" t="str">
            <v>OrthoLite X-35-Hybrid-Nike SEEDPEARL/12-0703TPX Hybrid 0.145D 25+/-4 Asker C 1.1M 2M 4.2mm</v>
          </cell>
          <cell r="F1683">
            <v>7</v>
          </cell>
        </row>
        <row r="1684">
          <cell r="B1684" t="str">
            <v>F-2026-02-267</v>
          </cell>
          <cell r="C1684" t="str">
            <v>BDB-000125</v>
          </cell>
          <cell r="D1684" t="str">
            <v>PVN-002413</v>
          </cell>
          <cell r="E1684" t="str">
            <v>OrthoLite Regular-Nike AIR BLUE/16-4134TPX Flat Sheet 0.11D 25+/-4 Asker C 1.1M 2M 4.2mm</v>
          </cell>
          <cell r="F1684">
            <v>5</v>
          </cell>
        </row>
        <row r="1685">
          <cell r="B1685" t="str">
            <v>F-2026-02-334</v>
          </cell>
          <cell r="C1685" t="str">
            <v>BDB-000286</v>
          </cell>
          <cell r="D1685" t="str">
            <v>PVN-003924</v>
          </cell>
          <cell r="E1685" t="str">
            <v>OrthoLite Regular-Hybrid SEEDPEARL/12-0703TPX Hybrid Flat Sheet 0.13D 25+/-4 Asker C 1.1M 1.7M 5mm</v>
          </cell>
          <cell r="F1685">
            <v>5</v>
          </cell>
        </row>
        <row r="1686">
          <cell r="B1686" t="str">
            <v>F-2026-02-174</v>
          </cell>
          <cell r="C1686" t="str">
            <v>BDB-000347</v>
          </cell>
          <cell r="D1686" t="str">
            <v>PVN-004193</v>
          </cell>
          <cell r="E1686" t="str">
            <v>OrthoLite X-55-Hybrid SEEDPEARL/12-0703TPX Hybrid Flat Sheet 0.16D 25+/-4 Asker C 1.1M 2M 11mm</v>
          </cell>
          <cell r="F1686">
            <v>17</v>
          </cell>
        </row>
        <row r="1687">
          <cell r="B1687" t="str">
            <v>F-2025-12-526</v>
          </cell>
          <cell r="C1687" t="str">
            <v>BDB-000123</v>
          </cell>
          <cell r="D1687" t="str">
            <v>PVN-003299</v>
          </cell>
          <cell r="E1687" t="str">
            <v>OrthoLite Ultra-Hybrid SEEDPEARL/12-0703TPX Hybrid 0.085D 25+/-4 Asker C 1.1M 2M 3mm</v>
          </cell>
          <cell r="F1687">
            <v>2</v>
          </cell>
        </row>
        <row r="1688">
          <cell r="B1688" t="str">
            <v>F-2026-02-266</v>
          </cell>
          <cell r="C1688" t="str">
            <v>BDB-000125</v>
          </cell>
          <cell r="D1688" t="str">
            <v>PVN-002413</v>
          </cell>
          <cell r="E1688" t="str">
            <v>OrthoLite Regular-Nike AIR BLUE/16-4134TPX Flat Sheet 0.11D 25+/-4 Asker C 1.1M 2M 4.2mm</v>
          </cell>
          <cell r="F1688">
            <v>44</v>
          </cell>
        </row>
        <row r="1689">
          <cell r="B1689" t="str">
            <v>F-2026-01-331</v>
          </cell>
          <cell r="C1689" t="str">
            <v>BDB-000123</v>
          </cell>
          <cell r="D1689" t="str">
            <v>PVN-003298</v>
          </cell>
          <cell r="E1689" t="str">
            <v>OrthoLite Ultra-Hybrid SEEDPEARL/12-0703TPX Hybrid 0.085D 25+/-4 Asker C 1.1M 2M 4mm</v>
          </cell>
          <cell r="F1689">
            <v>200</v>
          </cell>
        </row>
        <row r="1690">
          <cell r="B1690" t="str">
            <v>F-2025-12-526</v>
          </cell>
          <cell r="C1690" t="str">
            <v>BDB-000123</v>
          </cell>
          <cell r="D1690" t="str">
            <v>PVN-003299</v>
          </cell>
          <cell r="E1690" t="str">
            <v>OrthoLite Ultra-Hybrid SEEDPEARL/12-0703TPX Hybrid 0.085D 25+/-4 Asker C 1.1M 2M 3mm</v>
          </cell>
          <cell r="F1690">
            <v>23</v>
          </cell>
        </row>
        <row r="1691">
          <cell r="B1691" t="str">
            <v>F-2026-02-266</v>
          </cell>
          <cell r="C1691" t="str">
            <v>BDB-000125</v>
          </cell>
          <cell r="D1691" t="str">
            <v>PVN-002413</v>
          </cell>
          <cell r="E1691" t="str">
            <v>OrthoLite Regular-Nike AIR BLUE/16-4134TPX Flat Sheet 0.11D 25+/-4 Asker C 1.1M 2M 4.2mm</v>
          </cell>
          <cell r="F1691">
            <v>32</v>
          </cell>
        </row>
        <row r="1692">
          <cell r="B1692" t="str">
            <v>S-2026-02-35</v>
          </cell>
          <cell r="C1692" t="str">
            <v>BDB-000317</v>
          </cell>
          <cell r="D1692" t="str">
            <v>PVN-004303</v>
          </cell>
          <cell r="E1692" t="str">
            <v>OrthoLite Regular NEUTRAL GRAY/17-4402TPX Flat Sheet 0.13D 15+/-4 Asker C 1.1M 2M 17.5mm</v>
          </cell>
          <cell r="F1692">
            <v>2</v>
          </cell>
        </row>
        <row r="1693">
          <cell r="B1693" t="str">
            <v>F-2026-01-519</v>
          </cell>
          <cell r="C1693" t="str">
            <v>BDB-000234</v>
          </cell>
          <cell r="D1693" t="str">
            <v>PVN-003581</v>
          </cell>
          <cell r="E1693" t="str">
            <v>OrthoLite X-30-Hybrid BROWN SUGAR/17-1134TPX Hybrid Flat Sheet 0.13D 25+/-4 Asker C 1.1M 2M 12mm</v>
          </cell>
          <cell r="F1693">
            <v>26</v>
          </cell>
        </row>
        <row r="1694">
          <cell r="B1694" t="str">
            <v>S-2026-02-36</v>
          </cell>
          <cell r="C1694" t="str">
            <v>BDB-000317</v>
          </cell>
          <cell r="D1694" t="str">
            <v>PVN-004293</v>
          </cell>
          <cell r="E1694" t="str">
            <v>OrthoLite Regular NEUTRAL GRAY/17-4402TPX Flat Sheet 0.13D 15+/-4 Asker C 1.1M 2M 22mm</v>
          </cell>
          <cell r="F1694">
            <v>2</v>
          </cell>
        </row>
        <row r="1695">
          <cell r="B1695" t="str">
            <v>F-2026-02-75</v>
          </cell>
          <cell r="C1695" t="str">
            <v>BDB-000273</v>
          </cell>
          <cell r="D1695" t="str">
            <v>PVN-004138</v>
          </cell>
          <cell r="E1695" t="str">
            <v>OrthoLite X-40-Hybrid SEEDPEARL/12-0703TPX Hybrid Flat Sheet 0.16D 25+/-4 Asker C 1.1M 2M 5.5mm</v>
          </cell>
          <cell r="F1695">
            <v>55</v>
          </cell>
        </row>
        <row r="1696">
          <cell r="B1696" t="str">
            <v>F-2026-02-332</v>
          </cell>
          <cell r="C1696" t="str">
            <v>BDB-000200</v>
          </cell>
          <cell r="D1696" t="str">
            <v>PVN-003420</v>
          </cell>
          <cell r="E1696" t="str">
            <v>OrthoLite Ultra SEEDPEARL/12-0703TPX Flat Sheet 0.085D 78-90 Asker F 1.1M 2M 6mm</v>
          </cell>
          <cell r="F1696">
            <v>8</v>
          </cell>
        </row>
        <row r="1697">
          <cell r="B1697" t="str">
            <v>F-2026-03-79</v>
          </cell>
          <cell r="C1697" t="str">
            <v>BDB-000057</v>
          </cell>
          <cell r="D1697" t="str">
            <v>PVN-000825</v>
          </cell>
          <cell r="E1697" t="str">
            <v>OrthoLite Ultra YELLOW/13-0858TPX Flat Sheet 0.085D 25+/-4 Asker C 1.1M 2M 12mm</v>
          </cell>
          <cell r="F1697">
            <v>1</v>
          </cell>
        </row>
        <row r="1698">
          <cell r="B1698" t="str">
            <v>F-2026-03-55</v>
          </cell>
          <cell r="C1698" t="str">
            <v>BDB-000057</v>
          </cell>
          <cell r="D1698" t="str">
            <v>PVN-000925</v>
          </cell>
          <cell r="E1698" t="str">
            <v>OrthoLite Ultra YELLOW/13-0858TPX Flat Sheet 0.085D 25+/-4 Asker C 1.1M 2M 5mm</v>
          </cell>
          <cell r="F1698">
            <v>51</v>
          </cell>
        </row>
        <row r="1699">
          <cell r="B1699" t="str">
            <v>F-2026-01-518</v>
          </cell>
          <cell r="C1699" t="str">
            <v>BDB-000234</v>
          </cell>
          <cell r="D1699" t="str">
            <v>PVN-003581</v>
          </cell>
          <cell r="E1699" t="str">
            <v>OrthoLite X-30-Hybrid BROWN SUGAR/17-1134TPX Hybrid Flat Sheet 0.13D 25+/-4 Asker C 1.1M 2M 12mm</v>
          </cell>
          <cell r="F1699">
            <v>7</v>
          </cell>
        </row>
        <row r="1700">
          <cell r="B1700" t="str">
            <v>F-2026-01-514</v>
          </cell>
          <cell r="C1700" t="str">
            <v>BDB-000235</v>
          </cell>
          <cell r="D1700" t="str">
            <v>PVN-003576</v>
          </cell>
          <cell r="E1700" t="str">
            <v>OrthoLite X-55-Hybrid FOSSIL/17-0909TPX Hybrid Flat Sheet 0.16D 25+/-4 Asker C 1.1M 1.7M 12mm</v>
          </cell>
          <cell r="F1700">
            <v>18</v>
          </cell>
        </row>
        <row r="1701">
          <cell r="B1701" t="str">
            <v>F-2026-01-331</v>
          </cell>
          <cell r="C1701" t="str">
            <v>BDB-000123</v>
          </cell>
          <cell r="D1701" t="str">
            <v>PVN-003298</v>
          </cell>
          <cell r="E1701" t="str">
            <v>OrthoLite Ultra-Hybrid SEEDPEARL/12-0703TPX Hybrid 0.085D 25+/-4 Asker C 1.1M 2M 4mm</v>
          </cell>
          <cell r="F1701">
            <v>18</v>
          </cell>
        </row>
        <row r="1702">
          <cell r="B1702" t="str">
            <v>F-2026-02-328</v>
          </cell>
          <cell r="C1702" t="str">
            <v>BDB-000058</v>
          </cell>
          <cell r="D1702" t="str">
            <v>PVN-001277</v>
          </cell>
          <cell r="E1702" t="str">
            <v>OrthoLite Ultra GREEN/16-5932TPX Flat Sheet 0.085D 25+/-4 Asker C 1.1M 2M 4mm</v>
          </cell>
          <cell r="F1702">
            <v>92</v>
          </cell>
        </row>
        <row r="1703">
          <cell r="B1703" t="str">
            <v>F-2026-01-384</v>
          </cell>
          <cell r="C1703" t="str">
            <v>BDB-000129</v>
          </cell>
          <cell r="D1703" t="str">
            <v>PVN-001550</v>
          </cell>
          <cell r="E1703" t="str">
            <v>OrthoLite Regular-Nike AIR BLUE/16-4134TPX 0.11D 25+/-4 Asker C 1.1M 1.7M 2mm</v>
          </cell>
          <cell r="F1703">
            <v>51</v>
          </cell>
        </row>
        <row r="1704">
          <cell r="B1704" t="str">
            <v>F-2026-02-184</v>
          </cell>
          <cell r="C1704" t="str">
            <v>BDB-000076</v>
          </cell>
          <cell r="D1704" t="str">
            <v>PVN-003745</v>
          </cell>
          <cell r="E1704" t="str">
            <v>OrthoLite X-25 BILLIARD/16-5427TPX Flat Sheet 0.12D 20+/-4 Asker C 1.1M 2M 16mm</v>
          </cell>
          <cell r="F1704">
            <v>64</v>
          </cell>
        </row>
        <row r="1705">
          <cell r="B1705" t="str">
            <v>F-2026-03-08</v>
          </cell>
          <cell r="C1705" t="str">
            <v>BDB-000011</v>
          </cell>
          <cell r="D1705" t="str">
            <v>PVN-000121</v>
          </cell>
          <cell r="E1705" t="str">
            <v>OrthoLite Regular AIR BLUE/16-4134TPX Flat Sheet 0.13D 35+/-4 Asker C 1.1M 2M 12mm</v>
          </cell>
          <cell r="F1705">
            <v>26</v>
          </cell>
        </row>
        <row r="1706">
          <cell r="B1706" t="str">
            <v>F-2026-01-479</v>
          </cell>
          <cell r="C1706" t="str">
            <v>BDB-000011</v>
          </cell>
          <cell r="D1706" t="str">
            <v>PVN-000121</v>
          </cell>
          <cell r="E1706" t="str">
            <v>OrthoLite Regular AIR BLUE/16-4134TPX Flat Sheet 0.13D 35+/-4 Asker C 1.1M 2M 12mm</v>
          </cell>
          <cell r="F1706">
            <v>44</v>
          </cell>
        </row>
        <row r="1707">
          <cell r="B1707" t="str">
            <v>F-2026-01-481</v>
          </cell>
          <cell r="C1707" t="str">
            <v>BDB-000011</v>
          </cell>
          <cell r="D1707" t="str">
            <v>PVN-000242</v>
          </cell>
          <cell r="E1707" t="str">
            <v>OrthoLite Regular AIR BLUE/16-4134TPX Flat Sheet 0.13D 35+/-4 Asker C 1.1M 2M 2mm</v>
          </cell>
          <cell r="F1707">
            <v>15</v>
          </cell>
        </row>
        <row r="1708">
          <cell r="B1708" t="str">
            <v>F-2026-01-485</v>
          </cell>
          <cell r="C1708" t="str">
            <v>BDB-000011</v>
          </cell>
          <cell r="D1708" t="str">
            <v>PVN-000258</v>
          </cell>
          <cell r="E1708" t="str">
            <v>OrthoLite Regular AIR BLUE/16-4134TPX Flat Sheet 0.13D 35+/-4 Asker C 1.1M 2M 2.5mm</v>
          </cell>
          <cell r="F1708">
            <v>10</v>
          </cell>
        </row>
        <row r="1709">
          <cell r="B1709" t="str">
            <v>F-2026-02-351</v>
          </cell>
          <cell r="C1709" t="str">
            <v>BDB-000321</v>
          </cell>
          <cell r="D1709" t="str">
            <v>PVN-004239</v>
          </cell>
          <cell r="E1709" t="str">
            <v>OrthoLite Float BLUE ATOLL/16-4535TPX Flat Sheet 0.12D 21+/-4 Asker C 1.1M 2M 9.5mm</v>
          </cell>
          <cell r="F1709">
            <v>3</v>
          </cell>
        </row>
        <row r="1710">
          <cell r="B1710" t="str">
            <v>F-2026-01-495</v>
          </cell>
          <cell r="C1710" t="str">
            <v>BDB-000113</v>
          </cell>
          <cell r="D1710" t="str">
            <v>PVN-002465</v>
          </cell>
          <cell r="E1710" t="str">
            <v>OrthoLite Regular-Hybrid SEEDPEARL/12-0703TPX Hybrid Flat Sheet 0.11D 25+/-4 Asker C 1.1M 2M 5mm</v>
          </cell>
          <cell r="F1710">
            <v>108</v>
          </cell>
        </row>
        <row r="1711">
          <cell r="B1711" t="str">
            <v>F-2026-02-43</v>
          </cell>
          <cell r="C1711" t="str">
            <v>BDB-000123</v>
          </cell>
          <cell r="D1711" t="str">
            <v>PVN-002539</v>
          </cell>
          <cell r="E1711" t="str">
            <v>OrthoLite Ultra-Hybrid SEEDPEARL/12-0703TPX Hybrid Flat Sheet 0.085D 25+/-4 Asker C 1.1M 2M 5mm</v>
          </cell>
          <cell r="F1711">
            <v>16</v>
          </cell>
        </row>
        <row r="1712">
          <cell r="B1712" t="str">
            <v>F-2026-02-129</v>
          </cell>
          <cell r="C1712" t="str">
            <v>BDB-000123</v>
          </cell>
          <cell r="D1712" t="str">
            <v>PVN-002539</v>
          </cell>
          <cell r="E1712" t="str">
            <v>OrthoLite Ultra-Hybrid SEEDPEARL/12-0703TPX Hybrid Flat Sheet 0.085D 25+/-4 Asker C 1.1M 2M 5mm</v>
          </cell>
          <cell r="F1712">
            <v>9</v>
          </cell>
        </row>
        <row r="1713">
          <cell r="B1713" t="str">
            <v>F-2026-02-162</v>
          </cell>
          <cell r="C1713" t="str">
            <v>BDB-000123</v>
          </cell>
          <cell r="D1713" t="str">
            <v>PVN-004024</v>
          </cell>
          <cell r="E1713" t="str">
            <v>OrthoLite Ultra-Hybrid SEEDPEARL/12-0703TPX Hybrid Flat Sheet 0.085D 25+/-4 Asker C 1.1M 2M 5.2mm</v>
          </cell>
          <cell r="F1713">
            <v>4</v>
          </cell>
        </row>
        <row r="1714">
          <cell r="B1714" t="str">
            <v>F-2026-02-166</v>
          </cell>
          <cell r="C1714" t="str">
            <v>BDB-000123</v>
          </cell>
          <cell r="D1714" t="str">
            <v>PVN-003299</v>
          </cell>
          <cell r="E1714" t="str">
            <v>OrthoLite Ultra-Hybrid SEEDPEARL/12-0703TPX Hybrid Flat Sheet 0.085D 25+/-4 Asker C 1.1M 2M 3mm</v>
          </cell>
          <cell r="F1714">
            <v>6</v>
          </cell>
        </row>
        <row r="1715">
          <cell r="B1715" t="str">
            <v>F-2026-02-262</v>
          </cell>
          <cell r="C1715" t="str">
            <v>BDB-000123</v>
          </cell>
          <cell r="D1715" t="str">
            <v>PVN-002539</v>
          </cell>
          <cell r="E1715" t="str">
            <v>OrthoLite Ultra-Hybrid SEEDPEARL/12-0703TPX Hybrid Flat Sheet 0.085D 25+/-4 Asker C 1.1M 2M 5mm</v>
          </cell>
          <cell r="F1715">
            <v>5</v>
          </cell>
        </row>
        <row r="1716">
          <cell r="B1716" t="str">
            <v>S-2026-03-34</v>
          </cell>
          <cell r="C1716" t="str">
            <v>BDB-000321</v>
          </cell>
          <cell r="D1716" t="str">
            <v>PVN-004179</v>
          </cell>
          <cell r="E1716" t="str">
            <v>OrthoLite Float BLUE ATOLL/16-4535TPX Flat Sheet 0.12D 21+/-4 Asker C 1.1M 2M 10mm</v>
          </cell>
          <cell r="F1716">
            <v>4</v>
          </cell>
        </row>
        <row r="1717">
          <cell r="B1717" t="str">
            <v>S-2026-03-28</v>
          </cell>
          <cell r="C1717" t="str">
            <v>BDB-000321</v>
          </cell>
          <cell r="D1717" t="str">
            <v>PVN-004239</v>
          </cell>
          <cell r="E1717" t="str">
            <v>OrthoLite Float BLUE ATOLL/16-4535TPX Flat Sheet 0.12D 21+/-4 Asker C 1.1M 2M 9.5mm</v>
          </cell>
          <cell r="F1717">
            <v>2</v>
          </cell>
        </row>
        <row r="1718">
          <cell r="B1718" t="str">
            <v>S-2026-03-56</v>
          </cell>
          <cell r="C1718" t="str">
            <v>BDB-000011</v>
          </cell>
          <cell r="D1718" t="str">
            <v>PVN-000258</v>
          </cell>
          <cell r="E1718" t="str">
            <v>OrthoLite Regular AIR BLUE/16-4134TPX Flat Sheet 0.13D 35+/-4 Asker C 1.1M 2M 2.5mm</v>
          </cell>
          <cell r="F1718">
            <v>1</v>
          </cell>
        </row>
        <row r="1719">
          <cell r="B1719" t="str">
            <v>S-2026-03-51</v>
          </cell>
          <cell r="C1719" t="str">
            <v>BDB-000123</v>
          </cell>
          <cell r="D1719" t="str">
            <v>PVN-003298</v>
          </cell>
          <cell r="E1719" t="str">
            <v>OrthoLite Ultra-Hybrid SEEDPEARL/12-0703TPX Hybrid Flat Sheet 0.085D 25+/-4 Asker C 1.1M 2M 4mm</v>
          </cell>
          <cell r="F1719">
            <v>12</v>
          </cell>
        </row>
        <row r="1720">
          <cell r="B1720" t="str">
            <v>S-2026-03-29</v>
          </cell>
          <cell r="C1720" t="str">
            <v>BDB-000026</v>
          </cell>
          <cell r="D1720" t="str">
            <v>PVN-000369</v>
          </cell>
          <cell r="E1720" t="str">
            <v>OrthoLite Regular YELLOW/13-0858TPX 0.13D 35+/-4 Asker C 1.1M 2M 2mm</v>
          </cell>
          <cell r="F1720">
            <v>1</v>
          </cell>
        </row>
        <row r="1721">
          <cell r="B1721" t="str">
            <v>S-2026-03-18</v>
          </cell>
          <cell r="C1721" t="str">
            <v>BDB-000131</v>
          </cell>
          <cell r="D1721" t="str">
            <v>PVN-001565</v>
          </cell>
          <cell r="E1721" t="str">
            <v>OrthoLite Regular-Nike AIR BLUE/16-4134TPX Flat Sheet 0.11D 15+/-4 Asker C 1.1M 2M 4mm</v>
          </cell>
          <cell r="F1721">
            <v>2</v>
          </cell>
        </row>
        <row r="1722">
          <cell r="B1722" t="str">
            <v>S-2026-03-61</v>
          </cell>
          <cell r="C1722" t="str">
            <v>BDB-000235</v>
          </cell>
          <cell r="D1722" t="str">
            <v>PVN-004021</v>
          </cell>
          <cell r="E1722" t="str">
            <v>OrthoLite X-55-Hybrid FOSSIL/17-0909TPX Hybrid Flat Sheet 0.16D 25+/-4 Asker C 1.1M 1.7M 6mm</v>
          </cell>
          <cell r="F1722">
            <v>1</v>
          </cell>
        </row>
        <row r="1723">
          <cell r="B1723" t="str">
            <v>S-2026-03-60</v>
          </cell>
          <cell r="C1723" t="str">
            <v>BDB-000113</v>
          </cell>
          <cell r="D1723" t="str">
            <v>PVN-002688</v>
          </cell>
          <cell r="E1723" t="str">
            <v>OrthoLite Regular-Hybrid SEEDPEARL/12-0703TPX Hybrid 0.11D 25+/-4 Asker C 1.1M 2M 6mm</v>
          </cell>
          <cell r="F1723">
            <v>2</v>
          </cell>
        </row>
        <row r="1724">
          <cell r="B1724" t="str">
            <v>S-2026-03-50</v>
          </cell>
          <cell r="C1724" t="str">
            <v>BDB-000123</v>
          </cell>
          <cell r="D1724" t="str">
            <v>PVN-003299</v>
          </cell>
          <cell r="E1724" t="str">
            <v>OrthoLite Ultra-Hybrid SEEDPEARL/12-0703TPX Hybrid Flat Sheet 0.085D 25+/-4 Asker C 1.1M 2M 3mm</v>
          </cell>
          <cell r="F1724">
            <v>7</v>
          </cell>
        </row>
        <row r="1725">
          <cell r="B1725" t="str">
            <v>F-2026-02-327</v>
          </cell>
          <cell r="C1725" t="str">
            <v>BDB-000058</v>
          </cell>
          <cell r="D1725" t="str">
            <v>PVN-001277</v>
          </cell>
          <cell r="E1725" t="str">
            <v>OrthoLite Ultra GREEN/16-5932TPX Flat Sheet 0.085D 25+/-4 Asker C 1.1M 2M 4mm</v>
          </cell>
          <cell r="F1725">
            <v>24</v>
          </cell>
        </row>
        <row r="1726">
          <cell r="B1726" t="str">
            <v>F-2026-03-70</v>
          </cell>
          <cell r="C1726" t="str">
            <v>BDB-000123</v>
          </cell>
          <cell r="D1726" t="str">
            <v>PVN-002884</v>
          </cell>
          <cell r="E1726" t="str">
            <v>OrthoLite Ultra-Hybrid SEEDPEARL/12-0703TPX Hybrid Flat Sheet 0.085D 25+/-4 Asker C 1.1M 2M 10mm</v>
          </cell>
          <cell r="F1726">
            <v>37</v>
          </cell>
        </row>
        <row r="1727">
          <cell r="B1727" t="str">
            <v>F-2026-01-499</v>
          </cell>
          <cell r="C1727" t="str">
            <v>BDB-000113</v>
          </cell>
          <cell r="D1727" t="str">
            <v>PVN-002465</v>
          </cell>
          <cell r="E1727" t="str">
            <v>OrthoLite Regular-Hybrid SEEDPEARL/12-0703TPX Hybrid Flat Sheet 0.11D 25+/-4 Asker C 1.1M 2M 5mm</v>
          </cell>
          <cell r="F1727">
            <v>46</v>
          </cell>
        </row>
        <row r="1728">
          <cell r="B1728" t="str">
            <v>F-2026-03-119</v>
          </cell>
          <cell r="C1728" t="str">
            <v>BDB-000355</v>
          </cell>
          <cell r="D1728" t="str">
            <v>PVN-004231</v>
          </cell>
          <cell r="E1728" t="str">
            <v>OrthoLite HybridPlus-Recycled CASTLEROCK/18-0201TPX Hybrid Flat Sheet 0.12D 25+/-4 Asker C 1.1M 2M 4.5mm</v>
          </cell>
          <cell r="F1728">
            <v>49</v>
          </cell>
        </row>
        <row r="1729">
          <cell r="B1729" t="str">
            <v>F-2026-02-204</v>
          </cell>
          <cell r="C1729" t="str">
            <v>BDB-000226</v>
          </cell>
          <cell r="D1729" t="str">
            <v>PVN-003517</v>
          </cell>
          <cell r="E1729" t="str">
            <v>OrthoLite Regular GREY/17-1501TPX Flat Sheet 0.16D 51+/-4 Asker C 1.1M 1.7M 12mm</v>
          </cell>
          <cell r="F1729">
            <v>11</v>
          </cell>
        </row>
        <row r="1730">
          <cell r="B1730" t="str">
            <v>F-2026-03-63</v>
          </cell>
          <cell r="C1730" t="str">
            <v>BDB-000154</v>
          </cell>
          <cell r="D1730" t="str">
            <v>PVN-003347</v>
          </cell>
          <cell r="E1730" t="str">
            <v>OrthoLite X-40-Nike TRUE BLUE/19-4057TPX Flat Sheet 0.16D 35+/-4 Asker C 1.1M 1.7M 4mm</v>
          </cell>
          <cell r="F1730">
            <v>4</v>
          </cell>
        </row>
        <row r="1731">
          <cell r="B1731" t="str">
            <v>F-2026-02-119</v>
          </cell>
          <cell r="C1731" t="str">
            <v>BDB-000154</v>
          </cell>
          <cell r="D1731" t="str">
            <v>PVN-003347</v>
          </cell>
          <cell r="E1731" t="str">
            <v>OrthoLite X-40-Nike TRUE BLUE/19-4057TPX Flat Sheet 0.16D 35+/-4 Asker C 1.1M 1.7M 4mm</v>
          </cell>
          <cell r="F1731">
            <v>8</v>
          </cell>
        </row>
        <row r="1732">
          <cell r="B1732" t="str">
            <v>F-2026-01-406</v>
          </cell>
          <cell r="C1732" t="str">
            <v>BDB-000164</v>
          </cell>
          <cell r="D1732" t="str">
            <v>PVN-001618</v>
          </cell>
          <cell r="E1732" t="str">
            <v>OrthoLite Ultra-Nike GREY/17-1501TPX 0.085D 25+/-4 Asker C 1.1M 2M 4mm</v>
          </cell>
          <cell r="F1732">
            <v>15</v>
          </cell>
        </row>
        <row r="1733">
          <cell r="B1733" t="str">
            <v>F-2026-03-07</v>
          </cell>
          <cell r="C1733" t="str">
            <v>BDB-000008</v>
          </cell>
          <cell r="D1733" t="str">
            <v>PVN-000505</v>
          </cell>
          <cell r="E1733" t="str">
            <v>OrthoLite Regular LIME GREEN/14-0452TPX Flat Sheet 0.11D 25+/-4 Asker C 1.1M 2M 12mm</v>
          </cell>
          <cell r="F1733">
            <v>10</v>
          </cell>
        </row>
        <row r="1734">
          <cell r="B1734" t="str">
            <v>F-2026-01-492</v>
          </cell>
          <cell r="C1734" t="str">
            <v>BDB-000008</v>
          </cell>
          <cell r="D1734" t="str">
            <v>PVN-000505</v>
          </cell>
          <cell r="E1734" t="str">
            <v>OrthoLite Regular LIME GREEN/14-0452TPX Flat Sheet 0.11D 25+/-4 Asker C 1.1M 2M 12mm</v>
          </cell>
          <cell r="F1734">
            <v>44</v>
          </cell>
        </row>
        <row r="1735">
          <cell r="B1735" t="str">
            <v>F-2026-01-405</v>
          </cell>
          <cell r="C1735" t="str">
            <v>BDB-000164</v>
          </cell>
          <cell r="D1735" t="str">
            <v>PVN-001618</v>
          </cell>
          <cell r="E1735" t="str">
            <v>OrthoLite Ultra-Nike GREY/17-1501TPX 0.085D 25+/-4 Asker C 1.1M 2M 4mm</v>
          </cell>
          <cell r="F1735">
            <v>15</v>
          </cell>
        </row>
        <row r="1736">
          <cell r="B1736" t="str">
            <v>F-2026-02-171</v>
          </cell>
          <cell r="C1736" t="str">
            <v>BDB-000052</v>
          </cell>
          <cell r="D1736" t="str">
            <v>PVN-004308</v>
          </cell>
          <cell r="E1736" t="str">
            <v>OrthoLite X-40 TRUE BLUE/19-4057TPX Flat Sheet 0.16D 25+/-4 Asker C 1.1M 1.47M 3mm</v>
          </cell>
          <cell r="F1736">
            <v>2</v>
          </cell>
        </row>
        <row r="1737">
          <cell r="B1737" t="str">
            <v>F-2026-03-04</v>
          </cell>
          <cell r="C1737" t="str">
            <v>BDB-000336</v>
          </cell>
          <cell r="D1737" t="str">
            <v>PVN-004168</v>
          </cell>
          <cell r="E1737" t="str">
            <v>OrthoLite X-40-Nike SEEDPEARL/12-0703TPX Flat Sheet 0.16D 35+/-4 Asker C 1.1M 2M 4.5mm</v>
          </cell>
          <cell r="F1737">
            <v>7</v>
          </cell>
        </row>
        <row r="1738">
          <cell r="B1738" t="str">
            <v>F-2026-02-336</v>
          </cell>
          <cell r="C1738" t="str">
            <v>BDB-000336</v>
          </cell>
          <cell r="D1738" t="str">
            <v>PVN-004168</v>
          </cell>
          <cell r="E1738" t="str">
            <v>OrthoLite X-40-Nike SEEDPEARL/12-0703TPX Flat Sheet 0.16D 35+/-4 Asker C 1.1M 2M 4.5mm</v>
          </cell>
          <cell r="F1738">
            <v>2</v>
          </cell>
        </row>
        <row r="1739">
          <cell r="B1739" t="str">
            <v>F-2026-02-273</v>
          </cell>
          <cell r="C1739" t="str">
            <v>BDB-000156</v>
          </cell>
          <cell r="D1739" t="str">
            <v>PVN-003243</v>
          </cell>
          <cell r="E1739" t="str">
            <v>OrthoLite X-35-Hybrid-Nike AMAZON/18-6024TPX Hybrid Flat Sheet 0.145D 25+/-4 Asker C 1.1M 2M 5.2mm</v>
          </cell>
          <cell r="F1739">
            <v>56</v>
          </cell>
        </row>
        <row r="1740">
          <cell r="B1740" t="str">
            <v>F-2026-02-361</v>
          </cell>
          <cell r="C1740" t="str">
            <v>BDB-000156</v>
          </cell>
          <cell r="D1740" t="str">
            <v>PVN-003243</v>
          </cell>
          <cell r="E1740" t="str">
            <v>OrthoLite X-35-Hybrid-Nike AMAZON/18-6024TPX Hybrid Flat Sheet 0.145D 25+/-4 Asker C 1.1M 2M 5.2mm</v>
          </cell>
          <cell r="F1740">
            <v>26</v>
          </cell>
        </row>
        <row r="1741">
          <cell r="B1741" t="str">
            <v>F-2026-03-15</v>
          </cell>
          <cell r="C1741" t="str">
            <v>BDB-000156</v>
          </cell>
          <cell r="D1741" t="str">
            <v>PVN-003243</v>
          </cell>
          <cell r="E1741" t="str">
            <v>OrthoLite X-35-Hybrid-Nike AMAZON/18-6024TPX Hybrid Flat Sheet 0.145D 25+/-4 Asker C 1.1M 2M 5.2mm</v>
          </cell>
          <cell r="F1741">
            <v>3</v>
          </cell>
        </row>
        <row r="1742">
          <cell r="B1742" t="str">
            <v>F-2026-01-248</v>
          </cell>
          <cell r="C1742" t="str">
            <v>BDB-000097</v>
          </cell>
          <cell r="D1742" t="str">
            <v>PVN-002478</v>
          </cell>
          <cell r="E1742" t="str">
            <v>OrthoLite Eco LT-Hybrid SEEDPEARL/12-0703TPX Hybrid 0.11D 25+/-4 Asker C 1.1M 2M 4mm</v>
          </cell>
          <cell r="F1742">
            <v>89</v>
          </cell>
        </row>
        <row r="1743">
          <cell r="B1743" t="str">
            <v>F-2026-02-280</v>
          </cell>
          <cell r="C1743" t="str">
            <v>BDB-000181</v>
          </cell>
          <cell r="D1743" t="str">
            <v>PVN-003238</v>
          </cell>
          <cell r="E1743" t="str">
            <v>OrthoLite Eco LT-Hybrid-Converse SEEDPEARL/12-0703TPX Hybrid Flat Sheet 0.11D 25+/-4 Asker C 1.1M 2M 5mm</v>
          </cell>
          <cell r="F1743">
            <v>7</v>
          </cell>
        </row>
        <row r="1744">
          <cell r="B1744" t="str">
            <v>F-2026-02-202</v>
          </cell>
          <cell r="C1744" t="str">
            <v>BDB-000181</v>
          </cell>
          <cell r="D1744" t="str">
            <v>PVN-003238</v>
          </cell>
          <cell r="E1744" t="str">
            <v>OrthoLite Eco LT-Hybrid-Converse SEEDPEARL/12-0703TPX Hybrid 0.11D 25+/-4 Asker C 1.1M 2M 5mm</v>
          </cell>
          <cell r="F1744">
            <v>36</v>
          </cell>
        </row>
        <row r="1745">
          <cell r="B1745" t="str">
            <v>F-2026-02-206</v>
          </cell>
          <cell r="C1745" t="str">
            <v>BDB-000083</v>
          </cell>
          <cell r="D1745" t="str">
            <v>PVN-000930</v>
          </cell>
          <cell r="E1745" t="str">
            <v>OrthoLite Eco LT 300C(ADIDAS BLUEBIRD) Flat Sheet 0.11D 25+/-4 Asker C 1.1M 2M 3mm</v>
          </cell>
          <cell r="F1745">
            <v>22</v>
          </cell>
        </row>
        <row r="1746">
          <cell r="B1746" t="str">
            <v>F-2025-12-413</v>
          </cell>
          <cell r="C1746" t="str">
            <v>BDB-000131</v>
          </cell>
          <cell r="D1746" t="str">
            <v>PVN-001565</v>
          </cell>
          <cell r="E1746" t="str">
            <v>OrthoLite Regular-Nike AIR BLUE/16-4134TPX 0.11D 15+/-4 Asker C 1.1M 2M 4mm</v>
          </cell>
          <cell r="F1746">
            <v>29</v>
          </cell>
        </row>
        <row r="1747">
          <cell r="B1747" t="str">
            <v>F-2026-02-345</v>
          </cell>
          <cell r="C1747" t="str">
            <v>BDB-000126</v>
          </cell>
          <cell r="D1747" t="str">
            <v>PVN-002325</v>
          </cell>
          <cell r="E1747" t="str">
            <v>OrthoLite Regular-Nike RED/19-1764TPX Flat Sheet 0.11D 25+/-4 Asker C 1.1M 2M 5.2mm</v>
          </cell>
          <cell r="F1747">
            <v>7</v>
          </cell>
        </row>
        <row r="1748">
          <cell r="B1748" t="str">
            <v>F-2026-03-17</v>
          </cell>
          <cell r="C1748" t="str">
            <v>BDB-000373</v>
          </cell>
          <cell r="D1748" t="str">
            <v>PVN-004315</v>
          </cell>
          <cell r="E1748" t="str">
            <v>OrthoLite X-25-Nike BILLIARD/16-5427TPX Flat Sheet 0.12D 20+/-4 Asker C 1.1M 2M 5mm</v>
          </cell>
          <cell r="F1748">
            <v>39</v>
          </cell>
        </row>
        <row r="1749">
          <cell r="B1749" t="str">
            <v>F-2026-02-272</v>
          </cell>
          <cell r="C1749" t="str">
            <v>BDB-000157</v>
          </cell>
          <cell r="D1749" t="str">
            <v>PVN-003244</v>
          </cell>
          <cell r="E1749" t="str">
            <v>OrthoLite X-35-Hybrid-Nike SEEDPEARL/12-0703TPX Hybrid Flat Sheet 0.145D 25+/-4 Asker C 1.1M 2M 5.2mm</v>
          </cell>
          <cell r="F1749">
            <v>8</v>
          </cell>
        </row>
        <row r="1750">
          <cell r="B1750" t="str">
            <v>F-2026-01-509</v>
          </cell>
          <cell r="C1750" t="str">
            <v>BDB-000113</v>
          </cell>
          <cell r="D1750" t="str">
            <v>PVN-003414</v>
          </cell>
          <cell r="E1750" t="str">
            <v>OrthoLite Regular-Hybrid SEEDPEARL/12-0703TPX Hybrid Flat Sheet 0.11D 25+/-4 Asker C 1.1M 2M 12mm</v>
          </cell>
          <cell r="F1750">
            <v>279</v>
          </cell>
        </row>
        <row r="1751">
          <cell r="B1751" t="str">
            <v>F-2026-02-78</v>
          </cell>
          <cell r="C1751" t="str">
            <v>BDB-000332</v>
          </cell>
          <cell r="D1751" t="str">
            <v>PVN-004146</v>
          </cell>
          <cell r="E1751" t="str">
            <v>OrthoLite X-25 CASTLEROCK/18-0201TPX Flat Sheet 0.12D 20+/-4 Asker C 1.1M 2M 5.5mm</v>
          </cell>
          <cell r="F1751">
            <v>8</v>
          </cell>
        </row>
        <row r="1752">
          <cell r="B1752" t="str">
            <v>F-2026-01-495</v>
          </cell>
          <cell r="C1752" t="str">
            <v>BDB-000113</v>
          </cell>
          <cell r="D1752" t="str">
            <v>PVN-002465</v>
          </cell>
          <cell r="E1752" t="str">
            <v>OrthoLite Regular-Hybrid SEEDPEARL/12-0703TPX Hybrid Flat Sheet 0.11D 25+/-4 Asker C 1.1M 2M 5mm</v>
          </cell>
          <cell r="F1752">
            <v>6</v>
          </cell>
        </row>
        <row r="1753">
          <cell r="B1753" t="str">
            <v>F-2026-02-88</v>
          </cell>
          <cell r="C1753" t="str">
            <v>BDB-000355</v>
          </cell>
          <cell r="D1753" t="str">
            <v>PVN-004231</v>
          </cell>
          <cell r="E1753" t="str">
            <v>OrthoLite HybridPlus-Recycled CASTLEROCK/18-0201TPX Hybrid Flat Sheet 0.12D 25+/-4 Asker C 1.1M 2M 4.5mm</v>
          </cell>
          <cell r="F1753">
            <v>18</v>
          </cell>
        </row>
        <row r="1754">
          <cell r="B1754" t="str">
            <v>F-2026-02-332</v>
          </cell>
          <cell r="C1754" t="str">
            <v>BDB-000200</v>
          </cell>
          <cell r="D1754" t="str">
            <v>PVN-003420</v>
          </cell>
          <cell r="E1754" t="str">
            <v>OrthoLite Ultra SEEDPEARL/12-0703TPX Flat Sheet 0.085D 78-90 Asker F 1.1M 2M 6mm</v>
          </cell>
          <cell r="F1754">
            <v>1</v>
          </cell>
        </row>
        <row r="1755">
          <cell r="B1755" t="str">
            <v>S-2026-03-47</v>
          </cell>
          <cell r="C1755" t="str">
            <v>BDB-000226</v>
          </cell>
          <cell r="D1755" t="str">
            <v>PVN-003517</v>
          </cell>
          <cell r="E1755" t="str">
            <v>OrthoLite Regular GREY/17-1501TPX Flat Sheet 0.16D 51+/-4 Asker C 1.1M 1.7M 12mm</v>
          </cell>
          <cell r="F1755">
            <v>5</v>
          </cell>
        </row>
        <row r="1756">
          <cell r="B1756" t="str">
            <v>S-2026-03-48</v>
          </cell>
          <cell r="C1756" t="str">
            <v>BDB-000181</v>
          </cell>
          <cell r="D1756" t="str">
            <v>PVN-003238</v>
          </cell>
          <cell r="E1756" t="str">
            <v>OrthoLite Eco LT-Hybrid-Converse SEEDPEARL/12-0703TPX Hybrid Flat Sheet 0.11D 25+/-4 Asker C 1.1M 2M 5mm</v>
          </cell>
          <cell r="F1756">
            <v>4</v>
          </cell>
        </row>
        <row r="1757">
          <cell r="B1757" t="str">
            <v>S-2026-03-24</v>
          </cell>
          <cell r="C1757" t="str">
            <v>BDB-000373</v>
          </cell>
          <cell r="D1757" t="str">
            <v>PVN-004315</v>
          </cell>
          <cell r="E1757" t="str">
            <v>OrthoLite X-25-Nike BILLIARD/16-5427TPX Flat Sheet 0.12D 20+/-4 Asker C 1.1M 2M 5mm</v>
          </cell>
          <cell r="F1757">
            <v>2</v>
          </cell>
        </row>
        <row r="1758">
          <cell r="B1758" t="str">
            <v>S-2026-03-53</v>
          </cell>
          <cell r="C1758" t="str">
            <v>BDB-000083</v>
          </cell>
          <cell r="D1758" t="str">
            <v>PVN-000935</v>
          </cell>
          <cell r="E1758" t="str">
            <v>OrthoLite Eco LT 300C(ADIDAS BLUEBIRD) Flat Sheet 0.11D 25+/-4 Asker C 1.1M 2M 4mm</v>
          </cell>
          <cell r="F1758">
            <v>5</v>
          </cell>
        </row>
        <row r="1759">
          <cell r="B1759" t="str">
            <v>F-2026-02-226</v>
          </cell>
          <cell r="C1759" t="str">
            <v>BDB-000123</v>
          </cell>
          <cell r="D1759" t="str">
            <v>PVN-003299</v>
          </cell>
          <cell r="E1759" t="str">
            <v>OrthoLite Ultra-Hybrid SEEDPEARL/12-0703TPX Hybrid 0.085D 25+/-4 Asker C 1.1M 2M 3mm</v>
          </cell>
          <cell r="F1759">
            <v>46</v>
          </cell>
        </row>
        <row r="1760">
          <cell r="B1760" t="str">
            <v>F-2026-03-55</v>
          </cell>
          <cell r="C1760" t="str">
            <v>BDB-000057</v>
          </cell>
          <cell r="D1760" t="str">
            <v>PVN-000925</v>
          </cell>
          <cell r="E1760" t="str">
            <v>OrthoLite Ultra YELLOW/13-0858TPX Flat Sheet 0.085D 25+/-4 Asker C 1.1M 2M 5mm</v>
          </cell>
          <cell r="F1760">
            <v>4</v>
          </cell>
        </row>
        <row r="1761">
          <cell r="B1761" t="str">
            <v>F-2026-02-265</v>
          </cell>
          <cell r="C1761" t="str">
            <v>BDB-000314</v>
          </cell>
          <cell r="D1761" t="str">
            <v>PVN-004066</v>
          </cell>
          <cell r="E1761" t="str">
            <v>OrthoLite Regular NEUTRAL GRAY/17-4402TPX Flat Sheet 0.16D 51+/-4 Asker C 1.1M 1.7M 9.5mm</v>
          </cell>
          <cell r="F1761">
            <v>2</v>
          </cell>
        </row>
        <row r="1762">
          <cell r="B1762" t="str">
            <v>F-2026-03-18</v>
          </cell>
          <cell r="C1762" t="str">
            <v>BDB-000010</v>
          </cell>
          <cell r="D1762" t="str">
            <v>PVN-000101</v>
          </cell>
          <cell r="E1762" t="str">
            <v>OrthoLite Regular AIR BLUE/16-4134TPX Flat Sheet 0.11D 25+/-4 Asker C 1.1M 2M 3mm</v>
          </cell>
          <cell r="F1762">
            <v>5</v>
          </cell>
        </row>
        <row r="1763">
          <cell r="B1763" t="str">
            <v>F-2026-03-24</v>
          </cell>
          <cell r="C1763" t="str">
            <v>BDB-000033</v>
          </cell>
          <cell r="D1763" t="str">
            <v>PVN-001471</v>
          </cell>
          <cell r="E1763" t="str">
            <v>OrthoLite Regular SEEDPEARL/12-0703TPX 0.13D 35+/-4 Asker C 1.1M 2M 4mm</v>
          </cell>
          <cell r="F1763">
            <v>2</v>
          </cell>
        </row>
        <row r="1764">
          <cell r="B1764" t="str">
            <v>F-2026-02-161</v>
          </cell>
          <cell r="C1764" t="str">
            <v>BDB-000026</v>
          </cell>
          <cell r="D1764" t="str">
            <v>PVN-000369</v>
          </cell>
          <cell r="E1764" t="str">
            <v>OrthoLite Regular YELLOW/13-0858TPX Flat Sheet 0.13D 35+/-4 Asker C 1.1M 2M 2mm</v>
          </cell>
          <cell r="F1764">
            <v>2</v>
          </cell>
        </row>
        <row r="1765">
          <cell r="B1765" t="str">
            <v>F-2026-03-08</v>
          </cell>
          <cell r="C1765" t="str">
            <v>BDB-000011</v>
          </cell>
          <cell r="D1765" t="str">
            <v>PVN-000121</v>
          </cell>
          <cell r="E1765" t="str">
            <v>OrthoLite Regular AIR BLUE/16-4134TPX Flat Sheet 0.13D 35+/-4 Asker C 1.1M 2M 12mm</v>
          </cell>
          <cell r="F1765">
            <v>5</v>
          </cell>
        </row>
        <row r="1766">
          <cell r="B1766" t="str">
            <v>F-2026-01-494</v>
          </cell>
          <cell r="C1766" t="str">
            <v>BDB-000113</v>
          </cell>
          <cell r="D1766" t="str">
            <v>PVN-002465</v>
          </cell>
          <cell r="E1766" t="str">
            <v>OrthoLite Regular-Hybrid SEEDPEARL/12-0703TPX Hybrid Flat Sheet 0.11D 25+/-4 Asker C 1.1M 2M 5mm</v>
          </cell>
          <cell r="F1766">
            <v>7</v>
          </cell>
        </row>
        <row r="1767">
          <cell r="B1767" t="str">
            <v>F-2026-02-260</v>
          </cell>
          <cell r="C1767" t="str">
            <v>BDB-000210</v>
          </cell>
          <cell r="D1767" t="str">
            <v>PVN-003453</v>
          </cell>
          <cell r="E1767" t="str">
            <v>OrthoLite Eco LT-Hybrid BLACK/19-4007TPX Hybrid Flat Sheet 0.13D 35+/-4 Asker C 1.1M 2M 3mm</v>
          </cell>
          <cell r="F1767">
            <v>8</v>
          </cell>
        </row>
        <row r="1768">
          <cell r="B1768" t="str">
            <v>F-2026-03-09</v>
          </cell>
          <cell r="C1768" t="str">
            <v>BDB-000039</v>
          </cell>
          <cell r="D1768" t="str">
            <v>PVN-002019</v>
          </cell>
          <cell r="E1768" t="str">
            <v>OrthoLite Regular NEUTRAL GRAY/17-4402TPX Flat Sheet 0.11D 25+/-4 Asker C 1.1M 2M 13mm</v>
          </cell>
          <cell r="F1768">
            <v>3</v>
          </cell>
        </row>
        <row r="1769">
          <cell r="B1769" t="str">
            <v>F-2026-01-499</v>
          </cell>
          <cell r="C1769" t="str">
            <v>BDB-000113</v>
          </cell>
          <cell r="D1769" t="str">
            <v>PVN-002465</v>
          </cell>
          <cell r="E1769" t="str">
            <v>OrthoLite Regular-Hybrid SEEDPEARL/12-0703TPX Hybrid Flat Sheet 0.11D 25+/-4 Asker C 1.1M 2M 5mm</v>
          </cell>
          <cell r="F1769">
            <v>62</v>
          </cell>
        </row>
        <row r="1770">
          <cell r="B1770" t="str">
            <v>F-2026-03-40</v>
          </cell>
          <cell r="C1770" t="str">
            <v>BDB-000055</v>
          </cell>
          <cell r="D1770" t="str">
            <v>PVN-003387</v>
          </cell>
          <cell r="E1770" t="str">
            <v>OrthoLite X-40 TRUE BLUE/19-4057TPX Flat Sheet 0.16D 35+/-4 Asker C 1.1M 1.7M 13.5mm</v>
          </cell>
          <cell r="F1770">
            <v>5</v>
          </cell>
        </row>
        <row r="1771">
          <cell r="B1771" t="str">
            <v>F-2026-02-62</v>
          </cell>
          <cell r="C1771" t="str">
            <v>BDB-000209</v>
          </cell>
          <cell r="D1771" t="str">
            <v>PVN-003537</v>
          </cell>
          <cell r="E1771" t="str">
            <v>OrthoLite HybridPlus-Recycled MINT GREEN/11-4805TPX Hybrid Flat Sheet 0.12D 25+/-4 Asker C 1.1M 2M 4.5mm</v>
          </cell>
          <cell r="F1771">
            <v>8</v>
          </cell>
        </row>
        <row r="1772">
          <cell r="B1772" t="str">
            <v>F-2026-02-226</v>
          </cell>
          <cell r="C1772" t="str">
            <v>BDB-000123</v>
          </cell>
          <cell r="D1772" t="str">
            <v>PVN-003299</v>
          </cell>
          <cell r="E1772" t="str">
            <v>OrthoLite Ultra-Hybrid SEEDPEARL/12-0703TPX Hybrid 0.085D 25+/-4 Asker C 1.1M 2M 3mm</v>
          </cell>
          <cell r="F1772">
            <v>107</v>
          </cell>
        </row>
        <row r="1773">
          <cell r="B1773" t="str">
            <v>F-2025-12-413</v>
          </cell>
          <cell r="C1773" t="str">
            <v>BDB-000131</v>
          </cell>
          <cell r="D1773" t="str">
            <v>PVN-001565</v>
          </cell>
          <cell r="E1773" t="str">
            <v>OrthoLite Regular-Nike AIR BLUE/16-4134TPX 0.11D 15+/-4 Asker C 1.1M 2M 4mm</v>
          </cell>
          <cell r="F1773">
            <v>1</v>
          </cell>
        </row>
        <row r="1774">
          <cell r="B1774" t="str">
            <v>F-2026-03-71</v>
          </cell>
          <cell r="C1774" t="str">
            <v>BDB-000055</v>
          </cell>
          <cell r="D1774" t="str">
            <v>PVN-003326</v>
          </cell>
          <cell r="E1774" t="str">
            <v>OrthoLite X-40 TRUE BLUE/19-4057TPX Flat Sheet 0.16D 35+/-4 Asker C 1.1M 1.7M 14mm</v>
          </cell>
          <cell r="F1774">
            <v>1</v>
          </cell>
        </row>
        <row r="1775">
          <cell r="B1775" t="str">
            <v>F-2026-02-249</v>
          </cell>
          <cell r="C1775" t="str">
            <v>BDB-000348</v>
          </cell>
          <cell r="D1775" t="str">
            <v>PVN-004195</v>
          </cell>
          <cell r="E1775" t="str">
            <v>OrthoLite IMPERIAL SEEDPEARL/12-0703TPX Flat Sheet 0.22D 25+/-4 Asker C 1.1M 1.47M 4mm</v>
          </cell>
          <cell r="F1775">
            <v>86</v>
          </cell>
        </row>
        <row r="1776">
          <cell r="B1776" t="str">
            <v>F-2026-02-147</v>
          </cell>
          <cell r="C1776" t="str">
            <v>BDB-000348</v>
          </cell>
          <cell r="D1776" t="str">
            <v>PVN-004210</v>
          </cell>
          <cell r="E1776" t="str">
            <v>OrthoLite IMPERIAL SEEDPEARL/12-0703TPX Flat Sheet 0.22D 25+/-4 Asker C 1.1M 1.47M 5mm</v>
          </cell>
          <cell r="F1776">
            <v>2</v>
          </cell>
        </row>
        <row r="1777">
          <cell r="B1777" t="str">
            <v>F-2026-02-346</v>
          </cell>
          <cell r="C1777" t="str">
            <v>BDB-000046</v>
          </cell>
          <cell r="D1777" t="str">
            <v>PVN-000448</v>
          </cell>
          <cell r="E1777" t="str">
            <v>OrthoLite Regular RED/19-1764TPX Flat Sheet 0.13D 35+/-4 Asker C 1.1M 1.47M 4mm</v>
          </cell>
          <cell r="F1777">
            <v>3</v>
          </cell>
        </row>
        <row r="1778">
          <cell r="B1778" t="str">
            <v>S-2026-03-52</v>
          </cell>
          <cell r="C1778" t="str">
            <v>BDB-000200</v>
          </cell>
          <cell r="D1778" t="str">
            <v>PVN-003425</v>
          </cell>
          <cell r="E1778" t="str">
            <v>OrthoLite Ultra SEEDPEARL/12-0703TPX Flat Sheet 0.085D 78-90 Asker F 1.1M 2M 4mm</v>
          </cell>
          <cell r="F1778">
            <v>2</v>
          </cell>
        </row>
        <row r="1779">
          <cell r="B1779" t="str">
            <v>S-2026-03-27</v>
          </cell>
          <cell r="C1779" t="str">
            <v>BDB-000141</v>
          </cell>
          <cell r="D1779" t="str">
            <v>PVN-001851</v>
          </cell>
          <cell r="E1779" t="str">
            <v>OrthoLite Regular-Nike NEUTRAL GRAY/17-4402TPX 0.11D 25+/-4 Asker C 1.1M 2M 5mm</v>
          </cell>
          <cell r="F1779">
            <v>2</v>
          </cell>
        </row>
        <row r="1780">
          <cell r="B1780" t="str">
            <v>S-2026-03-57</v>
          </cell>
          <cell r="C1780" t="str">
            <v>BDB-000209</v>
          </cell>
          <cell r="D1780" t="str">
            <v>PVN-003537</v>
          </cell>
          <cell r="E1780" t="str">
            <v>OrthoLite HybridPlus-Recycled MINT GREEN/11-4805TPX Hybrid Flat Sheet 0.12D 25+/-4 Asker C 1.1M 2M 4.5mm</v>
          </cell>
          <cell r="F1780">
            <v>4</v>
          </cell>
        </row>
        <row r="1781">
          <cell r="B1781" t="str">
            <v>F-2026-03-80</v>
          </cell>
          <cell r="C1781" t="str">
            <v>BDB-000229</v>
          </cell>
          <cell r="D1781" t="str">
            <v>PVN-003692</v>
          </cell>
          <cell r="E1781" t="str">
            <v>OrthoLite Ultra-Hybrid SEEDPEARL/12-0703TPX Hybrid Flat Sheet 0.095D 33+/-4 Asker C 1.1M 2M 15.5mm</v>
          </cell>
          <cell r="F1781">
            <v>6</v>
          </cell>
        </row>
        <row r="1782">
          <cell r="B1782" t="str">
            <v>F-2026-02-354</v>
          </cell>
          <cell r="C1782" t="str">
            <v>BDB-000229</v>
          </cell>
          <cell r="D1782" t="str">
            <v>PVN-003692</v>
          </cell>
          <cell r="E1782" t="str">
            <v>OrthoLite Ultra-Hybrid SEEDPEARL/12-0703TPX Hybrid Flat Sheet 0.095D 33+/-4 Asker C 1.1M 2M 15.5mm</v>
          </cell>
          <cell r="F1782">
            <v>4</v>
          </cell>
        </row>
        <row r="1783">
          <cell r="B1783" t="str">
            <v>F-2026-03-117</v>
          </cell>
          <cell r="C1783" t="str">
            <v>BDB-000229</v>
          </cell>
          <cell r="D1783" t="str">
            <v>PVN-003878</v>
          </cell>
          <cell r="E1783" t="str">
            <v>OrthoLite Ultra-Hybrid SEEDPEARL/12-0703TPX Hybrid Flat Sheet 0.095D 33+/-4 Asker C 1.1M 2M 4mm</v>
          </cell>
          <cell r="F1783">
            <v>3</v>
          </cell>
        </row>
        <row r="1784">
          <cell r="B1784" t="str">
            <v>F-2026-03-174</v>
          </cell>
          <cell r="C1784" t="str">
            <v>BDB-000229</v>
          </cell>
          <cell r="D1784" t="str">
            <v>PVN-003878</v>
          </cell>
          <cell r="E1784" t="str">
            <v>OrthoLite Ultra-Hybrid SEEDPEARL/12-0703TPX Hybrid Flat Sheet 0.095D 33+/-4 Asker C 1.1M 2M 4mm</v>
          </cell>
          <cell r="F1784">
            <v>1</v>
          </cell>
        </row>
        <row r="1785">
          <cell r="B1785" t="str">
            <v>F-2026-02-362</v>
          </cell>
          <cell r="C1785" t="str">
            <v>BDB-000258</v>
          </cell>
          <cell r="D1785" t="str">
            <v>PVN-003669</v>
          </cell>
          <cell r="E1785" t="str">
            <v>OrthoLite Eco LT-Hybrid LIME GREEN/14-0452TPX Hybrid Flat Sheet 0.13D 35+/-4 Asker C 1.1M 1.7M 2.5mm</v>
          </cell>
          <cell r="F1785">
            <v>5</v>
          </cell>
        </row>
        <row r="1786">
          <cell r="B1786" t="str">
            <v>OIN-2026.02.27-01</v>
          </cell>
          <cell r="C1786" t="str">
            <v>BDB-000102</v>
          </cell>
          <cell r="D1786" t="str">
            <v>PVN-003821</v>
          </cell>
          <cell r="E1786" t="str">
            <v>[118-467] Eco Lite Hybrid 35+/-4 Asker C 0.13D Lime Green 14-0452 Tpx 1.10M X 2.00M 47mm</v>
          </cell>
          <cell r="F1786">
            <v>5</v>
          </cell>
        </row>
        <row r="1787">
          <cell r="B1787" t="str">
            <v>F-2026-03-14</v>
          </cell>
          <cell r="C1787" t="str">
            <v>BDB-000313</v>
          </cell>
          <cell r="D1787" t="str">
            <v>PVN-004061</v>
          </cell>
          <cell r="E1787" t="str">
            <v>OrthoLite X-55 RED/19-1764TPX Flat Sheet 0.16D 25+/-4 Asker C 1.1M 1.47M 18mm</v>
          </cell>
          <cell r="F1787">
            <v>7</v>
          </cell>
        </row>
        <row r="1788">
          <cell r="B1788" t="str">
            <v>F-2026-03-179</v>
          </cell>
          <cell r="C1788" t="str">
            <v>BDB-000313</v>
          </cell>
          <cell r="D1788" t="str">
            <v>PVN-004061</v>
          </cell>
          <cell r="E1788" t="str">
            <v>OrthoLite X-55 RED/19-1764TPX Flat Sheet 0.16D 25+/-4 Asker C 1.1M 1.47M 18mm</v>
          </cell>
          <cell r="F1788">
            <v>2</v>
          </cell>
        </row>
        <row r="1789">
          <cell r="B1789" t="str">
            <v>F-2026-02-338</v>
          </cell>
          <cell r="C1789" t="str">
            <v>BDB-000052</v>
          </cell>
          <cell r="D1789" t="str">
            <v>PVN-003603</v>
          </cell>
          <cell r="E1789" t="str">
            <v>OrthoLite X-40 TRUE BLUE/19-4057TPX Flat Sheet 0.16D 25+/-4 Asker C 1.1M 1.47M 12mm</v>
          </cell>
          <cell r="F1789">
            <v>14</v>
          </cell>
        </row>
        <row r="1790">
          <cell r="B1790" t="str">
            <v>F-2026-02-350</v>
          </cell>
          <cell r="C1790" t="str">
            <v>BDB-000052</v>
          </cell>
          <cell r="D1790" t="str">
            <v>PVN-004308</v>
          </cell>
          <cell r="E1790" t="str">
            <v>OrthoLite X-40 TRUE BLUE/19-4057TPX Flat Sheet 0.16D 25+/-4 Asker C 1.1M 1.47M 3mm</v>
          </cell>
          <cell r="F1790">
            <v>34</v>
          </cell>
        </row>
        <row r="1791">
          <cell r="B1791" t="str">
            <v>F-2026-02-175</v>
          </cell>
          <cell r="C1791" t="str">
            <v>BDB-000209</v>
          </cell>
          <cell r="D1791" t="str">
            <v>PVN-003537</v>
          </cell>
          <cell r="E1791" t="str">
            <v>OrthoLite HybridPlus-Recycled MINT GREEN/11-4805TPX Hybrid 0.12D 25+/-4 Asker C 1.1M 2M 4.5mm</v>
          </cell>
          <cell r="F1791">
            <v>162</v>
          </cell>
        </row>
        <row r="1792">
          <cell r="B1792" t="str">
            <v>F-2026-01-333</v>
          </cell>
          <cell r="C1792" t="str">
            <v>BDB-000123</v>
          </cell>
          <cell r="D1792" t="str">
            <v>PVN-003298</v>
          </cell>
          <cell r="E1792" t="str">
            <v>OrthoLite Ultra-Hybrid SEEDPEARL/12-0703TPX Hybrid 0.085D 25+/-4 Asker C 1.1M 2M 4mm</v>
          </cell>
          <cell r="F1792">
            <v>192</v>
          </cell>
        </row>
        <row r="1793">
          <cell r="B1793" t="str">
            <v>F-2026-03-31</v>
          </cell>
          <cell r="C1793" t="str">
            <v>BDB-000123</v>
          </cell>
          <cell r="D1793" t="str">
            <v>PVN-002884</v>
          </cell>
          <cell r="E1793" t="str">
            <v>OrthoLite Ultra-Hybrid SEEDPEARL/12-0703TPX Hybrid Flat Sheet 0.085D 25+/-4 Asker C 1.1M 2M 10mm</v>
          </cell>
          <cell r="F1793">
            <v>25</v>
          </cell>
        </row>
        <row r="1794">
          <cell r="B1794" t="str">
            <v>F-2026-02-197</v>
          </cell>
          <cell r="C1794" t="str">
            <v>BDB-000123</v>
          </cell>
          <cell r="D1794" t="str">
            <v>PVN-002973</v>
          </cell>
          <cell r="E1794" t="str">
            <v>OrthoLite Ultra-Hybrid SEEDPEARL/12-0703TPX Hybrid 0.085D 25+/-4 Asker C 1.1M 2M 4.5mm</v>
          </cell>
          <cell r="F1794">
            <v>30</v>
          </cell>
        </row>
        <row r="1795">
          <cell r="B1795" t="str">
            <v>F-2026-01-332</v>
          </cell>
          <cell r="C1795" t="str">
            <v>BDB-000123</v>
          </cell>
          <cell r="D1795" t="str">
            <v>PVN-003298</v>
          </cell>
          <cell r="E1795" t="str">
            <v>OrthoLite Ultra-Hybrid SEEDPEARL/12-0703TPX Hybrid 0.085D 25+/-4 Asker C 1.1M 2M 4mm</v>
          </cell>
          <cell r="F1795">
            <v>200</v>
          </cell>
        </row>
        <row r="1796">
          <cell r="B1796" t="str">
            <v>F-2026-01-248</v>
          </cell>
          <cell r="C1796" t="str">
            <v>BDB-000097</v>
          </cell>
          <cell r="D1796" t="str">
            <v>PVN-002478</v>
          </cell>
          <cell r="E1796" t="str">
            <v>OrthoLite Eco LT-Hybrid SEEDPEARL/12-0703TPX Hybrid 0.11D 25+/-4 Asker C 1.1M 2M 4mm</v>
          </cell>
          <cell r="F1796">
            <v>8</v>
          </cell>
        </row>
        <row r="1797">
          <cell r="B1797" t="str">
            <v>F-2026-02-328</v>
          </cell>
          <cell r="C1797" t="str">
            <v>BDB-000058</v>
          </cell>
          <cell r="D1797" t="str">
            <v>PVN-001277</v>
          </cell>
          <cell r="E1797" t="str">
            <v>OrthoLite Ultra GREEN/16-5932TPX Flat Sheet 0.085D 25+/-4 Asker C 1.1M 2M 4mm</v>
          </cell>
          <cell r="F1797">
            <v>24</v>
          </cell>
        </row>
        <row r="1798">
          <cell r="B1798" t="str">
            <v>F-2026-02-226</v>
          </cell>
          <cell r="C1798" t="str">
            <v>BDB-000123</v>
          </cell>
          <cell r="D1798" t="str">
            <v>PVN-003299</v>
          </cell>
          <cell r="E1798" t="str">
            <v>OrthoLite Ultra-Hybrid SEEDPEARL/12-0703TPX Hybrid 0.085D 25+/-4 Asker C 1.1M 2M 3mm</v>
          </cell>
          <cell r="F1798">
            <v>5</v>
          </cell>
        </row>
        <row r="1799">
          <cell r="B1799" t="str">
            <v>S-2026-03-24</v>
          </cell>
          <cell r="C1799" t="str">
            <v>BDB-000373</v>
          </cell>
          <cell r="D1799" t="str">
            <v>PVN-004315</v>
          </cell>
          <cell r="E1799" t="str">
            <v>OrthoLite X-25-Nike BILLIARD/16-5427TPX Flat Sheet 0.12D 20+/-4 Asker C 1.1M 2M 5mm</v>
          </cell>
          <cell r="F1799">
            <v>1</v>
          </cell>
        </row>
        <row r="1800">
          <cell r="B1800" t="str">
            <v>F-2026-01-519</v>
          </cell>
          <cell r="C1800" t="str">
            <v>BDB-000234</v>
          </cell>
          <cell r="D1800" t="str">
            <v>PVN-003581</v>
          </cell>
          <cell r="E1800" t="str">
            <v>OrthoLite X-30-Hybrid BROWN SUGAR/17-1134TPX Hybrid Flat Sheet 0.13D 25+/-4 Asker C 1.1M 2M 12mm</v>
          </cell>
          <cell r="F1800">
            <v>12</v>
          </cell>
        </row>
        <row r="1801">
          <cell r="B1801" t="str">
            <v>F-2026-01-519</v>
          </cell>
          <cell r="C1801" t="str">
            <v>BDB-000234</v>
          </cell>
          <cell r="D1801" t="str">
            <v>PVN-003581</v>
          </cell>
          <cell r="E1801" t="str">
            <v>OrthoLite X-30-Hybrid BROWN SUGAR/17-1134TPX Hybrid Flat Sheet 0.13D 25+/-4 Asker C 1.1M 2M 12mm</v>
          </cell>
          <cell r="F1801">
            <v>11</v>
          </cell>
        </row>
        <row r="1802">
          <cell r="B1802" t="str">
            <v>F-2026-01-509</v>
          </cell>
          <cell r="C1802" t="str">
            <v>BDB-000113</v>
          </cell>
          <cell r="D1802" t="str">
            <v>PVN-003414</v>
          </cell>
          <cell r="E1802" t="str">
            <v>OrthoLite Regular-Hybrid SEEDPEARL/12-0703TPX Hybrid Flat Sheet 0.11D 25+/-4 Asker C 1.1M 2M 12mm</v>
          </cell>
          <cell r="F1802">
            <v>69</v>
          </cell>
        </row>
        <row r="1803">
          <cell r="B1803" t="str">
            <v>F-2026-01-423-1</v>
          </cell>
          <cell r="C1803" t="str">
            <v>BDB-000175</v>
          </cell>
          <cell r="D1803" t="str">
            <v>PVN-002966</v>
          </cell>
          <cell r="E1803" t="str">
            <v>OrthoLite Ultra-Hybrid-Nike SEEDPEARL/12-0703TPX Hybrid 0.085D 25+/-4 Asker C 1.1M 2M 4mm</v>
          </cell>
          <cell r="F1803">
            <v>49</v>
          </cell>
        </row>
        <row r="1804">
          <cell r="B1804" t="str">
            <v>F-2026-01-433</v>
          </cell>
          <cell r="C1804" t="str">
            <v>BDB-000259</v>
          </cell>
          <cell r="D1804" t="str">
            <v>PVN-003684</v>
          </cell>
          <cell r="E1804" t="str">
            <v>OrthoLite Nike PP002 GLACIER GRAY/14-4102TPX Flat Sheet 0.145D 25+/-4 asker C 1.1M 2M 4.2mm</v>
          </cell>
          <cell r="F1804">
            <v>76</v>
          </cell>
        </row>
        <row r="1805">
          <cell r="B1805" t="str">
            <v>F-2026-02-328</v>
          </cell>
          <cell r="C1805" t="str">
            <v>BDB-000058</v>
          </cell>
          <cell r="D1805" t="str">
            <v>PVN-001277</v>
          </cell>
          <cell r="E1805" t="str">
            <v>OrthoLite Ultra GREEN/16-5932TPX Flat Sheet 0.085D 25+/-4 Asker C 1.1M 2M 4mm</v>
          </cell>
          <cell r="F1805">
            <v>2</v>
          </cell>
        </row>
        <row r="1806">
          <cell r="B1806" t="str">
            <v>F-2026-02-328</v>
          </cell>
          <cell r="C1806" t="str">
            <v>BDB-000058</v>
          </cell>
          <cell r="D1806" t="str">
            <v>PVN-001277</v>
          </cell>
          <cell r="E1806" t="str">
            <v>OrthoLite Ultra GREEN/16-5932TPX Flat Sheet 0.085D 25+/-4 Asker C 1.1M 2M 4mm</v>
          </cell>
          <cell r="F1806">
            <v>9</v>
          </cell>
        </row>
        <row r="1807">
          <cell r="B1807" t="str">
            <v>S-2026-03-72</v>
          </cell>
          <cell r="C1807" t="str">
            <v>BDB-000097</v>
          </cell>
          <cell r="D1807" t="str">
            <v>PVN-003671</v>
          </cell>
          <cell r="E1807" t="str">
            <v>OrthoLite Eco LT-Hybrid SEEDPEARL/12-0703TPX Hybrid Flat Sheet 0.11D 25+/-4 Asker C 1.1M 2M 13mm</v>
          </cell>
          <cell r="F1807">
            <v>2</v>
          </cell>
        </row>
        <row r="1808">
          <cell r="B1808" t="str">
            <v>S-2026-03-74</v>
          </cell>
          <cell r="C1808" t="str">
            <v>BDB-000097</v>
          </cell>
          <cell r="D1808" t="str">
            <v>PVN-002478</v>
          </cell>
          <cell r="E1808" t="str">
            <v>OrthoLite Eco LT-Hybrid SEEDPEARL/12-0703TPX Hybrid 0.11D 25+/-4 Asker C 1.1M 2M 4mm</v>
          </cell>
          <cell r="F1808">
            <v>3</v>
          </cell>
        </row>
        <row r="1809">
          <cell r="B1809" t="str">
            <v>S-2026-03-75</v>
          </cell>
          <cell r="C1809" t="str">
            <v>BDB-000076</v>
          </cell>
          <cell r="D1809" t="str">
            <v>PVN-003448</v>
          </cell>
          <cell r="E1809" t="str">
            <v>OrthoLite X-25 BILLIARD/16-5427TPX 0.12D 20+/-4 Asker C 1.1M 2M 6.2mm</v>
          </cell>
          <cell r="F1809">
            <v>3</v>
          </cell>
        </row>
        <row r="1810">
          <cell r="B1810" t="str">
            <v>S-2026-03-64</v>
          </cell>
          <cell r="C1810" t="str">
            <v>BDB-000131</v>
          </cell>
          <cell r="D1810" t="str">
            <v>PVN-001565</v>
          </cell>
          <cell r="E1810" t="str">
            <v>OrthoLite Regular-Nike AIR BLUE/16-4134TPX Flat Sheet 0.11D 15+/-4 Asker C 1.1M 2M 4mm</v>
          </cell>
          <cell r="F1810">
            <v>3</v>
          </cell>
        </row>
        <row r="1811">
          <cell r="B1811" t="str">
            <v>S-2026-03-66</v>
          </cell>
          <cell r="C1811" t="str">
            <v>BDB-000259</v>
          </cell>
          <cell r="D1811" t="str">
            <v>PVN-003684</v>
          </cell>
          <cell r="E1811" t="str">
            <v>OrthoLite Nike PP002 GLACIER GRAY/14-4102TPX Flat Sheet 0.145D 25+/-4 asker C 1.1M 2M 4.2mm</v>
          </cell>
          <cell r="F1811">
            <v>2</v>
          </cell>
        </row>
        <row r="1812">
          <cell r="B1812" t="str">
            <v>S-2026-03-21</v>
          </cell>
          <cell r="C1812" t="str">
            <v>BDB-000259</v>
          </cell>
          <cell r="D1812" t="str">
            <v>PVN-003684</v>
          </cell>
          <cell r="E1812" t="str">
            <v>OrthoLite Nike PP002 GLACIER GRAY/14-4102TPX Flat Sheet 0.145D 25+/-4 asker C 1.1M 2M 4.2mm</v>
          </cell>
          <cell r="F1812">
            <v>2</v>
          </cell>
        </row>
        <row r="1813">
          <cell r="B1813" t="str">
            <v>S-2026-03-67</v>
          </cell>
          <cell r="C1813" t="str">
            <v>BDB-000175</v>
          </cell>
          <cell r="D1813" t="str">
            <v>PVN-002875</v>
          </cell>
          <cell r="E1813" t="str">
            <v>OrthoLite Ultra-Hybrid-Nike SEEDPEARL/12-0703TPX Hybrid Flat Sheet 0.085D 25+/-4 Asker C 1.1M 2M 3mm</v>
          </cell>
          <cell r="F1813">
            <v>1</v>
          </cell>
        </row>
        <row r="1814">
          <cell r="B1814" t="str">
            <v>F-2026-01-509</v>
          </cell>
          <cell r="C1814" t="str">
            <v>BDB-000113</v>
          </cell>
          <cell r="D1814" t="str">
            <v>PVN-003414</v>
          </cell>
          <cell r="E1814" t="str">
            <v>OrthoLite Regular-Hybrid SEEDPEARL/12-0703TPX Hybrid Flat Sheet 0.11D 25+/-4 Asker C 1.1M 2M 12mm</v>
          </cell>
          <cell r="F1814">
            <v>15</v>
          </cell>
        </row>
        <row r="1815">
          <cell r="B1815" t="str">
            <v>F-2026-02-140</v>
          </cell>
          <cell r="C1815" t="str">
            <v>BDB-000224</v>
          </cell>
          <cell r="D1815" t="str">
            <v>PVN-004258</v>
          </cell>
          <cell r="E1815" t="str">
            <v>OrthoLite R&amp;R CASTLEROCK/18-0201TPX Flat Sheet 0.16D 15+/-4 Asker C 1.1M 1.7M 3mm</v>
          </cell>
          <cell r="F1815">
            <v>4</v>
          </cell>
        </row>
        <row r="1816">
          <cell r="B1816" t="str">
            <v>F-2026-01-332</v>
          </cell>
          <cell r="C1816" t="str">
            <v>BDB-000123</v>
          </cell>
          <cell r="D1816" t="str">
            <v>PVN-003298</v>
          </cell>
          <cell r="E1816" t="str">
            <v>OrthoLite Ultra-Hybrid SEEDPEARL/12-0703TPX Hybrid 0.085D 25+/-4 Asker C 1.1M 2M 4mm</v>
          </cell>
          <cell r="F1816">
            <v>12</v>
          </cell>
        </row>
        <row r="1817">
          <cell r="B1817" t="str">
            <v>F-2026-01-333</v>
          </cell>
          <cell r="C1817" t="str">
            <v>BDB-000123</v>
          </cell>
          <cell r="D1817" t="str">
            <v>PVN-003298</v>
          </cell>
          <cell r="E1817" t="str">
            <v>OrthoLite Ultra-Hybrid SEEDPEARL/12-0703TPX Hybrid 0.085D 25+/-4 Asker C 1.1M 2M 4mm</v>
          </cell>
          <cell r="F1817">
            <v>8</v>
          </cell>
        </row>
        <row r="1818">
          <cell r="B1818" t="str">
            <v>F-2026-01-333</v>
          </cell>
          <cell r="C1818" t="str">
            <v>BDB-000123</v>
          </cell>
          <cell r="D1818" t="str">
            <v>PVN-003298</v>
          </cell>
          <cell r="E1818" t="str">
            <v>OrthoLite Ultra-Hybrid SEEDPEARL/12-0703TPX Hybrid 0.085D 25+/-4 Asker C 1.1M 2M 4mm</v>
          </cell>
          <cell r="F1818">
            <v>16</v>
          </cell>
        </row>
        <row r="1819">
          <cell r="B1819" t="str">
            <v>F-2026-01-409</v>
          </cell>
          <cell r="C1819" t="str">
            <v>BDB-000164</v>
          </cell>
          <cell r="D1819" t="str">
            <v>PVN-001618</v>
          </cell>
          <cell r="E1819" t="str">
            <v>OrthoLite Ultra-Nike GREY/17-1501TPX 0.085D 25+/-4 Asker C 1.1M 2M 4mm</v>
          </cell>
          <cell r="F1819">
            <v>15</v>
          </cell>
        </row>
        <row r="1820">
          <cell r="B1820" t="str">
            <v>F-2026-01-248</v>
          </cell>
          <cell r="C1820" t="str">
            <v>BDB-000097</v>
          </cell>
          <cell r="D1820" t="str">
            <v>PVN-002478</v>
          </cell>
          <cell r="E1820" t="str">
            <v>OrthoLite Eco LT-Hybrid SEEDPEARL/12-0703TPX Hybrid 0.11D 25+/-4 Asker C 1.1M 2M 4mm</v>
          </cell>
          <cell r="F1820">
            <v>3</v>
          </cell>
        </row>
        <row r="1821">
          <cell r="B1821" t="str">
            <v>F-2026-01-248</v>
          </cell>
          <cell r="C1821" t="str">
            <v>BDB-000097</v>
          </cell>
          <cell r="D1821" t="str">
            <v>PVN-002478</v>
          </cell>
          <cell r="E1821" t="str">
            <v>OrthoLite Eco LT-Hybrid SEEDPEARL/12-0703TPX Hybrid 0.11D 25+/-4 Asker C 1.1M 2M 4mm</v>
          </cell>
          <cell r="F1821">
            <v>9</v>
          </cell>
        </row>
        <row r="1822">
          <cell r="B1822" t="str">
            <v>F-2026-01-407</v>
          </cell>
          <cell r="C1822" t="str">
            <v>BDB-000164</v>
          </cell>
          <cell r="D1822" t="str">
            <v>PVN-001618</v>
          </cell>
          <cell r="E1822" t="str">
            <v>OrthoLite Ultra-Nike GREY/17-1501TPX 0.085D 25+/-4 Asker C 1.1M 2M 4mm</v>
          </cell>
          <cell r="F1822">
            <v>15</v>
          </cell>
        </row>
        <row r="1823">
          <cell r="B1823" t="str">
            <v>F-2026-01-244</v>
          </cell>
          <cell r="C1823" t="str">
            <v>BDB-000362</v>
          </cell>
          <cell r="D1823" t="str">
            <v>PVN-004259</v>
          </cell>
          <cell r="E1823" t="str">
            <v>OrthoLite X-60-Hybrid SEEDPEARL/12-0703TPX Hybrid Flat Sheet 0.19D 28+/-4 Asker C 1.1M 1.7M 12mm</v>
          </cell>
          <cell r="F1823">
            <v>64</v>
          </cell>
        </row>
        <row r="1824">
          <cell r="B1824" t="str">
            <v>F-2026-03-162</v>
          </cell>
          <cell r="C1824" t="str">
            <v>BDB-000336</v>
          </cell>
          <cell r="D1824" t="str">
            <v>PVN-004168</v>
          </cell>
          <cell r="E1824" t="str">
            <v>OrthoLite X-40-Nike SEEDPEARL/12-0703TPX Flat Sheet 0.16D 35+/-4 Asker C 1.1M 2M 4.5mm</v>
          </cell>
          <cell r="F1824">
            <v>2</v>
          </cell>
        </row>
        <row r="1825">
          <cell r="B1825" t="str">
            <v>F-2026-03-49</v>
          </cell>
          <cell r="C1825" t="str">
            <v>BDB-000188</v>
          </cell>
          <cell r="D1825" t="str">
            <v>PVN-003479</v>
          </cell>
          <cell r="E1825" t="str">
            <v>OrthoLite Ultra-Hybrid SEEDPEARL/12-0703TPX Hybrid Flat Sheet 0.085D 25+/-4 Asker C 1.1M 1.47M 4mm</v>
          </cell>
          <cell r="F1825">
            <v>20</v>
          </cell>
        </row>
        <row r="1826">
          <cell r="B1826" t="str">
            <v>F-2026-03-43</v>
          </cell>
          <cell r="C1826" t="str">
            <v>BDB-000067</v>
          </cell>
          <cell r="D1826" t="str">
            <v>PVN-003691</v>
          </cell>
          <cell r="E1826" t="str">
            <v>OrthoLite Ultra SEEDPEARL/12-0703TPX Flat Sheet 0.085D 25+/-4 Asker C 1.1M 2M 5.2mm</v>
          </cell>
          <cell r="F1826">
            <v>3</v>
          </cell>
        </row>
        <row r="1827">
          <cell r="B1827" t="str">
            <v>F-2026-01-423-2</v>
          </cell>
          <cell r="C1827" t="str">
            <v>BDB-000175</v>
          </cell>
          <cell r="D1827" t="str">
            <v>PVN-002966</v>
          </cell>
          <cell r="E1827" t="str">
            <v>OrthoLite Ultra-Hybrid-Nike SEEDPEARL/12-0703TPX Hybrid 0.085D 25+/-4 Asker C 1.1M 2M 4mm</v>
          </cell>
          <cell r="F1827">
            <v>38</v>
          </cell>
        </row>
        <row r="1828">
          <cell r="B1828" t="str">
            <v>F-2026-02-344</v>
          </cell>
          <cell r="C1828" t="str">
            <v>BDB-000217</v>
          </cell>
          <cell r="D1828" t="str">
            <v>PVN-003483</v>
          </cell>
          <cell r="E1828" t="str">
            <v>OrthoLite X-40-Hybrid SEEDPEARL/12-0703TPX Hybrid Flat Sheet 0.16D 35+/-4 Asker C 1.1M 1.7M 12mm</v>
          </cell>
          <cell r="F1828">
            <v>7</v>
          </cell>
        </row>
        <row r="1829">
          <cell r="B1829" t="str">
            <v>F-2026-01-235</v>
          </cell>
          <cell r="C1829" t="str">
            <v>BDB-000217</v>
          </cell>
          <cell r="D1829" t="str">
            <v>PVN-003539</v>
          </cell>
          <cell r="E1829" t="str">
            <v>OrthoLite X-40-Hybrid SEEDPEARL/12-0703TPX Hybrid Flat Sheet 0.16D 35+/-4 Asker C 1.1M 1.7M 6.2mm</v>
          </cell>
          <cell r="F1829">
            <v>46</v>
          </cell>
        </row>
        <row r="1830">
          <cell r="B1830" t="str">
            <v>F-2026-01-437</v>
          </cell>
          <cell r="C1830" t="str">
            <v>BDB-000157</v>
          </cell>
          <cell r="D1830" t="str">
            <v>PVN-003573</v>
          </cell>
          <cell r="E1830" t="str">
            <v>OrthoLite X-35-Hybrid-Nike SEEDPEARL/12-0703TPX Hybrid 0.145D 25+/-4 Asker C 1.1M 2M 4.2mm</v>
          </cell>
          <cell r="F1830">
            <v>91</v>
          </cell>
        </row>
        <row r="1831">
          <cell r="B1831" t="str">
            <v>F-2026-02-272</v>
          </cell>
          <cell r="C1831" t="str">
            <v>BDB-000157</v>
          </cell>
          <cell r="D1831" t="str">
            <v>PVN-003244</v>
          </cell>
          <cell r="E1831" t="str">
            <v>OrthoLite X-35-Hybrid-Nike SEEDPEARL/12-0703TPX Hybrid Flat Sheet 0.145D 25+/-4 Asker C 1.1M 2M 5.2mm</v>
          </cell>
          <cell r="F1831">
            <v>15</v>
          </cell>
        </row>
        <row r="1832">
          <cell r="B1832" t="str">
            <v>F-2026-02-272</v>
          </cell>
          <cell r="C1832" t="str">
            <v>BDB-000157</v>
          </cell>
          <cell r="D1832" t="str">
            <v>PVN-003244</v>
          </cell>
          <cell r="E1832" t="str">
            <v>OrthoLite X-35-Hybrid-Nike SEEDPEARL/12-0703TPX Hybrid Flat Sheet 0.145D 25+/-4 Asker C 1.1M 2M 5.2mm</v>
          </cell>
          <cell r="F1832">
            <v>1</v>
          </cell>
        </row>
        <row r="1833">
          <cell r="B1833" t="str">
            <v>F-2026-01-494</v>
          </cell>
          <cell r="C1833" t="str">
            <v>BDB-000113</v>
          </cell>
          <cell r="D1833" t="str">
            <v>PVN-002465</v>
          </cell>
          <cell r="E1833" t="str">
            <v>OrthoLite Regular-Hybrid SEEDPEARL/12-0703TPX Hybrid Flat Sheet 0.11D 25+/-4 Asker C 1.1M 2M 5mm</v>
          </cell>
          <cell r="F1833">
            <v>108</v>
          </cell>
        </row>
        <row r="1834">
          <cell r="B1834" t="str">
            <v>F-2026-03-175</v>
          </cell>
          <cell r="C1834" t="str">
            <v>BDB-000217</v>
          </cell>
          <cell r="D1834" t="str">
            <v>PVN-003733</v>
          </cell>
          <cell r="E1834" t="str">
            <v>OrthoLite X-40-Hybrid SEEDPEARL/12-0703TPX Hybrid Flat Sheet 0.16D 35+/-4 Asker C 1.1M 1.7M 12.5mm</v>
          </cell>
          <cell r="F1834">
            <v>1</v>
          </cell>
        </row>
        <row r="1835">
          <cell r="B1835" t="str">
            <v>F-2026-02-325</v>
          </cell>
          <cell r="C1835" t="str">
            <v>BDB-000123</v>
          </cell>
          <cell r="D1835" t="str">
            <v>PVN-002539</v>
          </cell>
          <cell r="E1835" t="str">
            <v>OrthoLite Ultra-Hybrid SEEDPEARL/12-0703TPX Hybrid Flat Sheet 0.085D 25+/-4 Asker C 1.1M 2M 5mm</v>
          </cell>
          <cell r="F1835">
            <v>36</v>
          </cell>
        </row>
        <row r="1836">
          <cell r="B1836" t="str">
            <v>F-2026-02-227</v>
          </cell>
          <cell r="C1836" t="str">
            <v>BDB-000123</v>
          </cell>
          <cell r="D1836" t="str">
            <v>PVN-003299</v>
          </cell>
          <cell r="E1836" t="str">
            <v>OrthoLite Ultra-Hybrid SEEDPEARL/12-0703TPX Hybrid 0.085D 25+/-4 Asker C 1.1M 2M 3mm</v>
          </cell>
          <cell r="F1836">
            <v>153</v>
          </cell>
        </row>
        <row r="1837">
          <cell r="B1837" t="str">
            <v>F-2026-03-25</v>
          </cell>
          <cell r="C1837" t="str">
            <v>BDB-000123</v>
          </cell>
          <cell r="D1837" t="str">
            <v>PVN-003300</v>
          </cell>
          <cell r="E1837" t="str">
            <v>OrthoLite Ultra-Hybrid SEEDPEARL/12-0703TPX Hybrid Flat Sheet 0.085D 25+/-4 Asker C 1.1M 2M 2mm</v>
          </cell>
          <cell r="F1837">
            <v>2</v>
          </cell>
        </row>
        <row r="1838">
          <cell r="B1838" t="str">
            <v>F-2026-03-113</v>
          </cell>
          <cell r="C1838" t="str">
            <v>BDB-000113</v>
          </cell>
          <cell r="D1838" t="str">
            <v>PVN-002699</v>
          </cell>
          <cell r="E1838" t="str">
            <v>OrthoLite Regular-Hybrid SEEDPEARL/12-0703TPX Hybrid Flat Sheet 0.11D 25+/-4 Asker C 1.1M 2M 4.5mm</v>
          </cell>
          <cell r="F1838">
            <v>8</v>
          </cell>
        </row>
        <row r="1839">
          <cell r="B1839" t="str">
            <v>F-2026-03-78</v>
          </cell>
          <cell r="C1839" t="str">
            <v>BDB-000113</v>
          </cell>
          <cell r="D1839" t="str">
            <v>PVN-002699</v>
          </cell>
          <cell r="E1839" t="str">
            <v>OrthoLite Regular-Hybrid SEEDPEARL/12-0703TPX Hybrid Flat Sheet 0.11D 25+/-4 Asker C 1.1M 2M 4.5mm</v>
          </cell>
          <cell r="F1839">
            <v>5</v>
          </cell>
        </row>
        <row r="1840">
          <cell r="B1840" t="str">
            <v>F-2026-02-359</v>
          </cell>
          <cell r="C1840" t="str">
            <v>BDB-000113</v>
          </cell>
          <cell r="D1840" t="str">
            <v>PVN-003796</v>
          </cell>
          <cell r="E1840" t="str">
            <v>OrthoLite Regular-Hybrid SEEDPEARL/12-0703TPX Hybrid Flat Sheet 0.11D 25+/-4 Asker C 1.1M 2M 3.5mm</v>
          </cell>
          <cell r="F1840">
            <v>3</v>
          </cell>
        </row>
        <row r="1841">
          <cell r="B1841" t="str">
            <v>F-2026-03-60</v>
          </cell>
          <cell r="C1841" t="str">
            <v>BDB-000113</v>
          </cell>
          <cell r="D1841" t="str">
            <v>PVN-003161</v>
          </cell>
          <cell r="E1841" t="str">
            <v>OrthoLite Regular-Hybrid SEEDPEARL/12-0703TPX Hybrid Flat Sheet 0.11D 25+/-4 Asker C 1.1M 2M 2.5mm</v>
          </cell>
          <cell r="F1841">
            <v>3</v>
          </cell>
        </row>
        <row r="1842">
          <cell r="B1842" t="str">
            <v>F-2026-01-510-1</v>
          </cell>
          <cell r="C1842" t="str">
            <v>BDB-000113</v>
          </cell>
          <cell r="D1842" t="str">
            <v>PVN-003414</v>
          </cell>
          <cell r="E1842" t="str">
            <v>OrthoLite Regular-Hybrid SEEDPEARL/12-0703TPX Hybrid Flat Sheet 0.11D 25+/-4 Asker C 1.1M 2M 12mm</v>
          </cell>
          <cell r="F1842">
            <v>144</v>
          </cell>
        </row>
        <row r="1843">
          <cell r="B1843" t="str">
            <v>F-2026-01-387</v>
          </cell>
          <cell r="C1843" t="str">
            <v>BDB-000161</v>
          </cell>
          <cell r="D1843" t="str">
            <v>PVN-001560</v>
          </cell>
          <cell r="E1843" t="str">
            <v>OrthoLite Ultra-Nike FOSSIL/17-0909TPX 0.085D 25+/-4 Asker C 1.1M 2M 4mm</v>
          </cell>
          <cell r="F1843">
            <v>32</v>
          </cell>
        </row>
        <row r="1844">
          <cell r="B1844" t="str">
            <v>F-2026-01-400</v>
          </cell>
          <cell r="C1844" t="str">
            <v>BDB-000162</v>
          </cell>
          <cell r="D1844" t="str">
            <v>PVN-001566</v>
          </cell>
          <cell r="E1844" t="str">
            <v>OrthoLite Ultra-Nike SEEDPEARL/12-0703TPX 0.085D 25+/-4 Asker C 1.1M 2M 4mm</v>
          </cell>
          <cell r="F1844">
            <v>72</v>
          </cell>
        </row>
        <row r="1845">
          <cell r="B1845" t="str">
            <v>F-2026-03-23</v>
          </cell>
          <cell r="C1845" t="str">
            <v>BDB-000058</v>
          </cell>
          <cell r="D1845" t="str">
            <v>PVN-001277</v>
          </cell>
          <cell r="E1845" t="str">
            <v>OrthoLite Ultra GREEN/16-5932TPX Flat Sheet 0.085D 25+/-4 Asker C 1.1M 2M 4mm</v>
          </cell>
          <cell r="F1845">
            <v>127</v>
          </cell>
        </row>
        <row r="1846">
          <cell r="B1846" t="str">
            <v>F-2026-03-23</v>
          </cell>
          <cell r="C1846" t="str">
            <v>BDB-000058</v>
          </cell>
          <cell r="D1846" t="str">
            <v>PVN-001277</v>
          </cell>
          <cell r="E1846" t="str">
            <v>OrthoLite Ultra GREEN/16-5932TPX Flat Sheet 0.085D 25+/-4 Asker C 1.1M 2M 4mm</v>
          </cell>
          <cell r="F1846">
            <v>21</v>
          </cell>
        </row>
        <row r="1847">
          <cell r="B1847" t="str">
            <v>F-2026-02-335</v>
          </cell>
          <cell r="C1847" t="str">
            <v>BDB-000212</v>
          </cell>
          <cell r="D1847" t="str">
            <v>PVN-003530</v>
          </cell>
          <cell r="E1847" t="str">
            <v>OrthoLite X-25-Hybrid SEEDPEARL/12-0703TPX Hybrid Flat Sheet 0.12D 20+/-4 Asker C 1.1M 2M 8.2mm</v>
          </cell>
          <cell r="F1847">
            <v>3</v>
          </cell>
        </row>
        <row r="1848">
          <cell r="B1848" t="str">
            <v>F-2026-01-510-1</v>
          </cell>
          <cell r="C1848" t="str">
            <v>BDB-000113</v>
          </cell>
          <cell r="D1848" t="str">
            <v>PVN-003414</v>
          </cell>
          <cell r="E1848" t="str">
            <v>OrthoLite Regular-Hybrid SEEDPEARL/12-0703TPX Hybrid Flat Sheet 0.11D 25+/-4 Asker C 1.1M 2M 12mm</v>
          </cell>
          <cell r="F1848">
            <v>12</v>
          </cell>
        </row>
        <row r="1849">
          <cell r="B1849" t="str">
            <v>F-2026-01-496</v>
          </cell>
          <cell r="C1849" t="str">
            <v>BDB-000113</v>
          </cell>
          <cell r="D1849" t="str">
            <v>PVN-002465</v>
          </cell>
          <cell r="E1849" t="str">
            <v>OrthoLite Regular-Hybrid SEEDPEARL/12-0703TPX Hybrid Flat Sheet 0.11D 25+/-4 Asker C 1.1M 2M 5mm</v>
          </cell>
          <cell r="F1849">
            <v>108</v>
          </cell>
        </row>
        <row r="1850">
          <cell r="B1850" t="str">
            <v>F-2026-01-496</v>
          </cell>
          <cell r="C1850" t="str">
            <v>BDB-000113</v>
          </cell>
          <cell r="D1850" t="str">
            <v>PVN-002465</v>
          </cell>
          <cell r="E1850" t="str">
            <v>OrthoLite Regular-Hybrid SEEDPEARL/12-0703TPX Hybrid Flat Sheet 0.11D 25+/-4 Asker C 1.1M 2M 5mm</v>
          </cell>
          <cell r="F1850">
            <v>8</v>
          </cell>
        </row>
        <row r="1851">
          <cell r="B1851" t="str">
            <v>F-2026-03-17</v>
          </cell>
          <cell r="C1851" t="str">
            <v>BDB-000373</v>
          </cell>
          <cell r="D1851" t="str">
            <v>PVN-004315</v>
          </cell>
          <cell r="E1851" t="str">
            <v>OrthoLite X-25-Nike BILLIARD/16-5427TPX Flat Sheet 0.12D 20+/-4 Asker C 1.1M 2M 5mm</v>
          </cell>
          <cell r="F1851">
            <v>6</v>
          </cell>
        </row>
        <row r="1852">
          <cell r="B1852" t="str">
            <v>F-2026-03-07</v>
          </cell>
          <cell r="C1852" t="str">
            <v>BDB-000008</v>
          </cell>
          <cell r="D1852" t="str">
            <v>PVN-000505</v>
          </cell>
          <cell r="E1852" t="str">
            <v>OrthoLite Regular LIME GREEN/14-0452TPX Flat Sheet 0.11D 25+/-4 Asker C 1.1M 2M 12mm</v>
          </cell>
          <cell r="F1852">
            <v>4</v>
          </cell>
        </row>
        <row r="1853">
          <cell r="B1853" t="str">
            <v>F-2026-03-84</v>
          </cell>
          <cell r="C1853" t="str">
            <v>BDB-000149</v>
          </cell>
          <cell r="D1853" t="str">
            <v>PVN-002773</v>
          </cell>
          <cell r="E1853" t="str">
            <v>OrthoLite Regular-Hybrid-Nike SEEDPEARL/12-0703TPX Hybrid Flat Sheet 0.11D 25+/-4 Asker C 1.1M 2M 4mm</v>
          </cell>
          <cell r="F1853">
            <v>3</v>
          </cell>
        </row>
        <row r="1854">
          <cell r="B1854" t="str">
            <v>F-2026-03-121</v>
          </cell>
          <cell r="C1854" t="str">
            <v>BDB-000317</v>
          </cell>
          <cell r="D1854" t="str">
            <v>PVN-004076</v>
          </cell>
          <cell r="E1854" t="str">
            <v>OrthoLite Regular NEUTRAL GRAY/17-4402TPX Flat Sheet 0.13D 15+/-4 Asker C 1.1M 2M 24mm</v>
          </cell>
          <cell r="F1854">
            <v>8</v>
          </cell>
        </row>
        <row r="1855">
          <cell r="B1855" t="str">
            <v>F-2026-03-88</v>
          </cell>
          <cell r="C1855" t="str">
            <v>BDB-000317</v>
          </cell>
          <cell r="D1855" t="str">
            <v>PVN-004076</v>
          </cell>
          <cell r="E1855" t="str">
            <v>OrthoLite Regular NEUTRAL GRAY/17-4402TPX Flat Sheet 0.13D 15+/-4 Asker C 1.1M 2M 24mm</v>
          </cell>
          <cell r="F1855">
            <v>12</v>
          </cell>
        </row>
        <row r="1856">
          <cell r="B1856" t="str">
            <v>F-2026-03-68</v>
          </cell>
          <cell r="C1856" t="str">
            <v>BDB-000339</v>
          </cell>
          <cell r="D1856" t="str">
            <v>PVN-004178</v>
          </cell>
          <cell r="E1856" t="str">
            <v>OrthoLite Float NEUTRAL GRAY/17-4402TPX Flat Sheet 0.12D 21+/-4 Asker C 1.1M 2M 5.5mm</v>
          </cell>
          <cell r="F1856">
            <v>23</v>
          </cell>
        </row>
        <row r="1857">
          <cell r="B1857" t="str">
            <v>F-2026-03-05</v>
          </cell>
          <cell r="C1857" t="str">
            <v>BDB-000339</v>
          </cell>
          <cell r="D1857" t="str">
            <v>PVN-004178</v>
          </cell>
          <cell r="E1857" t="str">
            <v>OrthoLite Float NEUTRAL GRAY/17-4402TPX Flat Sheet 0.12D 21+/-4 Asker C 1.1M 2M 5.5mm</v>
          </cell>
          <cell r="F1857">
            <v>2</v>
          </cell>
        </row>
        <row r="1858">
          <cell r="B1858" t="str">
            <v>F-2026-03-87</v>
          </cell>
          <cell r="C1858" t="str">
            <v>BDB-000145</v>
          </cell>
          <cell r="D1858" t="str">
            <v>PVN-002811</v>
          </cell>
          <cell r="E1858" t="str">
            <v>OrthoLite Regular-Hybrid-Nike YELLOW/13-0858TPX Hybrid Flat Sheet 0.11D 25+/-4 Asker C 1.1M 1.7M 2mm</v>
          </cell>
          <cell r="F1858">
            <v>10</v>
          </cell>
        </row>
        <row r="1859">
          <cell r="B1859" t="str">
            <v>F-2026-03-66</v>
          </cell>
          <cell r="C1859" t="str">
            <v>BDB-000212</v>
          </cell>
          <cell r="D1859" t="str">
            <v>PVN-003460</v>
          </cell>
          <cell r="E1859" t="str">
            <v>OrthoLite X-25-Hybrid SEEDPEARL/12-0703TPX Hybrid Flat Sheet 0.12D 20+/-4 Asker C 1.1M 2M 5.5mm</v>
          </cell>
          <cell r="F1859">
            <v>8</v>
          </cell>
        </row>
        <row r="1860">
          <cell r="B1860" t="str">
            <v>F-2026-03-47</v>
          </cell>
          <cell r="C1860" t="str">
            <v>BDB-000212</v>
          </cell>
          <cell r="D1860" t="str">
            <v>PVN-004002</v>
          </cell>
          <cell r="E1860" t="str">
            <v>OrthoLite X-25-Hybrid SEEDPEARL/12-0703TPX Hybrid Flat Sheet 0.12D 20+/-4 Asker C 1.1M 2M 14mm</v>
          </cell>
          <cell r="F1860">
            <v>13</v>
          </cell>
        </row>
        <row r="1861">
          <cell r="B1861" t="str">
            <v>F-2026-03-35</v>
          </cell>
          <cell r="C1861" t="str">
            <v>BDB-000008</v>
          </cell>
          <cell r="D1861" t="str">
            <v>PVN-000505</v>
          </cell>
          <cell r="E1861" t="str">
            <v>OrthoLite Regular LIME GREEN/14-0452TPX Flat Sheet 0.11D 25+/-4 Asker C 1.1M 2M 12mm</v>
          </cell>
          <cell r="F1861">
            <v>57</v>
          </cell>
        </row>
        <row r="1862">
          <cell r="B1862" t="str">
            <v>F-2026-03-52</v>
          </cell>
          <cell r="C1862" t="str">
            <v>BDB-000200</v>
          </cell>
          <cell r="D1862" t="str">
            <v>PVN-003425</v>
          </cell>
          <cell r="E1862" t="str">
            <v>OrthoLite Ultra SEEDPEARL/12-0703TPX Flat Sheet 0.085D 78-90 Asker F 1.1M 2M 4mm</v>
          </cell>
          <cell r="F1862">
            <v>18</v>
          </cell>
        </row>
        <row r="1863">
          <cell r="B1863" t="str">
            <v>F-2026-03-100</v>
          </cell>
          <cell r="C1863" t="str">
            <v>BDB-000305</v>
          </cell>
          <cell r="D1863" t="str">
            <v>PVN-004000</v>
          </cell>
          <cell r="E1863" t="str">
            <v>OrthoLite X-35-Nike YELLOW/13-0858TPX Flat Sheet 0.145D 25+/-4 Asker C 1.1M 2M 5.5mm</v>
          </cell>
          <cell r="F1863">
            <v>4</v>
          </cell>
        </row>
        <row r="1864">
          <cell r="B1864" t="str">
            <v>F-2026-02-159</v>
          </cell>
          <cell r="C1864" t="str">
            <v>BDB-000077</v>
          </cell>
          <cell r="D1864" t="str">
            <v>PVN-004147</v>
          </cell>
          <cell r="E1864" t="str">
            <v>OrthoLite X-25 SEEDPEARL/12-0703TPX Flat Sheet 0.12D 20+/-4 Asker C 1.1M 2M 5.5mm</v>
          </cell>
          <cell r="F1864">
            <v>23</v>
          </cell>
        </row>
        <row r="1865">
          <cell r="B1865" t="str">
            <v>F-2025-12-408</v>
          </cell>
          <cell r="C1865" t="str">
            <v>BDB-000163</v>
          </cell>
          <cell r="D1865" t="str">
            <v>PVN-001556</v>
          </cell>
          <cell r="E1865" t="str">
            <v>OrthoLite Ultra-Nike YELLOW/13-0858TPX 0.085D 25+/-4 Asker C 1.1M 2M 4mm</v>
          </cell>
          <cell r="F1865">
            <v>33</v>
          </cell>
        </row>
        <row r="1866">
          <cell r="B1866" t="str">
            <v>F-2026-03-82</v>
          </cell>
          <cell r="C1866" t="str">
            <v>BDB-000125</v>
          </cell>
          <cell r="D1866" t="str">
            <v>PVN-001579</v>
          </cell>
          <cell r="E1866" t="str">
            <v>OrthoLite Regular-Nike AIR BLUE/16-4134TPX Flat Sheet 0.11D 25+/-4 Asker C 1.1M 2M 4mm</v>
          </cell>
          <cell r="F1866">
            <v>5</v>
          </cell>
        </row>
        <row r="1867">
          <cell r="B1867" t="str">
            <v>F-2026-03-29</v>
          </cell>
          <cell r="C1867" t="str">
            <v>BDB-000118</v>
          </cell>
          <cell r="D1867" t="str">
            <v>PVN-004001</v>
          </cell>
          <cell r="E1867" t="str">
            <v>OrthoLite X-40-Hybrid SEEDPEARL/12-0703TPX Hybrid Flat Sheet 0.16D 25+/-4 Asker C 1.1M 1.7M 3mm</v>
          </cell>
          <cell r="F1867">
            <v>2</v>
          </cell>
        </row>
        <row r="1868">
          <cell r="B1868" t="str">
            <v>F-2026-03-27</v>
          </cell>
          <cell r="C1868" t="str">
            <v>BDB-000077</v>
          </cell>
          <cell r="D1868" t="str">
            <v>PVN-003513</v>
          </cell>
          <cell r="E1868" t="str">
            <v>OrthoLite X-25 SEEDPEARL/12-0703TPX Flat Sheet 0.12D 20+/-4 Asker C 1.1M 2M 2mm</v>
          </cell>
          <cell r="F1868">
            <v>2</v>
          </cell>
        </row>
        <row r="1869">
          <cell r="B1869" t="str">
            <v>F-2026-02-182-1</v>
          </cell>
          <cell r="C1869" t="str">
            <v>BDB-000077</v>
          </cell>
          <cell r="D1869" t="str">
            <v>PVN-004147</v>
          </cell>
          <cell r="E1869" t="str">
            <v>OrthoLite X-25 SEEDPEARL/12-0703TPX Flat Sheet 0.12D 20+/-4 Asker C 1.1M 2M 5.5mm</v>
          </cell>
          <cell r="F1869">
            <v>20</v>
          </cell>
        </row>
        <row r="1870">
          <cell r="B1870" t="str">
            <v>F-2026-03-38</v>
          </cell>
          <cell r="C1870" t="str">
            <v>BDB-000235</v>
          </cell>
          <cell r="D1870" t="str">
            <v>PVN-003577</v>
          </cell>
          <cell r="E1870" t="str">
            <v>OrthoLite X-55-Hybrid FOSSIL/17-0909TPX Hybrid Flat Sheet 0.16D 25+/-4 Asker C 1.1M 1.7M 10mm</v>
          </cell>
          <cell r="F1870">
            <v>1</v>
          </cell>
        </row>
        <row r="1871">
          <cell r="B1871" t="str">
            <v>F-2026-01-497</v>
          </cell>
          <cell r="C1871" t="str">
            <v>BDB-000113</v>
          </cell>
          <cell r="D1871" t="str">
            <v>PVN-002465</v>
          </cell>
          <cell r="E1871" t="str">
            <v>OrthoLite Regular-Hybrid SEEDPEARL/12-0703TPX Hybrid Flat Sheet 0.11D 25+/-4 Asker C 1.1M 2M 5mm</v>
          </cell>
          <cell r="F1871">
            <v>45</v>
          </cell>
        </row>
        <row r="1872">
          <cell r="B1872" t="str">
            <v>F-2026-03-178</v>
          </cell>
          <cell r="C1872" t="str">
            <v>BDB-000340</v>
          </cell>
          <cell r="D1872" t="str">
            <v>PVN-004177</v>
          </cell>
          <cell r="E1872" t="str">
            <v>OrthoLite Float SEEDPEARL/12-0703TPX Flat Sheet 0.12D 21+/-4 Asker C 1.1M 2M 5.5mm</v>
          </cell>
          <cell r="F1872">
            <v>4</v>
          </cell>
        </row>
        <row r="1873">
          <cell r="B1873" t="str">
            <v>F-2026-03-85</v>
          </cell>
          <cell r="C1873" t="str">
            <v>BDB-000156</v>
          </cell>
          <cell r="D1873" t="str">
            <v>PVN-003243</v>
          </cell>
          <cell r="E1873" t="str">
            <v>OrthoLite X-35-Hybrid-Nike AMAZON/18-6024TPX Hybrid Flat Sheet 0.145D 25+/-4 Asker C 1.1M 2M 5.2mm</v>
          </cell>
          <cell r="F1873">
            <v>36</v>
          </cell>
        </row>
        <row r="1874">
          <cell r="B1874" t="str">
            <v>F-2026-03-42</v>
          </cell>
          <cell r="C1874" t="str">
            <v>BDB-000076</v>
          </cell>
          <cell r="D1874" t="str">
            <v>PVN-004091</v>
          </cell>
          <cell r="E1874" t="str">
            <v>OrthoLite X-25 BILLIARD/16-5427TPX Flat Sheet 0.12D 20+/-4 Asker C 1.1M 2M 3.5mm</v>
          </cell>
          <cell r="F1874">
            <v>4</v>
          </cell>
        </row>
        <row r="1875">
          <cell r="B1875" t="str">
            <v>F-2026-02-358</v>
          </cell>
          <cell r="C1875" t="str">
            <v>BDB-000076</v>
          </cell>
          <cell r="D1875" t="str">
            <v>PVN-003494</v>
          </cell>
          <cell r="E1875" t="str">
            <v>OrthoLite X-25 BILLIARD/16-5427TPX Flat Sheet 0.12D 20+/-4 Asker C 1.1M 2M 5.5mm</v>
          </cell>
          <cell r="F1875">
            <v>4</v>
          </cell>
        </row>
        <row r="1876">
          <cell r="B1876" t="str">
            <v>F-2026-02-360</v>
          </cell>
          <cell r="C1876" t="str">
            <v>BDB-000076</v>
          </cell>
          <cell r="D1876" t="str">
            <v>PVN-004091</v>
          </cell>
          <cell r="E1876" t="str">
            <v>OrthoLite X-25 BILLIARD/16-5427TPX Flat Sheet 0.12D 20+/-4 Asker C 1.1M 2M 3.5mm</v>
          </cell>
          <cell r="F1876">
            <v>4</v>
          </cell>
        </row>
        <row r="1877">
          <cell r="B1877" t="str">
            <v>F-2026-03-118</v>
          </cell>
          <cell r="C1877" t="str">
            <v>BDB-000332</v>
          </cell>
          <cell r="D1877" t="str">
            <v>PVN-004146</v>
          </cell>
          <cell r="E1877" t="str">
            <v>OrthoLite X-25 CASTLEROCK/18-0201TPX Flat Sheet 0.12D 20+/-4 Asker C 1.1M 2M 5.5mm</v>
          </cell>
          <cell r="F1877">
            <v>22</v>
          </cell>
        </row>
        <row r="1878">
          <cell r="B1878" t="str">
            <v>F-2026-02-356</v>
          </cell>
          <cell r="C1878" t="str">
            <v>BDB-000332</v>
          </cell>
          <cell r="D1878" t="str">
            <v>PVN-004146</v>
          </cell>
          <cell r="E1878" t="str">
            <v>OrthoLite X-25 CASTLEROCK/18-0201TPX Flat Sheet 0.12D 20+/-4 Asker C 1.1M 2M 5.5mm</v>
          </cell>
          <cell r="F1878">
            <v>1</v>
          </cell>
        </row>
        <row r="1879">
          <cell r="B1879" t="str">
            <v>F-2026-03-147</v>
          </cell>
          <cell r="C1879" t="str">
            <v>BDB-000107</v>
          </cell>
          <cell r="D1879" t="str">
            <v>PVN-003482</v>
          </cell>
          <cell r="E1879" t="str">
            <v>OrthoLite Eco LT-Hybrid SEEDPEARL/12-0703TPX Hybrid Flat Sheet 0.11D 25+/-4 Asker C 1.1M 1.47M 4mm</v>
          </cell>
          <cell r="F1879">
            <v>6</v>
          </cell>
        </row>
        <row r="1880">
          <cell r="B1880" t="str">
            <v>F-2026-03-45</v>
          </cell>
          <cell r="C1880" t="str">
            <v>BDB-000107</v>
          </cell>
          <cell r="D1880" t="str">
            <v>PVN-003482</v>
          </cell>
          <cell r="E1880" t="str">
            <v>OrthoLite Eco LT-Hybrid SEEDPEARL/12-0703TPX Hybrid Flat Sheet 0.11D 25+/-4 Asker C 1.1M 1.47M 4mm</v>
          </cell>
          <cell r="F1880">
            <v>11</v>
          </cell>
        </row>
        <row r="1881">
          <cell r="B1881" t="str">
            <v>F-2026-03-20</v>
          </cell>
          <cell r="C1881" t="str">
            <v>BDB-000083</v>
          </cell>
          <cell r="D1881" t="str">
            <v>PVN-000930</v>
          </cell>
          <cell r="E1881" t="str">
            <v>OrthoLite Eco LT 300C(ADIDAS BLUEBIRD) Flat Sheet 0.11D 25+/-4 Asker C 1.1M 2M 3mm</v>
          </cell>
          <cell r="F1881">
            <v>13</v>
          </cell>
        </row>
        <row r="1882">
          <cell r="B1882" t="str">
            <v>F-2026-02-209</v>
          </cell>
          <cell r="C1882" t="str">
            <v>BDB-000083</v>
          </cell>
          <cell r="D1882" t="str">
            <v>PVN-000935</v>
          </cell>
          <cell r="E1882" t="str">
            <v>OrthoLite Eco LT 300C(ADIDAS BLUEBIRD) Flat Sheet 0.11D 25+/-4 Asker C 1.1M 2M 4mm</v>
          </cell>
          <cell r="F1882">
            <v>39</v>
          </cell>
        </row>
        <row r="1883">
          <cell r="B1883" t="str">
            <v>F-2026-02-308</v>
          </cell>
          <cell r="C1883" t="str">
            <v>BDB-000129</v>
          </cell>
          <cell r="D1883" t="str">
            <v>PVN-001550</v>
          </cell>
          <cell r="E1883" t="str">
            <v>OrthoLite Regular-Nike AIR BLUE/16-4134TPX 0.11D 25+/-4 Asker C 1.1M 1.7M 2mm</v>
          </cell>
          <cell r="F1883">
            <v>18</v>
          </cell>
        </row>
        <row r="1884">
          <cell r="B1884" t="str">
            <v>F-2026-01-385</v>
          </cell>
          <cell r="C1884" t="str">
            <v>BDB-000129</v>
          </cell>
          <cell r="D1884" t="str">
            <v>PVN-001550</v>
          </cell>
          <cell r="E1884" t="str">
            <v>OrthoLite Regular-Nike AIR BLUE/16-4134TPX 0.11D 25+/-4 Asker C 1.1M 1.7M 2mm</v>
          </cell>
          <cell r="F1884">
            <v>20</v>
          </cell>
        </row>
        <row r="1885">
          <cell r="B1885" t="str">
            <v>F-2026-03-41</v>
          </cell>
          <cell r="C1885" t="str">
            <v>BDB-000125</v>
          </cell>
          <cell r="D1885" t="str">
            <v>PVN-001579</v>
          </cell>
          <cell r="E1885" t="str">
            <v>OrthoLite Regular-Nike AIR BLUE/16-4134TPX Flat Sheet 0.11D 25+/-4 Asker C 1.1M 2M 4mm</v>
          </cell>
          <cell r="F1885">
            <v>10</v>
          </cell>
        </row>
        <row r="1886">
          <cell r="B1886" t="str">
            <v>F-2026-03-72</v>
          </cell>
          <cell r="C1886" t="str">
            <v>BDB-000125</v>
          </cell>
          <cell r="D1886" t="str">
            <v>PVN-002413</v>
          </cell>
          <cell r="E1886" t="str">
            <v>OrthoLite Regular-Nike AIR BLUE/16-4134TPX Flat Sheet 0.11D 25+/-4 Asker C 1.1M 2M 4.2mm</v>
          </cell>
          <cell r="F1886">
            <v>45</v>
          </cell>
        </row>
        <row r="1887">
          <cell r="B1887" t="str">
            <v>F-2026-01-516</v>
          </cell>
          <cell r="C1887" t="str">
            <v>BDB-000235</v>
          </cell>
          <cell r="D1887" t="str">
            <v>PVN-003576</v>
          </cell>
          <cell r="E1887" t="str">
            <v>OrthoLite X-55-Hybrid FOSSIL/17-0909TPX Hybrid Flat Sheet 0.16D 25+/-4 Asker C 1.1M 1.7M 12mm</v>
          </cell>
          <cell r="F1887">
            <v>218</v>
          </cell>
        </row>
        <row r="1888">
          <cell r="B1888" t="str">
            <v>F-2026-03-16</v>
          </cell>
          <cell r="C1888" t="str">
            <v>BDB-000107</v>
          </cell>
          <cell r="D1888" t="str">
            <v>PVN-003482</v>
          </cell>
          <cell r="E1888" t="str">
            <v>OrthoLite Eco LT-Hybrid SEEDPEARL/12-0703TPX Hybrid Flat Sheet 0.11D 25+/-4 Asker C 1.1M 1.47M 4mm</v>
          </cell>
          <cell r="F1888">
            <v>8</v>
          </cell>
        </row>
        <row r="1889">
          <cell r="B1889" t="str">
            <v>F-2025-12-408</v>
          </cell>
          <cell r="C1889" t="str">
            <v>BDB-000163</v>
          </cell>
          <cell r="D1889" t="str">
            <v>PVN-001556</v>
          </cell>
          <cell r="E1889" t="str">
            <v>OrthoLite Ultra-Nike YELLOW/13-0858TPX 0.085D 25+/-4 Asker C 1.1M 2M 4mm</v>
          </cell>
          <cell r="F1889">
            <v>10</v>
          </cell>
        </row>
        <row r="1890">
          <cell r="B1890" t="str">
            <v>F-2026-02-227</v>
          </cell>
          <cell r="C1890" t="str">
            <v>BDB-000123</v>
          </cell>
          <cell r="D1890" t="str">
            <v>PVN-003299</v>
          </cell>
          <cell r="E1890" t="str">
            <v>OrthoLite Ultra-Hybrid SEEDPEARL/12-0703TPX Hybrid 0.085D 25+/-4 Asker C 1.1M 2M 3mm</v>
          </cell>
          <cell r="F1890">
            <v>7</v>
          </cell>
        </row>
        <row r="1891">
          <cell r="B1891" t="str">
            <v>F-2026-02-350</v>
          </cell>
          <cell r="C1891" t="str">
            <v>BDB-000052</v>
          </cell>
          <cell r="D1891" t="str">
            <v>PVN-004308</v>
          </cell>
          <cell r="E1891" t="str">
            <v>OrthoLite X-40 TRUE BLUE/19-4057TPX Flat Sheet 0.16D 25+/-4 Asker C 1.1M 1.47M 3mm</v>
          </cell>
          <cell r="F1891">
            <v>2</v>
          </cell>
        </row>
        <row r="1892">
          <cell r="B1892" t="str">
            <v>F-2026-02-350</v>
          </cell>
          <cell r="C1892" t="str">
            <v>BDB-000052</v>
          </cell>
          <cell r="D1892" t="str">
            <v>PVN-004308</v>
          </cell>
          <cell r="E1892" t="str">
            <v>OrthoLite X-40 TRUE BLUE/19-4057TPX Flat Sheet 0.16D 25+/-4 Asker C 1.1M 1.47M 3mm</v>
          </cell>
          <cell r="F1892">
            <v>3</v>
          </cell>
        </row>
        <row r="1893">
          <cell r="B1893" t="str">
            <v>F-2026-02-345</v>
          </cell>
          <cell r="C1893" t="str">
            <v>BDB-000126</v>
          </cell>
          <cell r="D1893" t="str">
            <v>PVN-002325</v>
          </cell>
          <cell r="E1893" t="str">
            <v>OrthoLite Regular-Nike RED/19-1764TPX Flat Sheet 0.11D 25+/-4 Asker C 1.1M 2M 5.2mm</v>
          </cell>
          <cell r="F1893">
            <v>2</v>
          </cell>
        </row>
        <row r="1894">
          <cell r="B1894" t="str">
            <v>F-2026-03-119</v>
          </cell>
          <cell r="C1894" t="str">
            <v>BDB-000355</v>
          </cell>
          <cell r="D1894" t="str">
            <v>PVN-004231</v>
          </cell>
          <cell r="E1894" t="str">
            <v>OrthoLite HybridPlus-Recycled CASTLEROCK/18-0201TPX Hybrid Flat Sheet 0.12D 25+/-4 Asker C 1.1M 2M 4.5mm</v>
          </cell>
          <cell r="F1894">
            <v>11</v>
          </cell>
        </row>
        <row r="1895">
          <cell r="B1895" t="str">
            <v>F-2026-02-249</v>
          </cell>
          <cell r="C1895" t="str">
            <v>BDB-000348</v>
          </cell>
          <cell r="D1895" t="str">
            <v>PVN-004195</v>
          </cell>
          <cell r="E1895" t="str">
            <v>OrthoLite IMPERIAL SEEDPEARL/12-0703TPX Flat Sheet 0.22D 25+/-4 Asker C 1.1M 1.47M 4mm</v>
          </cell>
          <cell r="F1895">
            <v>9</v>
          </cell>
        </row>
        <row r="1896">
          <cell r="B1896" t="str">
            <v>F-2026-01-400</v>
          </cell>
          <cell r="C1896" t="str">
            <v>BDB-000162</v>
          </cell>
          <cell r="D1896" t="str">
            <v>PVN-001566</v>
          </cell>
          <cell r="E1896" t="str">
            <v>OrthoLite Ultra-Nike SEEDPEARL/12-0703TPX 0.085D 25+/-4 Asker C 1.1M 2M 4mm</v>
          </cell>
          <cell r="F1896">
            <v>3</v>
          </cell>
        </row>
        <row r="1897">
          <cell r="B1897" t="str">
            <v>F-2026-03-69</v>
          </cell>
          <cell r="C1897" t="str">
            <v>BDB-000055</v>
          </cell>
          <cell r="D1897" t="str">
            <v>PVN-004155</v>
          </cell>
          <cell r="E1897" t="str">
            <v>OrthoLite X-40 TRUE BLUE/19-4057TPX Flat Sheet 0.16D 35+/-4 Asker C 1.1M 1.7M 3.2mm</v>
          </cell>
          <cell r="F1897">
            <v>6</v>
          </cell>
        </row>
        <row r="1898">
          <cell r="B1898" t="str">
            <v>F-2026-03-89</v>
          </cell>
          <cell r="C1898" t="str">
            <v>BDB-000325</v>
          </cell>
          <cell r="D1898" t="str">
            <v>PVN-004115</v>
          </cell>
          <cell r="E1898" t="str">
            <v>OrthoLite X-40 TRUE BLUE/19-4057TPX Flat Sheet 0.16D 35+/-4 Asker C 1.1M 2M 4mm</v>
          </cell>
          <cell r="F1898">
            <v>3</v>
          </cell>
        </row>
        <row r="1899">
          <cell r="B1899" t="str">
            <v>F-2026-03-122</v>
          </cell>
          <cell r="C1899" t="str">
            <v>BDB-000325</v>
          </cell>
          <cell r="D1899" t="str">
            <v>PVN-004115</v>
          </cell>
          <cell r="E1899" t="str">
            <v>OrthoLite X-40 TRUE BLUE/19-4057TPX Flat Sheet 0.16D 35+/-4 Asker C 1.1M 2M 4mm</v>
          </cell>
          <cell r="F1899">
            <v>2</v>
          </cell>
        </row>
        <row r="1900">
          <cell r="B1900" t="str">
            <v>F-2026-03-36</v>
          </cell>
          <cell r="C1900" t="str">
            <v>BDB-000011</v>
          </cell>
          <cell r="D1900" t="str">
            <v>PVN-000121</v>
          </cell>
          <cell r="E1900" t="str">
            <v>OrthoLite Regular AIR BLUE/16-4134TPX Flat Sheet 0.13D 35+/-4 Asker C 1.1M 2M 12mm</v>
          </cell>
          <cell r="F1900">
            <v>46</v>
          </cell>
        </row>
        <row r="1901">
          <cell r="B1901" t="str">
            <v>F-2026-03-203</v>
          </cell>
          <cell r="C1901" t="str">
            <v>BDB-000212</v>
          </cell>
          <cell r="D1901" t="str">
            <v>PVN-003460</v>
          </cell>
          <cell r="E1901" t="str">
            <v>OrthoLite X-25-Hybrid SEEDPEARL/12-0703TPX Hybrid Flat Sheet 0.12D 20+/-4 Asker C 1.1M 2M 5.5mm</v>
          </cell>
          <cell r="F1901">
            <v>1</v>
          </cell>
        </row>
        <row r="1902">
          <cell r="B1902" t="str">
            <v>F-2026-03-164</v>
          </cell>
          <cell r="C1902" t="str">
            <v>BDB-000212</v>
          </cell>
          <cell r="D1902" t="str">
            <v>PVN-003460</v>
          </cell>
          <cell r="E1902" t="str">
            <v>OrthoLite X-25-Hybrid SEEDPEARL/12-0703TPX Hybrid Flat Sheet 0.12D 20+/-4 Asker C 1.1M 2M 5.5mm</v>
          </cell>
          <cell r="F1902">
            <v>3</v>
          </cell>
        </row>
        <row r="1903">
          <cell r="B1903" t="str">
            <v>F-2026-03-131</v>
          </cell>
          <cell r="C1903" t="str">
            <v>BDB-000212</v>
          </cell>
          <cell r="D1903" t="str">
            <v>PVN-003530</v>
          </cell>
          <cell r="E1903" t="str">
            <v>OrthoLite X-25-Hybrid SEEDPEARL/12-0703TPX Hybrid Flat Sheet 0.12D 20+/-4 Asker C 1.1M 2M 8.2mm</v>
          </cell>
          <cell r="F1903">
            <v>4</v>
          </cell>
        </row>
        <row r="1904">
          <cell r="B1904" t="str">
            <v>F-2026-03-177</v>
          </cell>
          <cell r="C1904" t="str">
            <v>BDB-000212</v>
          </cell>
          <cell r="D1904" t="str">
            <v>PVN-003458</v>
          </cell>
          <cell r="E1904" t="str">
            <v>OrthoLite X-25-Hybrid SEEDPEARL/12-0703TPX Hybrid Flat Sheet 0.12D 20+/-4 Asker C 1.1M 2M 4mm</v>
          </cell>
          <cell r="F1904">
            <v>3</v>
          </cell>
        </row>
        <row r="1905">
          <cell r="B1905" t="str">
            <v>OIN-2026.02.28-03</v>
          </cell>
          <cell r="C1905" t="str">
            <v>BDB-000059</v>
          </cell>
          <cell r="D1905">
            <v>0</v>
          </cell>
          <cell r="E1905" t="str">
            <v>[116-15587] Ultra 25+/-4 Asker C 0.085D Red 19-1764 Tpx 1.10M X 2.00M 47mm</v>
          </cell>
          <cell r="F1905">
            <v>70</v>
          </cell>
        </row>
        <row r="1906">
          <cell r="B1906" t="str">
            <v>F-2026-03-28</v>
          </cell>
          <cell r="C1906" t="str">
            <v>BDB-000194</v>
          </cell>
          <cell r="D1906" t="str">
            <v>PVN-003967</v>
          </cell>
          <cell r="E1906" t="str">
            <v>OrthoLite Ultra-Hybrid SEEDPEARL/12-0703TPX Hybrid Flat Sheet 0.085D 15+/-4 Asker C 1.1M 2M 3mm</v>
          </cell>
          <cell r="F1906">
            <v>2</v>
          </cell>
        </row>
        <row r="1907">
          <cell r="B1907" t="str">
            <v>F-2026-03-30</v>
          </cell>
          <cell r="C1907" t="str">
            <v>BDB-000054</v>
          </cell>
          <cell r="D1907" t="str">
            <v>PVN-003895</v>
          </cell>
          <cell r="E1907" t="str">
            <v>OrthoLite X-40 RED/19-1764TPX Flat Sheet 0.16D 25+/-4 Asker C 1.1M 1.7M 5mm</v>
          </cell>
          <cell r="F1907">
            <v>7</v>
          </cell>
        </row>
        <row r="1908">
          <cell r="B1908" t="str">
            <v>F-2026-03-218</v>
          </cell>
          <cell r="C1908" t="str">
            <v>BDB-000313</v>
          </cell>
          <cell r="D1908" t="str">
            <v>PVN-004061</v>
          </cell>
          <cell r="E1908" t="str">
            <v>OrthoLite X-55 RED/19-1764TPX Flat Sheet 0.16D 25+/-4 Asker C 1.1M 1.47M 18mm</v>
          </cell>
          <cell r="F1908">
            <v>30</v>
          </cell>
        </row>
        <row r="1909">
          <cell r="B1909" t="str">
            <v>F-2026-01-408</v>
          </cell>
          <cell r="C1909" t="str">
            <v>BDB-000164</v>
          </cell>
          <cell r="D1909" t="str">
            <v>PVN-001618</v>
          </cell>
          <cell r="E1909" t="str">
            <v>OrthoLite Ultra-Nike GREY/17-1501TPX 0.085D 25+/-4 Asker C 1.1M 2M 4mm</v>
          </cell>
          <cell r="F1909">
            <v>13</v>
          </cell>
        </row>
        <row r="1910">
          <cell r="B1910" t="str">
            <v>F-2026-01-392</v>
          </cell>
          <cell r="C1910" t="str">
            <v>BDB-000160</v>
          </cell>
          <cell r="D1910" t="str">
            <v>PVN-001562</v>
          </cell>
          <cell r="E1910" t="str">
            <v>OrthoLite Ultra-Nike LIME GREEN/14-0452TPX 0.085D 25+/-4 Asker C 1.1M 2M 4mm</v>
          </cell>
          <cell r="F1910">
            <v>70</v>
          </cell>
        </row>
        <row r="1911">
          <cell r="B1911" t="str">
            <v>F-2026-03-205</v>
          </cell>
          <cell r="C1911" t="str">
            <v>BDB-000117</v>
          </cell>
          <cell r="D1911" t="str">
            <v>PVN-003234</v>
          </cell>
          <cell r="E1911" t="str">
            <v>OrthoLite X-35-Hybrid SEEDPEARL/12-0703TPX Hybrid Flat Sheet 0.145D 25+/-4 Asker C 1.1M 2M 5.5mm</v>
          </cell>
          <cell r="F1911">
            <v>1</v>
          </cell>
        </row>
        <row r="1912">
          <cell r="B1912" t="str">
            <v>F-2026-03-176</v>
          </cell>
          <cell r="C1912" t="str">
            <v>BDB-000117</v>
          </cell>
          <cell r="D1912" t="str">
            <v>PVN-003148</v>
          </cell>
          <cell r="E1912" t="str">
            <v>OrthoLite X-35-Hybrid SEEDPEARL/12-0703TPX Hybrid Flat Sheet 0.145D 25+/-4 Asker C 1.1M 2M 4.5mm</v>
          </cell>
          <cell r="F1912">
            <v>9</v>
          </cell>
        </row>
        <row r="1913">
          <cell r="B1913" t="str">
            <v>F-2026-03-214</v>
          </cell>
          <cell r="C1913" t="str">
            <v>BDB-000076</v>
          </cell>
          <cell r="D1913" t="str">
            <v>PVN-003494</v>
          </cell>
          <cell r="E1913" t="str">
            <v>OrthoLite X-25 BILLIARD/16-5427TPX Flat Sheet 0.12D 20+/-4 Asker C 1.1M 2M 5.5mm</v>
          </cell>
          <cell r="F1913">
            <v>8</v>
          </cell>
        </row>
        <row r="1914">
          <cell r="B1914" t="str">
            <v>F-2026-02-244</v>
          </cell>
          <cell r="C1914" t="str">
            <v>BDB-000076</v>
          </cell>
          <cell r="D1914" t="str">
            <v>PVN-003448</v>
          </cell>
          <cell r="E1914" t="str">
            <v>OrthoLite X-25 BILLIARD/16-5427TPX 0.12D 20+/-4 Asker C 1.1M 2M 6.2mm</v>
          </cell>
          <cell r="F1914">
            <v>9</v>
          </cell>
        </row>
        <row r="1915">
          <cell r="B1915" t="str">
            <v>F-2026-03-48</v>
          </cell>
          <cell r="C1915" t="str">
            <v>BDB-000373</v>
          </cell>
          <cell r="D1915" t="str">
            <v>PVN-004315</v>
          </cell>
          <cell r="E1915" t="str">
            <v>OrthoLite X-25-Nike BILLIARD/16-5427TPX Flat Sheet 0.12D 20+/-4 Asker C 1.1M 2M 5mm</v>
          </cell>
          <cell r="F1915">
            <v>3</v>
          </cell>
        </row>
        <row r="1916">
          <cell r="B1916" t="str">
            <v>F-2026-02-180</v>
          </cell>
          <cell r="C1916" t="str">
            <v>BDB-000273</v>
          </cell>
          <cell r="D1916" t="str">
            <v>PVN-004138</v>
          </cell>
          <cell r="E1916" t="str">
            <v>OrthoLite X-40-Hybrid SEEDPEARL/12-0703TPX Hybrid Flat Sheet 0.16D 25+/-4 Asker C 1.1M 2M 5.5mm</v>
          </cell>
          <cell r="F1916">
            <v>40</v>
          </cell>
        </row>
        <row r="1917">
          <cell r="B1917" t="str">
            <v>OIN-2026.02.28-01</v>
          </cell>
          <cell r="C1917" t="str">
            <v>BDB-000058</v>
          </cell>
          <cell r="D1917" t="str">
            <v>PVN-003780</v>
          </cell>
          <cell r="E1917" t="str">
            <v>[116-361] Ultra 25+/-4 Asker C 0.085D Green 16-5932 Tpx 1.10M X 2.00M 47mm</v>
          </cell>
          <cell r="F1917">
            <v>9</v>
          </cell>
        </row>
        <row r="1918">
          <cell r="B1918" t="str">
            <v>OIN-2026.02.27-02</v>
          </cell>
          <cell r="C1918" t="str">
            <v>BDB-000058</v>
          </cell>
          <cell r="D1918" t="str">
            <v>PVN-003780</v>
          </cell>
          <cell r="E1918" t="str">
            <v>[116-361] Ultra 25+/-4 Asker C 0.085D Green 16-5932 Tpx 1.10M X 2.00M 47mm</v>
          </cell>
          <cell r="F1918">
            <v>4</v>
          </cell>
        </row>
        <row r="1919">
          <cell r="B1919" t="str">
            <v>F-2026-03-58</v>
          </cell>
          <cell r="C1919" t="str">
            <v>BDB-000056</v>
          </cell>
          <cell r="D1919" t="str">
            <v>PVN-001983</v>
          </cell>
          <cell r="E1919" t="str">
            <v>OrthoLite X-40 SEEDPEARL/12-0703TPX Flat Sheet 0.16D 25+/-4 Asker C 1.1M 1.7M 5mm</v>
          </cell>
          <cell r="F1919">
            <v>2</v>
          </cell>
        </row>
        <row r="1920">
          <cell r="B1920" t="str">
            <v>F-2026-03-85</v>
          </cell>
          <cell r="C1920" t="str">
            <v>BDB-000156</v>
          </cell>
          <cell r="D1920" t="str">
            <v>PVN-003243</v>
          </cell>
          <cell r="E1920" t="str">
            <v>OrthoLite X-35-Hybrid-Nike AMAZON/18-6024TPX Hybrid Flat Sheet 0.145D 25+/-4 Asker C 1.1M 2M 5.2mm</v>
          </cell>
          <cell r="F1920">
            <v>29</v>
          </cell>
        </row>
        <row r="1921">
          <cell r="B1921" t="str">
            <v>F-2026-02-281</v>
          </cell>
          <cell r="C1921" t="str">
            <v>BDB-000162</v>
          </cell>
          <cell r="D1921" t="str">
            <v>PVN-001566</v>
          </cell>
          <cell r="E1921" t="str">
            <v>OrthoLite Ultra-Nike SEEDPEARL/12-0703TPX 0.085D 25+/-4 Asker C 1.1M 2M 4mm</v>
          </cell>
          <cell r="F1921">
            <v>86</v>
          </cell>
        </row>
        <row r="1922">
          <cell r="B1922" t="str">
            <v>F-2026-03-50</v>
          </cell>
          <cell r="C1922" t="str">
            <v>BDB-000051</v>
          </cell>
          <cell r="D1922" t="str">
            <v>PVN-003328</v>
          </cell>
          <cell r="E1922" t="str">
            <v>OrthoLite X-40 TRUE BLUE/19-4057TPX Flat Sheet 0.16D 25+/-4 Asker C 1.1M 1.7M 5mm</v>
          </cell>
          <cell r="F1922">
            <v>1</v>
          </cell>
        </row>
        <row r="1923">
          <cell r="B1923" t="str">
            <v>F-2026-01-387</v>
          </cell>
          <cell r="C1923" t="str">
            <v>BDB-000161</v>
          </cell>
          <cell r="D1923" t="str">
            <v>PVN-001560</v>
          </cell>
          <cell r="E1923" t="str">
            <v>OrthoLite Ultra-Nike FOSSIL/17-0909TPX 0.085D 25+/-4 Asker C 1.1M 2M 4mm</v>
          </cell>
          <cell r="F1923">
            <v>2</v>
          </cell>
        </row>
        <row r="1924">
          <cell r="B1924" t="str">
            <v>F-2026-02-228</v>
          </cell>
          <cell r="C1924" t="str">
            <v>BDB-000123</v>
          </cell>
          <cell r="D1924" t="str">
            <v>PVN-003299</v>
          </cell>
          <cell r="E1924" t="str">
            <v>OrthoLite Ultra-Hybrid SEEDPEARL/12-0703TPX Hybrid 0.085D 25+/-4 Asker C 1.1M 2M 3mm</v>
          </cell>
          <cell r="F1924">
            <v>153</v>
          </cell>
        </row>
        <row r="1925">
          <cell r="B1925" t="str">
            <v>F-2026-02-175</v>
          </cell>
          <cell r="C1925" t="str">
            <v>BDB-000209</v>
          </cell>
          <cell r="D1925" t="str">
            <v>PVN-003537</v>
          </cell>
          <cell r="E1925" t="str">
            <v>OrthoLite HybridPlus-Recycled MINT GREEN/11-4805TPX Hybrid 0.12D 25+/-4 Asker C 1.1M 2M 4.5mm</v>
          </cell>
          <cell r="F1925">
            <v>17</v>
          </cell>
        </row>
        <row r="1926">
          <cell r="B1926" t="str">
            <v>F-2026-03-68</v>
          </cell>
          <cell r="C1926" t="str">
            <v>BDB-000339</v>
          </cell>
          <cell r="D1926" t="str">
            <v>PVN-004178</v>
          </cell>
          <cell r="E1926" t="str">
            <v>OrthoLite Float NEUTRAL GRAY/17-4402TPX Flat Sheet 0.12D 21+/-4 Asker C 1.1M 2M 5.5mm</v>
          </cell>
          <cell r="F1926">
            <v>1</v>
          </cell>
        </row>
        <row r="1927">
          <cell r="B1927" t="str">
            <v>F-2026-01-516</v>
          </cell>
          <cell r="C1927" t="str">
            <v>BDB-000235</v>
          </cell>
          <cell r="D1927" t="str">
            <v>PVN-003576</v>
          </cell>
          <cell r="E1927" t="str">
            <v>OrthoLite X-55-Hybrid FOSSIL/17-0909TPX Hybrid Flat Sheet 0.16D 25+/-4 Asker C 1.1M 1.7M 12mm</v>
          </cell>
          <cell r="F1927">
            <v>9</v>
          </cell>
        </row>
        <row r="1928">
          <cell r="B1928" t="str">
            <v>F-2026-03-211</v>
          </cell>
          <cell r="C1928" t="str">
            <v>BDB-000126</v>
          </cell>
          <cell r="D1928" t="str">
            <v>PVN-002325</v>
          </cell>
          <cell r="E1928" t="str">
            <v>OrthoLite Regular-Nike RED/19-1764TPX Flat Sheet 0.11D 25+/-4 Asker C 1.1M 2M 5.2mm</v>
          </cell>
          <cell r="F1928">
            <v>2</v>
          </cell>
        </row>
        <row r="1929">
          <cell r="B1929" t="str">
            <v>F-2026-03-61</v>
          </cell>
          <cell r="C1929" t="str">
            <v>BDB-000123</v>
          </cell>
          <cell r="D1929" t="str">
            <v>PVN-003300</v>
          </cell>
          <cell r="E1929" t="str">
            <v>OrthoLite Ultra-Hybrid SEEDPEARL/12-0703TPX Hybrid Flat Sheet 0.085D 25+/-4 Asker C 1.1M 2M 2mm</v>
          </cell>
          <cell r="F1929">
            <v>12</v>
          </cell>
        </row>
        <row r="1930">
          <cell r="B1930" t="str">
            <v>F-2026-01-497</v>
          </cell>
          <cell r="C1930" t="str">
            <v>BDB-000113</v>
          </cell>
          <cell r="D1930" t="str">
            <v>PVN-002465</v>
          </cell>
          <cell r="E1930" t="str">
            <v>OrthoLite Regular-Hybrid SEEDPEARL/12-0703TPX Hybrid Flat Sheet 0.11D 25+/-4 Asker C 1.1M 2M 5mm</v>
          </cell>
          <cell r="F1930">
            <v>63</v>
          </cell>
        </row>
        <row r="1931">
          <cell r="B1931" t="str">
            <v>S-2026-03-49</v>
          </cell>
          <cell r="C1931" t="str">
            <v>BDB-000162</v>
          </cell>
          <cell r="D1931" t="str">
            <v>PVN-001566</v>
          </cell>
          <cell r="E1931" t="str">
            <v>OrthoLite Ultra-Nike SEEDPEARL/12-0703TPX Flat Sheet 0.085D 25+/-4 Asker C 1.1M 2M 4mm</v>
          </cell>
          <cell r="F1931">
            <v>2</v>
          </cell>
        </row>
        <row r="1932">
          <cell r="B1932" t="str">
            <v>S-2026-03-23</v>
          </cell>
          <cell r="C1932" t="str">
            <v>BDB-000143</v>
          </cell>
          <cell r="D1932" t="str">
            <v>PVN-002066</v>
          </cell>
          <cell r="E1932" t="str">
            <v>OrthoLite Regular-Nike SEEDPEARL/12-0703TPX Flat Sheet 0.11D 25+/-4 Asker C 1.1M 1.7M 2mm</v>
          </cell>
          <cell r="F1932">
            <v>1</v>
          </cell>
        </row>
        <row r="1933">
          <cell r="B1933" t="str">
            <v>S-2026-03-69</v>
          </cell>
          <cell r="C1933" t="str">
            <v>BDB-000154</v>
          </cell>
          <cell r="D1933" t="str">
            <v>PVN-003362</v>
          </cell>
          <cell r="E1933" t="str">
            <v>OrthoLite X-40-Nike TRUE BLUE/19-4057TPX Flat Sheet 0.16D 35+/-4 Asker C 1.1M 1.7M 4.7mm</v>
          </cell>
          <cell r="F1933">
            <v>2</v>
          </cell>
        </row>
        <row r="1934">
          <cell r="B1934" t="str">
            <v>S-2026-03-54</v>
          </cell>
          <cell r="C1934" t="str">
            <v>BDB-000324</v>
          </cell>
          <cell r="D1934" t="str">
            <v>PVN-004129</v>
          </cell>
          <cell r="E1934" t="str">
            <v>OrthoLite X-40 TRUE BLUE/19-4057TPX Flat Sheet 0.16D 25+/-4 Asker C 1.1M 2M 5.5mm</v>
          </cell>
          <cell r="F1934">
            <v>3</v>
          </cell>
        </row>
        <row r="1935">
          <cell r="B1935" t="str">
            <v>S-2026-03-55</v>
          </cell>
          <cell r="C1935" t="str">
            <v>BDB-000318</v>
          </cell>
          <cell r="D1935" t="str">
            <v>PVN-004206</v>
          </cell>
          <cell r="E1935" t="str">
            <v>OrthoLite X-55 RED/19-1764TPX Flat Sheet 0.16D 25+/-4 Asker C 1.1M 2M 2mm</v>
          </cell>
          <cell r="F1935">
            <v>2</v>
          </cell>
        </row>
        <row r="1936">
          <cell r="B1936" t="str">
            <v>S-2026-03-58</v>
          </cell>
          <cell r="C1936" t="str">
            <v>BDB-000179</v>
          </cell>
          <cell r="D1936" t="str">
            <v>PVN-004107</v>
          </cell>
          <cell r="E1936" t="str">
            <v>OrthoLite X-55 RED/19-1764TPX Flat Sheet 0.16D 25+/-4 Asker C 1.1M 1.7M 5.5mm</v>
          </cell>
          <cell r="F1936">
            <v>2</v>
          </cell>
        </row>
        <row r="1937">
          <cell r="B1937" t="str">
            <v>S-2026-03-65</v>
          </cell>
          <cell r="C1937" t="str">
            <v>BDB-000305</v>
          </cell>
          <cell r="D1937" t="str">
            <v>PVN-004000</v>
          </cell>
          <cell r="E1937" t="str">
            <v>OrthoLite X-35-Nike YELLOW/13-0858TPX Flat Sheet 0.145D 25+/-4 Asker C 1.1M 2M 5.5mm</v>
          </cell>
          <cell r="F1937">
            <v>2</v>
          </cell>
        </row>
        <row r="1938">
          <cell r="B1938" t="str">
            <v>S-2026-03-16</v>
          </cell>
          <cell r="C1938" t="str">
            <v>BDB-000162</v>
          </cell>
          <cell r="D1938" t="str">
            <v>PVN-001566</v>
          </cell>
          <cell r="E1938" t="str">
            <v>OrthoLite Ultra-Nike SEEDPEARL/12-0703TPX Flat Sheet 0.085D 25+/-4 Asker C 1.1M 2M 4mm</v>
          </cell>
          <cell r="F1938">
            <v>1</v>
          </cell>
        </row>
        <row r="1939">
          <cell r="B1939" t="str">
            <v>S-2026-03-44</v>
          </cell>
          <cell r="C1939" t="str">
            <v>BDB-000040</v>
          </cell>
          <cell r="D1939" t="str">
            <v>PVN-000761</v>
          </cell>
          <cell r="E1939" t="str">
            <v>OrthoLite Regular AIR BLUE/16-4134TPX Flat Sheet 0.13D 35+/-4 Asker C 1.1M 1.7M 2mm</v>
          </cell>
          <cell r="F1939">
            <v>2</v>
          </cell>
        </row>
        <row r="1940">
          <cell r="B1940" t="str">
            <v>F-2026-01-496</v>
          </cell>
          <cell r="C1940" t="str">
            <v>BDB-000113</v>
          </cell>
          <cell r="D1940" t="str">
            <v>PVN-002465</v>
          </cell>
          <cell r="E1940" t="str">
            <v>OrthoLite Regular-Hybrid SEEDPEARL/12-0703TPX Hybrid Flat Sheet 0.11D 25+/-4 Asker C 1.1M 2M 5mm</v>
          </cell>
          <cell r="F1940">
            <v>26</v>
          </cell>
        </row>
        <row r="1941">
          <cell r="B1941" t="str">
            <v>F-2026-01-419</v>
          </cell>
          <cell r="C1941" t="str">
            <v>BDB-000175</v>
          </cell>
          <cell r="D1941" t="str">
            <v>PVN-002875</v>
          </cell>
          <cell r="E1941" t="str">
            <v>OrthoLite Ultra-Hybrid-Nike SEEDPEARL/12-0703TPX Hybrid 0.085D 25+/-4 Asker C 1.1M 2M 3mm</v>
          </cell>
          <cell r="F1941">
            <v>22</v>
          </cell>
        </row>
        <row r="1942">
          <cell r="B1942" t="str">
            <v>F-2026-01-520</v>
          </cell>
          <cell r="C1942" t="str">
            <v>BDB-000234</v>
          </cell>
          <cell r="D1942" t="str">
            <v>PVN-003581</v>
          </cell>
          <cell r="E1942" t="str">
            <v>OrthoLite X-30-Hybrid BROWN SUGAR/17-1134TPX Hybrid Flat Sheet 0.13D 25+/-4 Asker C 1.1M 2M 12mm</v>
          </cell>
          <cell r="F1942">
            <v>85</v>
          </cell>
        </row>
        <row r="1943">
          <cell r="B1943" t="str">
            <v>F-2026-01-423-2</v>
          </cell>
          <cell r="C1943" t="str">
            <v>BDB-000175</v>
          </cell>
          <cell r="D1943" t="str">
            <v>PVN-002966</v>
          </cell>
          <cell r="E1943" t="str">
            <v>OrthoLite Ultra-Hybrid-Nike SEEDPEARL/12-0703TPX Hybrid 0.085D 25+/-4 Asker C 1.1M 2M 4mm</v>
          </cell>
          <cell r="F1943">
            <v>20</v>
          </cell>
        </row>
        <row r="1944">
          <cell r="B1944" t="str">
            <v>F-2026-03-57</v>
          </cell>
          <cell r="C1944" t="str">
            <v>BDB-000058</v>
          </cell>
          <cell r="D1944" t="str">
            <v>PVN-001277</v>
          </cell>
          <cell r="E1944" t="str">
            <v>OrthoLite Ultra GREEN/16-5932TPX Flat Sheet 0.085D 25+/-4 Asker C 1.1M 2M 4mm</v>
          </cell>
          <cell r="F1944">
            <v>37</v>
          </cell>
        </row>
        <row r="1945">
          <cell r="B1945" t="str">
            <v>OIN-2026.02.27-02</v>
          </cell>
          <cell r="C1945" t="str">
            <v>BDB-000058</v>
          </cell>
          <cell r="D1945" t="str">
            <v>PVN-003780</v>
          </cell>
          <cell r="E1945" t="str">
            <v>[116-361] Ultra 25+/-4 Asker C 0.085D Green 16-5932 Tpx 1.10M X 2.00M 47mm</v>
          </cell>
          <cell r="F1945">
            <v>5</v>
          </cell>
        </row>
        <row r="1946">
          <cell r="B1946" t="str">
            <v>F-2026-03-218</v>
          </cell>
          <cell r="C1946" t="str">
            <v>BDB-000313</v>
          </cell>
          <cell r="D1946" t="str">
            <v>PVN-004061</v>
          </cell>
          <cell r="E1946" t="str">
            <v>OrthoLite X-55 RED/19-1764TPX Flat Sheet 0.16D 25+/-4 Asker C 1.1M 1.47M 18mm</v>
          </cell>
          <cell r="F1946">
            <v>11</v>
          </cell>
        </row>
        <row r="1947">
          <cell r="B1947" t="str">
            <v>F-2026-03-171</v>
          </cell>
          <cell r="C1947" t="str">
            <v>BDB-000126</v>
          </cell>
          <cell r="D1947" t="str">
            <v>PVN-002325</v>
          </cell>
          <cell r="E1947" t="str">
            <v>OrthoLite Regular-Nike RED/19-1764TPX Flat Sheet 0.11D 25+/-4 Asker C 1.1M 2M 5.2mm</v>
          </cell>
          <cell r="F1947">
            <v>2</v>
          </cell>
        </row>
        <row r="1948">
          <cell r="B1948" t="str">
            <v>F-2026-03-96</v>
          </cell>
          <cell r="C1948" t="str">
            <v>BDB-000016</v>
          </cell>
          <cell r="D1948" t="str">
            <v>PVN-000338</v>
          </cell>
          <cell r="E1948" t="str">
            <v>OrthoLite Regular GREEN/16-5932TPX 0.13D 35+/-4 Asker C 1.1M 2M 4mm</v>
          </cell>
          <cell r="F1948">
            <v>1</v>
          </cell>
        </row>
        <row r="1949">
          <cell r="B1949" t="str">
            <v>F-2026-02-363</v>
          </cell>
          <cell r="C1949" t="str">
            <v>BDB-000005</v>
          </cell>
          <cell r="D1949" t="str">
            <v>PVN-004312</v>
          </cell>
          <cell r="E1949" t="str">
            <v>OrthoLite Regular GREY/17-1501TPX Flat Sheet 0.13D 35+/-4 Asker C 1.1M 2M 5mm</v>
          </cell>
          <cell r="F1949">
            <v>2</v>
          </cell>
        </row>
        <row r="1950">
          <cell r="B1950" t="str">
            <v>F-2026-01-408</v>
          </cell>
          <cell r="C1950" t="str">
            <v>BDB-000164</v>
          </cell>
          <cell r="D1950" t="str">
            <v>PVN-001618</v>
          </cell>
          <cell r="E1950" t="str">
            <v>OrthoLite Ultra-Nike GREY/17-1501TPX 0.085D 25+/-4 Asker C 1.1M 2M 4mm</v>
          </cell>
          <cell r="F1950">
            <v>2</v>
          </cell>
        </row>
        <row r="1951">
          <cell r="B1951" t="str">
            <v>F-2026-02-244</v>
          </cell>
          <cell r="C1951" t="str">
            <v>BDB-000076</v>
          </cell>
          <cell r="D1951" t="str">
            <v>PVN-003448</v>
          </cell>
          <cell r="E1951" t="str">
            <v>OrthoLite X-25 BILLIARD/16-5427TPX 0.12D 20+/-4 Asker C 1.1M 2M 6.2mm</v>
          </cell>
          <cell r="F1951">
            <v>11</v>
          </cell>
        </row>
        <row r="1952">
          <cell r="B1952" t="str">
            <v>F-2026-01-424</v>
          </cell>
          <cell r="C1952" t="str">
            <v>BDB-000175</v>
          </cell>
          <cell r="D1952" t="str">
            <v>PVN-002966</v>
          </cell>
          <cell r="E1952" t="str">
            <v>OrthoLite Ultra-Hybrid-Nike SEEDPEARL/12-0703TPX Hybrid 0.085D 25+/-4 Asker C 1.1M 2M 4mm</v>
          </cell>
          <cell r="F1952">
            <v>100</v>
          </cell>
        </row>
        <row r="1953">
          <cell r="B1953" t="str">
            <v>F-2026-03-217</v>
          </cell>
          <cell r="C1953" t="str">
            <v>BDB-000067</v>
          </cell>
          <cell r="D1953" t="str">
            <v>PVN-003691</v>
          </cell>
          <cell r="E1953" t="str">
            <v>OrthoLite Ultra SEEDPEARL/12-0703TPX Flat Sheet 0.085D 25+/-4 Asker C 1.1M 2M 5.2mm</v>
          </cell>
          <cell r="F1953">
            <v>1</v>
          </cell>
        </row>
        <row r="1954">
          <cell r="B1954" t="str">
            <v>F-2026-03-145</v>
          </cell>
          <cell r="C1954" t="str">
            <v>BDB-000067</v>
          </cell>
          <cell r="D1954" t="str">
            <v>PVN-001394</v>
          </cell>
          <cell r="E1954" t="str">
            <v>OrthoLite Ultra SEEDPEARL/12-0703TPX Flat Sheet 0.085D 25+/-4 Asker C 1.1M 2M 5mm</v>
          </cell>
          <cell r="F1954">
            <v>2</v>
          </cell>
        </row>
        <row r="1955">
          <cell r="B1955" t="str">
            <v>F-2026-03-142</v>
          </cell>
          <cell r="C1955" t="str">
            <v>BDB-000067</v>
          </cell>
          <cell r="D1955" t="str">
            <v>PVN-002129</v>
          </cell>
          <cell r="E1955" t="str">
            <v>OrthoLite Ultra SEEDPEARL/12-0703TPX Flat Sheet 0.085D 25+/-4 Asker C 1.1M 2M 6mm</v>
          </cell>
          <cell r="F1955">
            <v>5</v>
          </cell>
        </row>
        <row r="1956">
          <cell r="B1956" t="str">
            <v>F-2026-03-64</v>
          </cell>
          <cell r="C1956" t="str">
            <v>BDB-000286</v>
          </cell>
          <cell r="D1956" t="str">
            <v>PVN-003863</v>
          </cell>
          <cell r="E1956" t="str">
            <v>OrthoLite Regular-Hybrid SEEDPEARL/12-0703TPX Hybrid Flat Sheet 0.13D 25+/-4 Asker C 1.1M 1.7M 2mm</v>
          </cell>
          <cell r="F1956">
            <v>6</v>
          </cell>
        </row>
        <row r="1957">
          <cell r="B1957" t="str">
            <v>F-2026-03-94</v>
          </cell>
          <cell r="C1957" t="str">
            <v>BDB-000286</v>
          </cell>
          <cell r="D1957" t="str">
            <v>PVN-003924</v>
          </cell>
          <cell r="E1957" t="str">
            <v>OrthoLite Regular-Hybrid SEEDPEARL/12-0703TPX Hybrid Flat Sheet 0.13D 25+/-4 Asker C 1.1M 1.7M 5mm</v>
          </cell>
          <cell r="F1957">
            <v>19</v>
          </cell>
        </row>
        <row r="1958">
          <cell r="B1958" t="str">
            <v>F-2026-03-99</v>
          </cell>
          <cell r="C1958" t="str">
            <v>BDB-000286</v>
          </cell>
          <cell r="D1958" t="str">
            <v>PVN-003864</v>
          </cell>
          <cell r="E1958" t="str">
            <v>OrthoLite Regular-Hybrid SEEDPEARL/12-0703TPX Hybrid Flat Sheet 0.13D 25+/-4 Asker C 1.1M 1.7M 3mm</v>
          </cell>
          <cell r="F1958">
            <v>17</v>
          </cell>
        </row>
        <row r="1959">
          <cell r="B1959" t="str">
            <v>F-2026-03-159</v>
          </cell>
          <cell r="C1959" t="str">
            <v>BDB-000286</v>
          </cell>
          <cell r="D1959" t="str">
            <v>PVN-003864</v>
          </cell>
          <cell r="E1959" t="str">
            <v>OrthoLite Regular-Hybrid SEEDPEARL/12-0703TPX Hybrid Flat Sheet 0.13D 25+/-4 Asker C 1.1M 1.7M 3mm</v>
          </cell>
          <cell r="F1959">
            <v>2</v>
          </cell>
        </row>
        <row r="1960">
          <cell r="B1960" t="str">
            <v>F-2026-03-156</v>
          </cell>
          <cell r="C1960" t="str">
            <v>BDB-000286</v>
          </cell>
          <cell r="D1960" t="str">
            <v>PVN-003924</v>
          </cell>
          <cell r="E1960" t="str">
            <v>OrthoLite Regular-Hybrid SEEDPEARL/12-0703TPX Hybrid Flat Sheet 0.13D 25+/-4 Asker C 1.1M 1.7M 5mm</v>
          </cell>
          <cell r="F1960">
            <v>1</v>
          </cell>
        </row>
        <row r="1961">
          <cell r="B1961" t="str">
            <v>F-2026-01-249</v>
          </cell>
          <cell r="C1961" t="str">
            <v>BDB-000097</v>
          </cell>
          <cell r="D1961" t="str">
            <v>PVN-002478</v>
          </cell>
          <cell r="E1961" t="str">
            <v>OrthoLite Eco LT-Hybrid SEEDPEARL/12-0703TPX Hybrid 0.11D 25+/-4 Asker C 1.1M 2M 4mm</v>
          </cell>
          <cell r="F1961">
            <v>29</v>
          </cell>
        </row>
        <row r="1962">
          <cell r="B1962" t="str">
            <v>F-2026-01-247</v>
          </cell>
          <cell r="C1962" t="str">
            <v>BDB-000097</v>
          </cell>
          <cell r="D1962" t="str">
            <v>PVN-002478</v>
          </cell>
          <cell r="E1962" t="str">
            <v>OrthoLite Eco LT-Hybrid SEEDPEARL/12-0703TPX Hybrid 0.11D 25+/-4 Asker C 1.1M 2M 4mm</v>
          </cell>
          <cell r="F1962">
            <v>100</v>
          </cell>
        </row>
        <row r="1963">
          <cell r="B1963" t="str">
            <v>F-2026-03-103</v>
          </cell>
          <cell r="C1963" t="str">
            <v>BDB-000339</v>
          </cell>
          <cell r="D1963" t="str">
            <v>PVN-004178</v>
          </cell>
          <cell r="E1963" t="str">
            <v>OrthoLite Float NEUTRAL GRAY/17-4402TPX Flat Sheet 0.12D 21+/-4 Asker C 1.1M 2M 5.5mm</v>
          </cell>
          <cell r="F1963">
            <v>30</v>
          </cell>
        </row>
        <row r="1964">
          <cell r="B1964" t="str">
            <v>F-2026-02-320</v>
          </cell>
          <cell r="C1964" t="str">
            <v>BDB-000157</v>
          </cell>
          <cell r="D1964" t="str">
            <v>PVN-003573</v>
          </cell>
          <cell r="E1964" t="str">
            <v>OrthoLite X-35-Hybrid-Nike SEEDPEARL/12-0703TPX Hybrid 0.145D 25+/-4 Asker C 1.1M 2M 4.2mm</v>
          </cell>
          <cell r="F1964">
            <v>91</v>
          </cell>
        </row>
        <row r="1965">
          <cell r="B1965" t="str">
            <v>F-2026-03-216</v>
          </cell>
          <cell r="C1965" t="str">
            <v>BDB-000157</v>
          </cell>
          <cell r="D1965" t="str">
            <v>PVN-004083</v>
          </cell>
          <cell r="E1965" t="str">
            <v>OrthoLite X-35-Hybrid-Nike SEEDPEARL/12-0703TPX Hybrid Flat Sheet 0.145D 25+/-4 Asker C 1.1M 2M 4mm</v>
          </cell>
          <cell r="F1965">
            <v>1</v>
          </cell>
        </row>
        <row r="1966">
          <cell r="B1966" t="str">
            <v>F-2026-03-181</v>
          </cell>
          <cell r="C1966" t="str">
            <v>BDB-000157</v>
          </cell>
          <cell r="D1966" t="str">
            <v>PVN-003244</v>
          </cell>
          <cell r="E1966" t="str">
            <v>OrthoLite X-35-Hybrid-Nike SEEDPEARL/12-0703TPX Hybrid Flat Sheet 0.145D 25+/-4 Asker C 1.1M 2M 5.2mm</v>
          </cell>
          <cell r="F1966">
            <v>4</v>
          </cell>
        </row>
        <row r="1967">
          <cell r="B1967" t="str">
            <v>OIN-2026.02.28-02</v>
          </cell>
          <cell r="C1967" t="str">
            <v>BDB-000128</v>
          </cell>
          <cell r="D1967" t="str">
            <v>PVN-004305</v>
          </cell>
          <cell r="E1967" t="str">
            <v>[116-14763] Regular Nike 25+/-4 Asker C 0.11D Lime Green 14-0452 Tpx 1.10M X 2.00M 47mm</v>
          </cell>
          <cell r="F1967">
            <v>4</v>
          </cell>
        </row>
        <row r="1968">
          <cell r="B1968" t="str">
            <v>S-2026-03-77</v>
          </cell>
          <cell r="C1968" t="str">
            <v>BDB-000123</v>
          </cell>
          <cell r="D1968" t="str">
            <v>PVN-003299</v>
          </cell>
          <cell r="E1968" t="str">
            <v>OrthoLite Ultra-Hybrid SEEDPEARL/12-0703TPX Hybrid Flat Sheet 0.085D 25+/-4 Asker C 1.1M 2M 3mm</v>
          </cell>
          <cell r="F1968">
            <v>9</v>
          </cell>
        </row>
        <row r="1969">
          <cell r="B1969" t="str">
            <v>S-2026-03-45</v>
          </cell>
          <cell r="C1969" t="str">
            <v>BDB-000369</v>
          </cell>
          <cell r="D1969" t="str">
            <v>PVN-004291</v>
          </cell>
          <cell r="E1969" t="str">
            <v>OrthoLite X-40 GREY/17-1501TPX Flat Sheet 0.16D 35+/-4 Asker C 1.1M 1.7M 3.2mm</v>
          </cell>
          <cell r="F1969">
            <v>2</v>
          </cell>
        </row>
        <row r="1970">
          <cell r="B1970" t="str">
            <v>S-2026-03-25</v>
          </cell>
          <cell r="C1970" t="str">
            <v>BDB-000375</v>
          </cell>
          <cell r="D1970" t="str">
            <v>PVN-004319</v>
          </cell>
          <cell r="E1970" t="str">
            <v>OrthoLite X-25-Nike SEEDPEARL/12-0703TPX Flat Sheet 0.12D 20+/-4 Asker C 1.1M 2M 4mm</v>
          </cell>
          <cell r="F1970">
            <v>1</v>
          </cell>
        </row>
        <row r="1971">
          <cell r="B1971" t="str">
            <v>S-2026-03-80</v>
          </cell>
          <cell r="C1971" t="str">
            <v>BDB-000209</v>
          </cell>
          <cell r="D1971" t="str">
            <v>PVN-003550</v>
          </cell>
          <cell r="E1971" t="str">
            <v>OrthoLite HybridPlus-Recycled MINT GREEN/11-4805TPX Hybrid Flat Sheet 0.12D 25+/-4 Asker C 1.1M 2M 6mm</v>
          </cell>
          <cell r="F1971">
            <v>3</v>
          </cell>
        </row>
        <row r="1972">
          <cell r="B1972" t="str">
            <v>S-2026-03-82</v>
          </cell>
          <cell r="C1972" t="str">
            <v>BDB-000339</v>
          </cell>
          <cell r="D1972" t="str">
            <v>PVN-004334</v>
          </cell>
          <cell r="E1972" t="str">
            <v>OrthoLite Float NEUTRAL GRAY/17-4402TPX Flat Sheet 0.12D 21+/-4 Asker C 1.1M 2M 4.5mm</v>
          </cell>
          <cell r="F1972">
            <v>1</v>
          </cell>
        </row>
        <row r="1973">
          <cell r="B1973" t="str">
            <v>S-2026-03-09</v>
          </cell>
          <cell r="C1973" t="str">
            <v>BDB-000317</v>
          </cell>
          <cell r="D1973" t="str">
            <v>PVN-004293</v>
          </cell>
          <cell r="E1973" t="str">
            <v>OrthoLite Regular NEUTRAL GRAY/17-4402TPX Flat Sheet 0.13D 15+/-4 Asker C 1.1M 2M 22mm</v>
          </cell>
          <cell r="F1973">
            <v>4</v>
          </cell>
        </row>
        <row r="1974">
          <cell r="B1974" t="str">
            <v>F-2026-01-392</v>
          </cell>
          <cell r="C1974" t="str">
            <v>BDB-000160</v>
          </cell>
          <cell r="D1974" t="str">
            <v>PVN-001562</v>
          </cell>
          <cell r="E1974" t="str">
            <v>OrthoLite Ultra-Nike LIME GREEN/14-0452TPX 0.085D 25+/-4 Asker C 1.1M 2M 4mm</v>
          </cell>
          <cell r="F1974">
            <v>8</v>
          </cell>
        </row>
        <row r="1975">
          <cell r="B1975" t="str">
            <v>F-2026-01-388</v>
          </cell>
          <cell r="C1975" t="str">
            <v>BDB-000161</v>
          </cell>
          <cell r="D1975" t="str">
            <v>PVN-001560</v>
          </cell>
          <cell r="E1975" t="str">
            <v>OrthoLite Ultra-Nike FOSSIL/17-0909TPX 0.085D 25+/-4 Asker C 1.1M 2M 4mm</v>
          </cell>
          <cell r="F1975">
            <v>29</v>
          </cell>
        </row>
        <row r="1976">
          <cell r="B1976" t="str">
            <v>F-2026-01-497</v>
          </cell>
          <cell r="C1976" t="str">
            <v>BDB-000113</v>
          </cell>
          <cell r="D1976" t="str">
            <v>PVN-002465</v>
          </cell>
          <cell r="E1976" t="str">
            <v>OrthoLite Regular-Hybrid SEEDPEARL/12-0703TPX Hybrid Flat Sheet 0.11D 25+/-4 Asker C 1.1M 2M 5mm</v>
          </cell>
          <cell r="F1976">
            <v>14</v>
          </cell>
        </row>
        <row r="1977">
          <cell r="B1977" t="str">
            <v>F-2026-03-104</v>
          </cell>
          <cell r="C1977" t="str">
            <v>BDB-000123</v>
          </cell>
          <cell r="D1977" t="str">
            <v>PVN-002539</v>
          </cell>
          <cell r="E1977" t="str">
            <v>OrthoLite Ultra-Hybrid SEEDPEARL/12-0703TPX Hybrid Flat Sheet 0.085D 25+/-4 Asker C 1.1M 2M 5mm</v>
          </cell>
          <cell r="F1977">
            <v>9</v>
          </cell>
        </row>
        <row r="1978">
          <cell r="B1978" t="str">
            <v>F-2026-03-62</v>
          </cell>
          <cell r="C1978" t="str">
            <v>BDB-000123</v>
          </cell>
          <cell r="D1978" t="str">
            <v>PVN-003315</v>
          </cell>
          <cell r="E1978" t="str">
            <v>OrthoLite Ultra-Hybrid SEEDPEARL/12-0703TPX Hybrid 0.085D 25+/-4 Asker C 1.1M 2M 3.5mm</v>
          </cell>
          <cell r="F1978">
            <v>5</v>
          </cell>
        </row>
        <row r="1979">
          <cell r="B1979" t="str">
            <v>F-2026-01-336</v>
          </cell>
          <cell r="C1979" t="str">
            <v>BDB-000123</v>
          </cell>
          <cell r="D1979" t="str">
            <v>PVN-003298</v>
          </cell>
          <cell r="E1979" t="str">
            <v>OrthoLite Ultra-Hybrid SEEDPEARL/12-0703TPX Hybrid 0.085D 25+/-4 Asker C 1.1M 2M 4mm</v>
          </cell>
          <cell r="F1979">
            <v>200</v>
          </cell>
        </row>
        <row r="1980">
          <cell r="B1980" t="str">
            <v>F-2026-03-65</v>
          </cell>
          <cell r="C1980" t="str">
            <v>BDB-000113</v>
          </cell>
          <cell r="D1980" t="str">
            <v>PVN-002465</v>
          </cell>
          <cell r="E1980" t="str">
            <v>OrthoLite Regular-Hybrid SEEDPEARL/12-0703TPX Hybrid Flat Sheet 0.11D 25+/-4 Asker C 1.1M 2M 5mm</v>
          </cell>
          <cell r="F1980">
            <v>139</v>
          </cell>
        </row>
        <row r="1981">
          <cell r="B1981" t="str">
            <v>OIN-2026.02.28-03</v>
          </cell>
          <cell r="C1981" t="str">
            <v>BDB-000059</v>
          </cell>
          <cell r="D1981">
            <v>0</v>
          </cell>
          <cell r="E1981" t="str">
            <v>[116-15587] Ultra 25+/-4 Asker C 0.085D Red 19-1764 Tpx 1.10M X 2.00M 47mm</v>
          </cell>
          <cell r="F1981">
            <v>3</v>
          </cell>
        </row>
        <row r="1982">
          <cell r="B1982" t="str">
            <v>F-2026-01-423-2</v>
          </cell>
          <cell r="C1982" t="str">
            <v>BDB-000175</v>
          </cell>
          <cell r="D1982" t="str">
            <v>PVN-002966</v>
          </cell>
          <cell r="E1982" t="str">
            <v>OrthoLite Ultra-Hybrid-Nike SEEDPEARL/12-0703TPX Hybrid 0.085D 25+/-4 Asker C 1.1M 2M 4mm</v>
          </cell>
          <cell r="F1982">
            <v>2</v>
          </cell>
        </row>
        <row r="1983">
          <cell r="B1983" t="str">
            <v>F-2026-03-36</v>
          </cell>
          <cell r="C1983" t="str">
            <v>BDB-000011</v>
          </cell>
          <cell r="D1983" t="str">
            <v>PVN-000121</v>
          </cell>
          <cell r="E1983" t="str">
            <v>OrthoLite Regular AIR BLUE/16-4134TPX Flat Sheet 0.13D 35+/-4 Asker C 1.1M 2M 12mm</v>
          </cell>
          <cell r="F1983">
            <v>3</v>
          </cell>
        </row>
        <row r="1984">
          <cell r="B1984" t="str">
            <v>S-2026-03-78</v>
          </cell>
          <cell r="C1984" t="str">
            <v>BDB-000016</v>
          </cell>
          <cell r="D1984" t="str">
            <v>PVN-000338</v>
          </cell>
          <cell r="E1984" t="str">
            <v>OrthoLite Regular GREEN/16-5932TPX Flat Sheet 0.13D 35+/-4 Asker C 1.1M 2M 4mm</v>
          </cell>
          <cell r="F1984">
            <v>2</v>
          </cell>
        </row>
        <row r="1985">
          <cell r="B1985" t="str">
            <v>F-2026-02-282</v>
          </cell>
          <cell r="C1985" t="str">
            <v>BDB-000162</v>
          </cell>
          <cell r="D1985" t="str">
            <v>PVN-001566</v>
          </cell>
          <cell r="E1985" t="str">
            <v>OrthoLite Ultra-Nike SEEDPEARL/12-0703TPX 0.085D 25+/-4 Asker C 1.1M 2M 4mm</v>
          </cell>
          <cell r="F1985">
            <v>86</v>
          </cell>
        </row>
        <row r="1986">
          <cell r="B1986" t="str">
            <v>OIN-2026.02.23-01</v>
          </cell>
          <cell r="C1986" t="str">
            <v>BDB-000123</v>
          </cell>
          <cell r="D1986" t="str">
            <v>PVN-003784</v>
          </cell>
          <cell r="E1986" t="str">
            <v>[116-311] Ultra Hybrid 25+/-4 Asker C 0.085D Seedpearl 12-0703 Tpx 1.10M X 2.00M 47mm</v>
          </cell>
          <cell r="F1986">
            <v>138</v>
          </cell>
        </row>
        <row r="1987">
          <cell r="B1987" t="str">
            <v>OIN-2026.02.17-01</v>
          </cell>
          <cell r="C1987" t="str">
            <v>BDB-000123</v>
          </cell>
          <cell r="D1987" t="str">
            <v>PVN-003784</v>
          </cell>
          <cell r="E1987" t="str">
            <v xml:space="preserve">[116-311] Ultra Hybrid 25+/-4 Asker C 0.085D Seedpearl 12-0703 Tpx 1.10M X 2.00M 47mm </v>
          </cell>
          <cell r="F1987">
            <v>355</v>
          </cell>
        </row>
        <row r="1988">
          <cell r="B1988" t="str">
            <v>F-2026-01-334</v>
          </cell>
          <cell r="C1988" t="str">
            <v>BDB-000123</v>
          </cell>
          <cell r="D1988" t="str">
            <v>PVN-003298</v>
          </cell>
          <cell r="E1988" t="str">
            <v>OrthoLite Ultra-Hybrid SEEDPEARL/12-0703TPX Hybrid 0.085D 25+/-4 Asker C 1.1M 2M 4mm</v>
          </cell>
          <cell r="F1988">
            <v>58</v>
          </cell>
        </row>
        <row r="1989">
          <cell r="B1989" t="str">
            <v>F-2026-02-199</v>
          </cell>
          <cell r="C1989" t="str">
            <v>BDB-000123</v>
          </cell>
          <cell r="D1989" t="str">
            <v>PVN-002973</v>
          </cell>
          <cell r="E1989" t="str">
            <v>OrthoLite Ultra-Hybrid SEEDPEARL/12-0703TPX Hybrid 0.085D 25+/-4 Asker C 1.1M 2M 4.5mm</v>
          </cell>
          <cell r="F1989">
            <v>49</v>
          </cell>
        </row>
        <row r="1990">
          <cell r="B1990" t="str">
            <v>F-2026-03-158</v>
          </cell>
          <cell r="C1990" t="str">
            <v>BDB-000105</v>
          </cell>
          <cell r="D1990" t="str">
            <v>PVN-002556</v>
          </cell>
          <cell r="E1990" t="str">
            <v>OrthoLite Eco LT-Hybrid AIR BLUE/16-4134TPX 0.13D 35+/-4 Asker C 1.1M 2M 4mm</v>
          </cell>
          <cell r="F1990">
            <v>4</v>
          </cell>
        </row>
        <row r="1991">
          <cell r="B1991" t="str">
            <v>F-2026-03-135</v>
          </cell>
          <cell r="C1991" t="str">
            <v>BDB-000039</v>
          </cell>
          <cell r="D1991" t="str">
            <v>PVN-002019</v>
          </cell>
          <cell r="E1991" t="str">
            <v>OrthoLite Regular NEUTRAL GRAY/17-4402TPX Flat Sheet 0.11D 25+/-4 Asker C 1.1M 2M 13mm</v>
          </cell>
          <cell r="F1991">
            <v>1</v>
          </cell>
        </row>
        <row r="1992">
          <cell r="B1992" t="str">
            <v>F-2026-02-263</v>
          </cell>
          <cell r="C1992" t="str">
            <v>BDB-000259</v>
          </cell>
          <cell r="D1992" t="str">
            <v>PVN-003684</v>
          </cell>
          <cell r="E1992" t="str">
            <v>OrthoLite Nike PP002 GLACIER GRAY/14-4102TPX Flat Sheet 0.145D 25+/-4 asker C 1.1M 2M 4.2mm</v>
          </cell>
          <cell r="F1992">
            <v>51</v>
          </cell>
        </row>
        <row r="1993">
          <cell r="B1993" t="str">
            <v>F-2026-02-241</v>
          </cell>
          <cell r="C1993" t="str">
            <v>BDB-000200</v>
          </cell>
          <cell r="D1993" t="str">
            <v>PVN-003425</v>
          </cell>
          <cell r="E1993" t="str">
            <v>OrthoLite Ultra SEEDPEARL/12-0703TPX Flat Sheet 0.085D 78-90 Asker F 1.1M 2M 4mm</v>
          </cell>
          <cell r="F1993">
            <v>29</v>
          </cell>
        </row>
        <row r="1994">
          <cell r="B1994" t="str">
            <v>F-2026-03-170</v>
          </cell>
          <cell r="C1994" t="str">
            <v>BDB-000157</v>
          </cell>
          <cell r="D1994" t="str">
            <v>PVN-003642</v>
          </cell>
          <cell r="E1994" t="str">
            <v>OrthoLite X-35-Hybrid-Nike SEEDPEARL/12-0703TPX Hybrid Flat Sheet 0.145D 25+/-4 Asker C 1.1M 2M 6.2mm</v>
          </cell>
          <cell r="F1994">
            <v>5</v>
          </cell>
        </row>
        <row r="1995">
          <cell r="B1995" t="str">
            <v>F-2026-03-226</v>
          </cell>
          <cell r="C1995" t="str">
            <v>BDB-000157</v>
          </cell>
          <cell r="D1995" t="str">
            <v>PVN-003244</v>
          </cell>
          <cell r="E1995" t="str">
            <v>OrthoLite X-35-Hybrid-Nike SEEDPEARL/12-0703TPX Hybrid Flat Sheet 0.145D 25+/-4 Asker C 1.1M 2M 5.2mm</v>
          </cell>
          <cell r="F1995">
            <v>22</v>
          </cell>
        </row>
        <row r="1996">
          <cell r="B1996" t="str">
            <v>F-2026-03-115</v>
          </cell>
          <cell r="C1996" t="str">
            <v>BDB-000229</v>
          </cell>
          <cell r="D1996" t="str">
            <v>PVN-003692</v>
          </cell>
          <cell r="E1996" t="str">
            <v>OrthoLite Ultra-Hybrid SEEDPEARL/12-0703TPX Hybrid Flat Sheet 0.095D 33+/-4 Asker C 1.1M 2M 15.5mm</v>
          </cell>
          <cell r="F1996">
            <v>14</v>
          </cell>
        </row>
        <row r="1997">
          <cell r="B1997" t="str">
            <v>F-2026-03-220</v>
          </cell>
          <cell r="C1997" t="str">
            <v>BDB-000125</v>
          </cell>
          <cell r="D1997" t="str">
            <v>PVN-001579</v>
          </cell>
          <cell r="E1997" t="str">
            <v>OrthoLite Regular-Nike AIR BLUE/16-4134TPX Flat Sheet 0.11D 25+/-4 Asker C 1.1M 2M 4mm</v>
          </cell>
          <cell r="F1997">
            <v>1</v>
          </cell>
        </row>
        <row r="1998">
          <cell r="B1998" t="str">
            <v>F-2026-03-46</v>
          </cell>
          <cell r="C1998" t="str">
            <v>BDB-000113</v>
          </cell>
          <cell r="D1998" t="str">
            <v>PVN-003601</v>
          </cell>
          <cell r="E1998" t="str">
            <v>OrthoLite Regular-Hybrid SEEDPEARL/12-0703TPX Hybrid Flat Sheet 0.11D 25+/-4 Asker C 1.1M 2M 20mm</v>
          </cell>
          <cell r="F1998">
            <v>8</v>
          </cell>
        </row>
        <row r="1999">
          <cell r="B1999" t="str">
            <v>F-2026-01-336</v>
          </cell>
          <cell r="C1999" t="str">
            <v>BDB-000123</v>
          </cell>
          <cell r="D1999" t="str">
            <v>PVN-003298</v>
          </cell>
          <cell r="E1999" t="str">
            <v>OrthoLite Ultra-Hybrid SEEDPEARL/12-0703TPX Hybrid 0.085D 25+/-4 Asker C 1.1M 2M 4mm</v>
          </cell>
          <cell r="F1999">
            <v>9</v>
          </cell>
        </row>
        <row r="2000">
          <cell r="B2000" t="str">
            <v>F-2026-03-65</v>
          </cell>
          <cell r="C2000" t="str">
            <v>BDB-000113</v>
          </cell>
          <cell r="D2000" t="str">
            <v>PVN-002465</v>
          </cell>
          <cell r="E2000" t="str">
            <v>OrthoLite Regular-Hybrid SEEDPEARL/12-0703TPX Hybrid Flat Sheet 0.11D 25+/-4 Asker C 1.1M 2M 5mm</v>
          </cell>
          <cell r="F2000">
            <v>5</v>
          </cell>
        </row>
        <row r="2001">
          <cell r="B2001" t="str">
            <v>F-2026-03-118</v>
          </cell>
          <cell r="C2001" t="str">
            <v>BDB-000332</v>
          </cell>
          <cell r="D2001" t="str">
            <v>PVN-004146</v>
          </cell>
          <cell r="E2001" t="str">
            <v>OrthoLite X-25 CASTLEROCK/18-0201TPX Flat Sheet 0.12D 20+/-4 Asker C 1.1M 2M 5.5mm</v>
          </cell>
          <cell r="F2001">
            <v>5</v>
          </cell>
        </row>
        <row r="2002">
          <cell r="B2002" t="str">
            <v>F-2026-02-244</v>
          </cell>
          <cell r="C2002" t="str">
            <v>BDB-000076</v>
          </cell>
          <cell r="D2002" t="str">
            <v>PVN-003448</v>
          </cell>
          <cell r="E2002" t="str">
            <v>OrthoLite X-25 BILLIARD/16-5427TPX 0.12D 20+/-4 Asker C 1.1M 2M 6.2mm</v>
          </cell>
          <cell r="F2002">
            <v>3</v>
          </cell>
        </row>
        <row r="2003">
          <cell r="B2003" t="str">
            <v>F-2026-01-510-2</v>
          </cell>
          <cell r="C2003" t="str">
            <v>BDB-000113</v>
          </cell>
          <cell r="D2003" t="str">
            <v>PVN-003414</v>
          </cell>
          <cell r="E2003" t="str">
            <v>OrthoLite Regular-Hybrid SEEDPEARL/12-0703TPX Hybrid Flat Sheet 0.11D 25+/-4 Asker C 1.1M 2M 5mm</v>
          </cell>
          <cell r="F2003">
            <v>205</v>
          </cell>
        </row>
        <row r="2004">
          <cell r="B2004" t="str">
            <v>F-2026-02-250</v>
          </cell>
          <cell r="C2004" t="str">
            <v>BDB-000348</v>
          </cell>
          <cell r="D2004" t="str">
            <v>PVN-004195</v>
          </cell>
          <cell r="E2004" t="str">
            <v>OrthoLite IMPERIAL SEEDPEARL/12-0703TPX Flat Sheet 0.22D 25+/-4 Asker C 1.1M 1.47M 4mm</v>
          </cell>
          <cell r="F2004">
            <v>86</v>
          </cell>
        </row>
        <row r="2005">
          <cell r="B2005" t="str">
            <v>F-2026-03-95</v>
          </cell>
          <cell r="C2005" t="str">
            <v>BDB-000224</v>
          </cell>
          <cell r="D2005" t="str">
            <v>PVN-004258</v>
          </cell>
          <cell r="E2005" t="str">
            <v>OrthoLite R&amp;R CASTLEROCK/18-0201TPX Flat Sheet 0.16D 15+/-4 Asker C 1.1M 1.7M 3mm</v>
          </cell>
          <cell r="F2005">
            <v>3</v>
          </cell>
        </row>
        <row r="2006">
          <cell r="B2006" t="str">
            <v>F-2026-01-388</v>
          </cell>
          <cell r="C2006" t="str">
            <v>BDB-000161</v>
          </cell>
          <cell r="D2006" t="str">
            <v>PVN-001560</v>
          </cell>
          <cell r="E2006" t="str">
            <v>OrthoLite Ultra-Nike FOSSIL/17-0909TPX 0.085D 25+/-4 Asker C 1.1M 2M 4mm</v>
          </cell>
          <cell r="F2006">
            <v>4</v>
          </cell>
        </row>
        <row r="2007">
          <cell r="B2007" t="str">
            <v>F-2026-02-281</v>
          </cell>
          <cell r="C2007" t="str">
            <v>BDB-000162</v>
          </cell>
          <cell r="D2007" t="str">
            <v>PVN-001566</v>
          </cell>
          <cell r="E2007" t="str">
            <v>OrthoLite Ultra-Nike SEEDPEARL/12-0703TPX 0.085D 25+/-4 Asker C 1.1M 2M 4mm</v>
          </cell>
          <cell r="F2007">
            <v>3</v>
          </cell>
        </row>
        <row r="2008">
          <cell r="B2008" t="str">
            <v>S-2026-03-90</v>
          </cell>
          <cell r="C2008" t="str">
            <v>BDB-000058</v>
          </cell>
          <cell r="D2008" t="str">
            <v>PVN-003894</v>
          </cell>
          <cell r="E2008" t="str">
            <v>OrthoLite Ultra GREEN/16-5932TPX Flat Sheet 0.085D 25+/-4 Asker C 1.1M 2M 11mm</v>
          </cell>
          <cell r="F2008">
            <v>5</v>
          </cell>
        </row>
        <row r="2009">
          <cell r="B2009" t="str">
            <v>S-2026-03-79</v>
          </cell>
          <cell r="C2009" t="str">
            <v>BDB-000317</v>
          </cell>
          <cell r="D2009" t="str">
            <v>PVN-004293</v>
          </cell>
          <cell r="E2009" t="str">
            <v>OrthoLite Regular NEUTRAL GRAY/17-4402TPX Flat Sheet 0.13D 15+/-4 Asker C 1.1M 2M 22mm</v>
          </cell>
          <cell r="F2009">
            <v>4</v>
          </cell>
        </row>
        <row r="2010">
          <cell r="B2010" t="str">
            <v>S-2026-03-92</v>
          </cell>
          <cell r="C2010" t="str">
            <v>BDB-000347</v>
          </cell>
          <cell r="D2010" t="str">
            <v>PVN-004192</v>
          </cell>
          <cell r="E2010" t="str">
            <v>OrthoLite X-55-Hybrid SEEDPEARL/12-0703TPX Hybrid Flat Sheet 0.16D 25+/-4 Asker C 1.1M 2M 12mm</v>
          </cell>
          <cell r="F2010">
            <v>10</v>
          </cell>
        </row>
        <row r="2011">
          <cell r="B2011" t="str">
            <v>L-2026-03-88</v>
          </cell>
          <cell r="C2011" t="str">
            <v>BDB-000217</v>
          </cell>
          <cell r="D2011" t="str">
            <v>PVN-003805</v>
          </cell>
          <cell r="E2011" t="str">
            <v>OrthoLite X-40-Hybrid SEEDPEARL/12-0703TPX Hybrid Flat Sheet 0.16D 35+/-4 Asker C 1.1M 1.7M 3.5mm</v>
          </cell>
          <cell r="F2011">
            <v>1</v>
          </cell>
        </row>
        <row r="2012">
          <cell r="B2012" t="str">
            <v>S-2026-03-16</v>
          </cell>
          <cell r="C2012" t="str">
            <v>BDB-000162</v>
          </cell>
          <cell r="D2012" t="str">
            <v>PVN-001566</v>
          </cell>
          <cell r="E2012" t="str">
            <v>OrthoLite Ultra-Nike SEEDPEARL/12-0703TPX Flat Sheet 0.085D 25+/-4 Asker C 1.1M 2M 4mm</v>
          </cell>
          <cell r="F2012">
            <v>1</v>
          </cell>
        </row>
        <row r="2013">
          <cell r="B2013" t="str">
            <v>OIN-2026.02.27-01</v>
          </cell>
          <cell r="C2013" t="str">
            <v>BDB-000102</v>
          </cell>
          <cell r="D2013" t="str">
            <v>PVN-003821</v>
          </cell>
          <cell r="E2013" t="str">
            <v>[118-467] Eco Lite Hybrid 35+/-4 Asker C 0.13D Lime Green 14-0452 Tpx 1.10M X 2.00M 47mm</v>
          </cell>
          <cell r="F2013">
            <v>1</v>
          </cell>
        </row>
        <row r="2014">
          <cell r="B2014" t="str">
            <v>S-2026-03-73</v>
          </cell>
          <cell r="C2014" t="str">
            <v>BDB-000113</v>
          </cell>
          <cell r="D2014" t="str">
            <v>PVN-003414</v>
          </cell>
          <cell r="E2014" t="str">
            <v>OrthoLite Regular-Hybrid SEEDPEARL/12-0703TPX Hybrid 0.11D 25+/-4 Asker C 1.1M 2M 12mm</v>
          </cell>
          <cell r="F2014">
            <v>8</v>
          </cell>
        </row>
        <row r="2015">
          <cell r="B2015" t="str">
            <v>F-2026-03-150</v>
          </cell>
          <cell r="C2015" t="str">
            <v>BDB-000145</v>
          </cell>
          <cell r="D2015" t="str">
            <v>PVN-002811</v>
          </cell>
          <cell r="E2015" t="str">
            <v>OrthoLite Regular-Hybrid-Nike YELLOW/13-0858TPX Hybrid Flat Sheet 0.11D 25+/-4 Asker C 1.1M 1.7M 2mm</v>
          </cell>
          <cell r="F2015">
            <v>2</v>
          </cell>
        </row>
        <row r="2016">
          <cell r="B2016" t="str">
            <v>F-2026-03-53</v>
          </cell>
          <cell r="C2016" t="str">
            <v>BDB-000264</v>
          </cell>
          <cell r="D2016" t="str">
            <v>PVN-003881</v>
          </cell>
          <cell r="E2016" t="str">
            <v>OrthoLite Ultra YELLOW/13-0858TPX Flat Sheet 0.085D 25+/-4 Asker C 1.1M 1.47M 5mm</v>
          </cell>
          <cell r="F2016">
            <v>1</v>
          </cell>
        </row>
        <row r="2017">
          <cell r="B2017" t="str">
            <v>F-2026-03-108</v>
          </cell>
          <cell r="C2017" t="str">
            <v>BDB-000011</v>
          </cell>
          <cell r="D2017" t="str">
            <v>PVN-000121</v>
          </cell>
          <cell r="E2017" t="str">
            <v>OrthoLite Regular AIR BLUE/16-4134TPX Flat Sheet 0.13D 35+/-4 Asker C 1.1M 2M 12mm</v>
          </cell>
          <cell r="F2017">
            <v>11</v>
          </cell>
        </row>
        <row r="2018">
          <cell r="B2018" t="str">
            <v>F-2026-03-73</v>
          </cell>
          <cell r="C2018" t="str">
            <v>BDB-000011</v>
          </cell>
          <cell r="D2018" t="str">
            <v>PVN-000121</v>
          </cell>
          <cell r="E2018" t="str">
            <v>OrthoLite Regular AIR BLUE/16-4134TPX Flat Sheet 0.13D 35+/-4 Asker C 1.1M 2M 12mm</v>
          </cell>
          <cell r="F2018">
            <v>1</v>
          </cell>
        </row>
        <row r="2019">
          <cell r="B2019" t="str">
            <v>F-2026-03-54</v>
          </cell>
          <cell r="C2019" t="str">
            <v>BDB-000011</v>
          </cell>
          <cell r="D2019" t="str">
            <v>PVN-000127</v>
          </cell>
          <cell r="E2019" t="str">
            <v>OrthoLite Regular AIR BLUE/16-4134TPX Flat Sheet 0.13D 35+/-4 Asker C 1.1M 2M 5mm</v>
          </cell>
          <cell r="F2019">
            <v>8</v>
          </cell>
        </row>
        <row r="2020">
          <cell r="B2020" t="str">
            <v>F-2026-01-482</v>
          </cell>
          <cell r="C2020" t="str">
            <v>BDB-000011</v>
          </cell>
          <cell r="D2020" t="str">
            <v>PVN-000242</v>
          </cell>
          <cell r="E2020" t="str">
            <v>OrthoLite Regular AIR BLUE/16-4134TPX Flat Sheet 0.13D 35+/-4 Asker C 1.1M 2M 2mm</v>
          </cell>
          <cell r="F2020">
            <v>15</v>
          </cell>
        </row>
        <row r="2021">
          <cell r="B2021" t="str">
            <v>F-2026-01-520</v>
          </cell>
          <cell r="C2021" t="str">
            <v>BDB-000234</v>
          </cell>
          <cell r="D2021" t="str">
            <v>PVN-003581</v>
          </cell>
          <cell r="E2021" t="str">
            <v>OrthoLite X-30-Hybrid BROWN SUGAR/17-1134TPX Hybrid Flat Sheet 0.13D 25+/-4 Asker C 1.1M 2M 12mm</v>
          </cell>
          <cell r="F2021">
            <v>2</v>
          </cell>
        </row>
        <row r="2022">
          <cell r="B2022" t="str">
            <v>F-2026-01-520</v>
          </cell>
          <cell r="C2022" t="str">
            <v>BDB-000234</v>
          </cell>
          <cell r="D2022" t="str">
            <v>PVN-003581</v>
          </cell>
          <cell r="E2022" t="str">
            <v>OrthoLite X-30-Hybrid BROWN SUGAR/17-1134TPX Hybrid Flat Sheet 0.13D 25+/-4 Asker C 1.1M 2M 12mm</v>
          </cell>
          <cell r="F2022">
            <v>5</v>
          </cell>
        </row>
        <row r="2023">
          <cell r="B2023" t="str">
            <v>F-2026-01-511</v>
          </cell>
          <cell r="C2023" t="str">
            <v>BDB-000113</v>
          </cell>
          <cell r="D2023" t="str">
            <v>PVN-003414</v>
          </cell>
          <cell r="E2023" t="str">
            <v>OrthoLite Regular-Hybrid SEEDPEARL/12-0703TPX Hybrid Flat Sheet 0.11D 25+/-4 Asker C 1.1M 2M 12mm</v>
          </cell>
          <cell r="F2023">
            <v>96</v>
          </cell>
        </row>
        <row r="2024">
          <cell r="B2024" t="str">
            <v>F-2026-03-134</v>
          </cell>
          <cell r="C2024" t="str">
            <v>BDB-000123</v>
          </cell>
          <cell r="D2024" t="str">
            <v>PVN-002539</v>
          </cell>
          <cell r="E2024" t="str">
            <v>OrthoLite Ultra-Hybrid SEEDPEARL/12-0703TPX Hybrid Flat Sheet 0.085D 25+/-4 Asker C 1.1M 2M 5mm</v>
          </cell>
          <cell r="F2024">
            <v>20</v>
          </cell>
        </row>
        <row r="2025">
          <cell r="B2025" t="str">
            <v>F-2026-03-245</v>
          </cell>
          <cell r="C2025" t="str">
            <v>BDB-000123</v>
          </cell>
          <cell r="D2025" t="str">
            <v>PVN-003300</v>
          </cell>
          <cell r="E2025" t="str">
            <v>OrthoLite Ultra-Hybrid SEEDPEARL/12-0703TPX Hybrid Flat Sheet 0.085D 25+/-4 Asker C 1.1M 2M 2mm</v>
          </cell>
          <cell r="F2025">
            <v>2</v>
          </cell>
        </row>
        <row r="2026">
          <cell r="B2026" t="str">
            <v>F-2026-03-126</v>
          </cell>
          <cell r="C2026" t="str">
            <v>BDB-000123</v>
          </cell>
          <cell r="D2026" t="str">
            <v>PVN-003300</v>
          </cell>
          <cell r="E2026" t="str">
            <v>OrthoLite Ultra-Hybrid SEEDPEARL/12-0703TPX Hybrid Flat Sheet 0.085D 25+/-4 Asker C 1.1M 2M 2mm</v>
          </cell>
          <cell r="F2026">
            <v>15</v>
          </cell>
        </row>
        <row r="2027">
          <cell r="B2027" t="str">
            <v>F-2026-03-98</v>
          </cell>
          <cell r="C2027" t="str">
            <v>BDB-000123</v>
          </cell>
          <cell r="D2027" t="str">
            <v>PVN-003300</v>
          </cell>
          <cell r="E2027" t="str">
            <v>OrthoLite Ultra-Hybrid SEEDPEARL/12-0703TPX Hybrid Flat Sheet 0.085D 25+/-4 Asker C 1.1M 2M 2mm</v>
          </cell>
          <cell r="F2027">
            <v>2</v>
          </cell>
        </row>
        <row r="2028">
          <cell r="B2028" t="str">
            <v>F-2026-01-510-2</v>
          </cell>
          <cell r="C2028" t="str">
            <v>BDB-000113</v>
          </cell>
          <cell r="D2028" t="str">
            <v>PVN-003414</v>
          </cell>
          <cell r="E2028" t="str">
            <v>OrthoLite Regular-Hybrid SEEDPEARL/12-0703TPX Hybrid Flat Sheet 0.11D 25+/-4 Asker C 1.1M 2M 20mm</v>
          </cell>
          <cell r="F2028">
            <v>8</v>
          </cell>
        </row>
        <row r="2029">
          <cell r="B2029" t="str">
            <v>F-2026-03-111</v>
          </cell>
          <cell r="C2029" t="str">
            <v>BDB-000123</v>
          </cell>
          <cell r="D2029" t="str">
            <v>PVN-004024</v>
          </cell>
          <cell r="E2029" t="str">
            <v>OrthoLite Ultra-Hybrid SEEDPEARL/12-0703TPX Hybrid Flat Sheet 0.085D 25+/-4 Asker C 1.1M 2M 5.2mm</v>
          </cell>
          <cell r="F2029">
            <v>3</v>
          </cell>
        </row>
        <row r="2030">
          <cell r="B2030" t="str">
            <v>OIN-2026.02.17-01</v>
          </cell>
          <cell r="C2030" t="str">
            <v>BDB-000123</v>
          </cell>
          <cell r="D2030" t="str">
            <v>PVN-003784</v>
          </cell>
          <cell r="E2030" t="str">
            <v xml:space="preserve">[116-311] Ultra Hybrid 25+/-4 Asker C 0.085D Seedpearl 12-0703 Tpx 1.10M X 2.00M 47mm </v>
          </cell>
          <cell r="F2030">
            <v>15</v>
          </cell>
        </row>
        <row r="2031">
          <cell r="B2031" t="str">
            <v>F-2026-03-204</v>
          </cell>
          <cell r="C2031" t="str">
            <v>BDB-000363</v>
          </cell>
          <cell r="D2031" t="str">
            <v>PVN-004260</v>
          </cell>
          <cell r="E2031" t="str">
            <v>OrthoLite HybridPlus-Recycled MINT GREEN/11-4805TPX Hybrid Flat Sheet 0.12D 35+/-4 Asker C 1.1M 2M 5.5mm</v>
          </cell>
          <cell r="F2031">
            <v>1</v>
          </cell>
        </row>
        <row r="2032">
          <cell r="B2032" t="str">
            <v>F-2026-03-169</v>
          </cell>
          <cell r="C2032" t="str">
            <v>BDB-000363</v>
          </cell>
          <cell r="D2032" t="str">
            <v>PVN-004260</v>
          </cell>
          <cell r="E2032" t="str">
            <v>OrthoLite HybridPlus-Recycled MINT GREEN/11-4805TPX Hybrid Flat Sheet 0.12D 35+/-4 Asker C 1.1M 2M 5.5mm</v>
          </cell>
          <cell r="F2032">
            <v>2</v>
          </cell>
        </row>
        <row r="2033">
          <cell r="B2033" t="str">
            <v>F-2026-03-130</v>
          </cell>
          <cell r="C2033" t="str">
            <v>BDB-000076</v>
          </cell>
          <cell r="D2033" t="str">
            <v>PVN-003448</v>
          </cell>
          <cell r="E2033" t="str">
            <v>OrthoLite X-25 BILLIARD/16-5427TPX Flat Sheet 0.12D 20+/-4 Asker C 1.1M 2M 6.2mm</v>
          </cell>
          <cell r="F2033">
            <v>2</v>
          </cell>
        </row>
        <row r="2034">
          <cell r="B2034" t="str">
            <v>F-2026-03-81</v>
          </cell>
          <cell r="C2034" t="str">
            <v>BDB-000355</v>
          </cell>
          <cell r="D2034" t="str">
            <v>PVN-004231</v>
          </cell>
          <cell r="E2034" t="str">
            <v>OrthoLite HybridPlus-Recycled CASTLEROCK/18-0201TPX Hybrid Flat Sheet 0.12D 25+/-4 Asker C 1.1M 2M 4.5mm</v>
          </cell>
          <cell r="F2034">
            <v>3</v>
          </cell>
        </row>
        <row r="2035">
          <cell r="B2035" t="str">
            <v>F-2026-03-120</v>
          </cell>
          <cell r="C2035" t="str">
            <v>BDB-000355</v>
          </cell>
          <cell r="D2035" t="str">
            <v>PVN-004231</v>
          </cell>
          <cell r="E2035" t="str">
            <v>OrthoLite HybridPlus-Recycled CASTLEROCK/18-0201TPX Hybrid Flat Sheet 0.12D 25+/-4 Asker C 1.1M 2M 4.5mm</v>
          </cell>
          <cell r="F2035">
            <v>54</v>
          </cell>
        </row>
        <row r="2036">
          <cell r="B2036" t="str">
            <v>F-2026-03-106</v>
          </cell>
          <cell r="C2036" t="str">
            <v>BDB-000010</v>
          </cell>
          <cell r="D2036" t="str">
            <v>PVN-003437</v>
          </cell>
          <cell r="E2036" t="str">
            <v>OrthoLite Regular AIR BLUE/16-4134TPX Flat Sheet 0.11D 25+/-4 Asker C 1.1M 2M 10.5mm</v>
          </cell>
          <cell r="F2036">
            <v>11</v>
          </cell>
        </row>
        <row r="2037">
          <cell r="B2037" t="str">
            <v>F-2026-03-75</v>
          </cell>
          <cell r="C2037" t="str">
            <v>BDB-000094</v>
          </cell>
          <cell r="D2037" t="str">
            <v>PVN-004255</v>
          </cell>
          <cell r="E2037" t="str">
            <v>OrthoLite Eco LT 300C(ADIDAS BLUEBIRD) Flat Sheet 0.11D 25+/-4 Asker C 1.1M 1.47M 12mm</v>
          </cell>
          <cell r="F2037">
            <v>9</v>
          </cell>
        </row>
        <row r="2038">
          <cell r="B2038" t="str">
            <v>F-2026-03-140</v>
          </cell>
          <cell r="C2038" t="str">
            <v>BDB-000094</v>
          </cell>
          <cell r="D2038" t="str">
            <v>PVN-004255</v>
          </cell>
          <cell r="E2038" t="str">
            <v>OrthoLite Eco LT 300C(ADIDAS BLUEBIRD) Flat Sheet 0.11D 25+/-4 Asker C 1.1M 1.47M 12mm</v>
          </cell>
          <cell r="F2038">
            <v>2</v>
          </cell>
        </row>
        <row r="2039">
          <cell r="B2039" t="str">
            <v>OIN-2026.02.23-01</v>
          </cell>
          <cell r="C2039" t="str">
            <v>BDB-000123</v>
          </cell>
          <cell r="D2039" t="str">
            <v>PVN-003784</v>
          </cell>
          <cell r="E2039" t="str">
            <v>[116-311] Ultra Hybrid 25+/-4 Asker C 0.085D Seedpearl 12-0703 Tpx 1.10M X 2.00M 47mm</v>
          </cell>
          <cell r="F2039">
            <v>217</v>
          </cell>
        </row>
        <row r="2040">
          <cell r="B2040" t="str">
            <v>OIN-2026.02.28-04</v>
          </cell>
          <cell r="C2040" t="str">
            <v>BDB-000374</v>
          </cell>
          <cell r="D2040">
            <v>0</v>
          </cell>
          <cell r="E2040" t="str">
            <v>[116-15588] Regular 45+/-4 Asker C 0.15D Fossil 17-0909 Tpx 1.10M X 2.00M 47mm</v>
          </cell>
          <cell r="F2040">
            <v>3</v>
          </cell>
        </row>
        <row r="2041">
          <cell r="B2041" t="str">
            <v>F-2026-03-158</v>
          </cell>
          <cell r="C2041" t="str">
            <v>BDB-000105</v>
          </cell>
          <cell r="D2041" t="str">
            <v>PVN-002556</v>
          </cell>
          <cell r="E2041" t="str">
            <v>OrthoLite Eco LT-Hybrid AIR BLUE/16-4134TPX 0.13D 35+/-4 Asker C 1.1M 2M 4mm</v>
          </cell>
          <cell r="F2041">
            <v>1</v>
          </cell>
        </row>
        <row r="2042">
          <cell r="B2042" t="str">
            <v>F-2026-01-424</v>
          </cell>
          <cell r="C2042" t="str">
            <v>BDB-000175</v>
          </cell>
          <cell r="D2042" t="str">
            <v>PVN-002966</v>
          </cell>
          <cell r="E2042" t="str">
            <v>OrthoLite Ultra-Hybrid-Nike SEEDPEARL/12-0703TPX Hybrid 0.085D 25+/-4 Asker C 1.1M 2M 4mm</v>
          </cell>
          <cell r="F2042">
            <v>5</v>
          </cell>
        </row>
        <row r="2043">
          <cell r="B2043" t="str">
            <v>F-2026-01-337</v>
          </cell>
          <cell r="C2043" t="str">
            <v>BDB-000123</v>
          </cell>
          <cell r="D2043" t="str">
            <v>PVN-003298</v>
          </cell>
          <cell r="E2043" t="str">
            <v>OrthoLite Ultra-Hybrid SEEDPEARL/12-0703TPX Hybrid 0.085D 25+/-4 Asker C 1.1M 2M 4mm</v>
          </cell>
          <cell r="F2043">
            <v>200</v>
          </cell>
        </row>
        <row r="2044">
          <cell r="B2044" t="str">
            <v>F-2026-01-249</v>
          </cell>
          <cell r="C2044" t="str">
            <v>BDB-000097</v>
          </cell>
          <cell r="D2044" t="str">
            <v>PVN-002478</v>
          </cell>
          <cell r="E2044" t="str">
            <v>OrthoLite Eco LT-Hybrid SEEDPEARL/12-0703TPX Hybrid 0.11D 25+/-4 Asker C 1.1M 2M 4mm</v>
          </cell>
          <cell r="F2044">
            <v>2</v>
          </cell>
        </row>
        <row r="2045">
          <cell r="B2045" t="str">
            <v>F-2026-01-247</v>
          </cell>
          <cell r="C2045" t="str">
            <v>BDB-000097</v>
          </cell>
          <cell r="D2045" t="str">
            <v>PVN-002478</v>
          </cell>
          <cell r="E2045" t="str">
            <v>OrthoLite Eco LT-Hybrid SEEDPEARL/12-0703TPX Hybrid 0.11D 25+/-4 Asker C 1.1M 2M 4mm</v>
          </cell>
          <cell r="F2045">
            <v>4</v>
          </cell>
        </row>
        <row r="2046">
          <cell r="B2046" t="str">
            <v>F-2026-01-338</v>
          </cell>
          <cell r="C2046" t="str">
            <v>BDB-000123</v>
          </cell>
          <cell r="D2046" t="str">
            <v>PVN-003298</v>
          </cell>
          <cell r="E2046" t="str">
            <v>OrthoLite Ultra-Hybrid SEEDPEARL/12-0703TPX Hybrid 0.085D 25+/-4 Asker C 1.1M 2M 4mm</v>
          </cell>
          <cell r="F2046">
            <v>121</v>
          </cell>
        </row>
        <row r="2047">
          <cell r="B2047" t="str">
            <v>F-2026-01-385</v>
          </cell>
          <cell r="C2047" t="str">
            <v>BDB-000129</v>
          </cell>
          <cell r="D2047" t="str">
            <v>PVN-001550</v>
          </cell>
          <cell r="E2047" t="str">
            <v>OrthoLite Regular-Nike AIR BLUE/16-4134TPX 0.11D 25+/-4 Asker C 1.1M 1.7M 2mm</v>
          </cell>
          <cell r="F2047">
            <v>9</v>
          </cell>
        </row>
        <row r="2048">
          <cell r="B2048" t="str">
            <v>F-2026-03-132</v>
          </cell>
          <cell r="C2048" t="str">
            <v>BDB-000113</v>
          </cell>
          <cell r="D2048" t="str">
            <v>PVN-002465</v>
          </cell>
          <cell r="E2048" t="str">
            <v>OrthoLite Regular-Hybrid SEEDPEARL/12-0703TPX Hybrid Flat Sheet 0.11D 25+/-4 Asker C 1.1M 2M 5mm</v>
          </cell>
          <cell r="F2048">
            <v>16</v>
          </cell>
        </row>
        <row r="2049">
          <cell r="B2049" t="str">
            <v>F-2026-02-312</v>
          </cell>
          <cell r="C2049" t="str">
            <v>BDB-000131</v>
          </cell>
          <cell r="D2049" t="str">
            <v>PVN-001565</v>
          </cell>
          <cell r="E2049" t="str">
            <v>OrthoLite Regular-Nike AIR BLUE/16-4134TPX 0.11D 15+/-4 Asker C 1.1M 2M 4mm</v>
          </cell>
          <cell r="F2049">
            <v>27</v>
          </cell>
        </row>
        <row r="2050">
          <cell r="B2050" t="str">
            <v>S-2026-03-76</v>
          </cell>
          <cell r="C2050" t="str">
            <v>BDB-000014</v>
          </cell>
          <cell r="D2050" t="str">
            <v>PVN-000089</v>
          </cell>
          <cell r="E2050" t="str">
            <v>OrthoLite Regular AIR BLUE/16-4134TPX Flat Sheet 0.11D 25+/-4 Asker C 1.1M 1.47M 3mm</v>
          </cell>
          <cell r="F2050">
            <v>1</v>
          </cell>
        </row>
        <row r="2051">
          <cell r="B2051" t="str">
            <v>F-2026-03-56</v>
          </cell>
          <cell r="C2051" t="str">
            <v>BDB-000083</v>
          </cell>
          <cell r="D2051" t="str">
            <v>PVN-000930</v>
          </cell>
          <cell r="E2051" t="str">
            <v>OrthoLite Eco LT 300C(ADIDAS BLUEBIRD) Flat Sheet 0.11D 25+/-4 Asker C 1.1M 2M 3mm</v>
          </cell>
          <cell r="F2051">
            <v>11</v>
          </cell>
        </row>
        <row r="2052">
          <cell r="B2052" t="str">
            <v>F-2026-02-228</v>
          </cell>
          <cell r="C2052" t="str">
            <v>BDB-000123</v>
          </cell>
          <cell r="D2052" t="str">
            <v>PVN-003299</v>
          </cell>
          <cell r="E2052" t="str">
            <v>OrthoLite Ultra-Hybrid SEEDPEARL/12-0703TPX Hybrid 0.085D 25+/-4 Asker C 1.1M 2M 3mm</v>
          </cell>
          <cell r="F2052">
            <v>9</v>
          </cell>
        </row>
        <row r="2053">
          <cell r="B2053" t="str">
            <v>F-2026-03-219</v>
          </cell>
          <cell r="C2053" t="str">
            <v>BDB-000149</v>
          </cell>
          <cell r="D2053" t="str">
            <v>PVN-002773</v>
          </cell>
          <cell r="E2053" t="str">
            <v>OrthoLite Regular-Hybrid-Nike SEEDPEARL/12-0703TPX Hybrid Flat Sheet 0.11D 25+/-4 Asker C 1.1M 2M 4mm</v>
          </cell>
          <cell r="F2053">
            <v>3</v>
          </cell>
        </row>
        <row r="2054">
          <cell r="B2054" t="str">
            <v>F-2026-01-236</v>
          </cell>
          <cell r="C2054" t="str">
            <v>BDB-000217</v>
          </cell>
          <cell r="D2054" t="str">
            <v>PVN-003539</v>
          </cell>
          <cell r="E2054" t="str">
            <v>OrthoLite X-40-Hybrid SEEDPEARL/12-0703TPX Hybrid Flat Sheet 0.16D 35+/-4 Asker C 1.1M 1.7M 6.2mm</v>
          </cell>
          <cell r="F2054">
            <v>46</v>
          </cell>
        </row>
        <row r="2055">
          <cell r="B2055" t="str">
            <v>F-2026-01-338</v>
          </cell>
          <cell r="C2055" t="str">
            <v>BDB-000123</v>
          </cell>
          <cell r="D2055" t="str">
            <v>PVN-003298</v>
          </cell>
          <cell r="E2055" t="str">
            <v>OrthoLite Ultra-Hybrid SEEDPEARL/12-0703TPX Hybrid 0.085D 25+/-4 Asker C 1.1M 2M 4mm</v>
          </cell>
          <cell r="F2055">
            <v>79</v>
          </cell>
        </row>
        <row r="2056">
          <cell r="B2056" t="str">
            <v>S-2026-03-83</v>
          </cell>
          <cell r="C2056" t="str">
            <v>BDB-000011</v>
          </cell>
          <cell r="D2056" t="str">
            <v>PVN-000258</v>
          </cell>
          <cell r="E2056" t="str">
            <v>OrthoLite Regular AIR BLUE/16-4134TPX Flat Sheet 0.13D 35+/-4 Asker C 1.1M 2M 2.5mm</v>
          </cell>
          <cell r="F2056">
            <v>1</v>
          </cell>
        </row>
        <row r="2057">
          <cell r="B2057" t="str">
            <v>S-2026-03-84</v>
          </cell>
          <cell r="C2057" t="str">
            <v>BDB-000011</v>
          </cell>
          <cell r="D2057" t="str">
            <v>PVN-000242</v>
          </cell>
          <cell r="E2057" t="str">
            <v>OrthoLite Regular AIR BLUE/16-4134TPX Flat Sheet 0.13D 35+/-4 Asker C 1.1M 2M 2mm</v>
          </cell>
          <cell r="F2057">
            <v>1</v>
          </cell>
        </row>
        <row r="2058">
          <cell r="B2058" t="str">
            <v>S-2026-03-87</v>
          </cell>
          <cell r="C2058" t="str">
            <v>BDB-000123</v>
          </cell>
          <cell r="D2058" t="str">
            <v>PVN-003298</v>
          </cell>
          <cell r="E2058" t="str">
            <v>OrthoLite Ultra-Hybrid SEEDPEARL/12-0703TPX Hybrid 0.085D 25+/-4 Asker C 1.1M 2M 4mm</v>
          </cell>
          <cell r="F2058">
            <v>2</v>
          </cell>
        </row>
        <row r="2059">
          <cell r="B2059" t="str">
            <v>S-2026-03-85</v>
          </cell>
          <cell r="C2059" t="str">
            <v>BDB-000113</v>
          </cell>
          <cell r="D2059" t="str">
            <v>PVN-002501</v>
          </cell>
          <cell r="E2059" t="str">
            <v>OrthoLite Regular-Hybrid SEEDPEARL/12-0703TPX Hybrid Flat Sheet 0.11D 25+/-4 Asker C 1.1M 2M 2mm</v>
          </cell>
          <cell r="F2059">
            <v>1</v>
          </cell>
        </row>
        <row r="2060">
          <cell r="B2060" t="str">
            <v>S-2026-03-81</v>
          </cell>
          <cell r="C2060" t="str">
            <v>BDB-000377</v>
          </cell>
          <cell r="D2060" t="str">
            <v>PVN-004335</v>
          </cell>
          <cell r="E2060" t="str">
            <v>OrthoLite Regular GREY/17-1501TPX Flat Sheet 0.11D 15+/-4 Asker C 1.1M 2M 22mm</v>
          </cell>
          <cell r="F2060">
            <v>4</v>
          </cell>
        </row>
        <row r="2061">
          <cell r="B2061" t="str">
            <v>S-2026-03-86</v>
          </cell>
          <cell r="C2061" t="str">
            <v>BDB-000051</v>
          </cell>
          <cell r="D2061" t="str">
            <v>PVN-003323</v>
          </cell>
          <cell r="E2061" t="str">
            <v>OrthoLite X-40 TRUE BLUE/19-4057TPX Flat Sheet 0.16D 25+/-4 Asker C 1.1M 1.7M 3mm</v>
          </cell>
          <cell r="F2061">
            <v>1</v>
          </cell>
        </row>
        <row r="2062">
          <cell r="B2062" t="str">
            <v>S-2026-03-59</v>
          </cell>
          <cell r="C2062" t="str">
            <v>BDB-000051</v>
          </cell>
          <cell r="D2062" t="str">
            <v>PVN-003319</v>
          </cell>
          <cell r="E2062" t="str">
            <v>OrthoLite X-40 TRUE BLUE/19-4057TPX Flat Sheet 0.16D 25+/-4 Asker C 1.1M 1.7M 12mm</v>
          </cell>
          <cell r="F2062">
            <v>4</v>
          </cell>
        </row>
        <row r="2063">
          <cell r="B2063" t="str">
            <v>F-2026-03-90</v>
          </cell>
          <cell r="C2063" t="str">
            <v>BDB-000052</v>
          </cell>
          <cell r="D2063" t="str">
            <v>PVN-004308</v>
          </cell>
          <cell r="E2063" t="str">
            <v>OrthoLite X-40 TRUE BLUE/19-4057TPX Flat Sheet 0.16D 25+/-4 Asker C 1.1M 1.47M 3mm</v>
          </cell>
          <cell r="F2063">
            <v>13</v>
          </cell>
        </row>
        <row r="2064">
          <cell r="B2064" t="str">
            <v>F-2026-03-76</v>
          </cell>
          <cell r="C2064" t="str">
            <v>BDB-000052</v>
          </cell>
          <cell r="D2064" t="str">
            <v>PVN-003603</v>
          </cell>
          <cell r="E2064" t="str">
            <v>OrthoLite X-40 TRUE BLUE/19-4057TPX Flat Sheet 0.16D 25+/-4 Asker C 1.1M 1.47M 12mm</v>
          </cell>
          <cell r="F2064">
            <v>52</v>
          </cell>
        </row>
        <row r="2065">
          <cell r="B2065" t="str">
            <v>F-2026-03-141</v>
          </cell>
          <cell r="C2065" t="str">
            <v>BDB-000051</v>
          </cell>
          <cell r="D2065" t="str">
            <v>PVN-003319</v>
          </cell>
          <cell r="E2065" t="str">
            <v>OrthoLite X-40 TRUE BLUE/19-4057TPX Flat Sheet 0.16D 25+/-4 Asker C 1.1M 1.7M 12mm</v>
          </cell>
          <cell r="F2065">
            <v>48</v>
          </cell>
        </row>
        <row r="2066">
          <cell r="B2066" t="str">
            <v>F-2026-03-77</v>
          </cell>
          <cell r="C2066" t="str">
            <v>BDB-000051</v>
          </cell>
          <cell r="D2066" t="str">
            <v>PVN-003319</v>
          </cell>
          <cell r="E2066" t="str">
            <v>OrthoLite X-40 TRUE BLUE/19-4057TPX Flat Sheet 0.16D 25+/-4 Asker C 1.1M 1.7M 12mm</v>
          </cell>
          <cell r="F2066">
            <v>15</v>
          </cell>
        </row>
        <row r="2067">
          <cell r="B2067" t="str">
            <v>F-2026-03-114</v>
          </cell>
          <cell r="C2067" t="str">
            <v>BDB-000051</v>
          </cell>
          <cell r="D2067" t="str">
            <v>PVN-003319</v>
          </cell>
          <cell r="E2067" t="str">
            <v>OrthoLite X-40 TRUE BLUE/19-4057TPX Flat Sheet 0.16D 25+/-4 Asker C 1.1M 1.7M 12mm</v>
          </cell>
          <cell r="F2067">
            <v>6</v>
          </cell>
        </row>
        <row r="2068">
          <cell r="B2068" t="str">
            <v>F-2026-03-123</v>
          </cell>
          <cell r="C2068" t="str">
            <v>BDB-000154</v>
          </cell>
          <cell r="D2068" t="str">
            <v>PVN-003347</v>
          </cell>
          <cell r="E2068" t="str">
            <v>OrthoLite X-40-Nike TRUE BLUE/19-4057TPX Flat Sheet 0.16D 35+/-4 Asker C 1.1M 1.7M 4mm</v>
          </cell>
          <cell r="F2068">
            <v>17</v>
          </cell>
        </row>
        <row r="2069">
          <cell r="B2069" t="str">
            <v>F-2026-02-372</v>
          </cell>
          <cell r="C2069" t="str">
            <v>BDB-000217</v>
          </cell>
          <cell r="D2069" t="str">
            <v>PVN-003483</v>
          </cell>
          <cell r="E2069" t="str">
            <v>OrthoLite X-40-Hybrid SEEDPEARL/12-0703TPX Hybrid 0.16D 35+/-4 Asker C 1.1M 1.7M 12mm</v>
          </cell>
          <cell r="F2069">
            <v>28</v>
          </cell>
        </row>
        <row r="2070">
          <cell r="B2070" t="str">
            <v>F-2026-03-67</v>
          </cell>
          <cell r="C2070" t="str">
            <v>BDB-000324</v>
          </cell>
          <cell r="D2070" t="str">
            <v>PVN-004110</v>
          </cell>
          <cell r="E2070" t="str">
            <v>OrthoLite X-40 TRUE BLUE/19-4057TPX Flat Sheet 0.16D 25+/-4 Asker C 1.1M 2M 14.5mm</v>
          </cell>
          <cell r="F2070">
            <v>3</v>
          </cell>
        </row>
        <row r="2071">
          <cell r="B2071" t="str">
            <v>F-2026-03-148</v>
          </cell>
          <cell r="C2071" t="str">
            <v>BDB-000149</v>
          </cell>
          <cell r="D2071" t="str">
            <v>PVN-002827</v>
          </cell>
          <cell r="E2071" t="str">
            <v>OrthoLite Regular-Hybrid-Nike SEEDPEARL/12-0703TPX Hybrid Flat Sheet 0.11D 25+/-4 Asker C 1.1M 2M 5mm</v>
          </cell>
          <cell r="F2071">
            <v>6</v>
          </cell>
        </row>
        <row r="2072">
          <cell r="B2072" t="str">
            <v>F-2026-03-286</v>
          </cell>
          <cell r="C2072" t="str">
            <v>BDB-000149</v>
          </cell>
          <cell r="D2072" t="str">
            <v>PVN-002827</v>
          </cell>
          <cell r="E2072" t="str">
            <v>OrthoLite Regular-Hybrid-Nike SEEDPEARL/12-0703TPX Hybrid Flat Sheet 0.11D 25+/-4 Asker C 1.1M 2M 5mm</v>
          </cell>
          <cell r="F2072">
            <v>1</v>
          </cell>
        </row>
        <row r="2073">
          <cell r="B2073" t="str">
            <v>F-2026-03-225</v>
          </cell>
          <cell r="C2073" t="str">
            <v>BDB-000145</v>
          </cell>
          <cell r="D2073" t="str">
            <v>PVN-002811</v>
          </cell>
          <cell r="E2073" t="str">
            <v>OrthoLite Regular-Hybrid-Nike YELLOW/13-0858TPX Hybrid Flat Sheet 0.11D 25+/-4 Asker C 1.1M 1.7M 2mm</v>
          </cell>
          <cell r="F2073">
            <v>7</v>
          </cell>
        </row>
        <row r="2074">
          <cell r="B2074" t="str">
            <v>F-2026-03-146</v>
          </cell>
          <cell r="C2074" t="str">
            <v>BDB-000008</v>
          </cell>
          <cell r="D2074" t="str">
            <v>PVN-000412</v>
          </cell>
          <cell r="E2074" t="str">
            <v>OrthoLite Regular LIME GREEN/14-0452TPX Flat Sheet 0.11D 25+/-4 Asker C 1.1M 2M 5mm</v>
          </cell>
          <cell r="F2074">
            <v>3</v>
          </cell>
        </row>
        <row r="2075">
          <cell r="B2075" t="str">
            <v>F-2026-03-109</v>
          </cell>
          <cell r="C2075" t="str">
            <v>BDB-000008</v>
          </cell>
          <cell r="D2075" t="str">
            <v>PVN-000505</v>
          </cell>
          <cell r="E2075" t="str">
            <v>OrthoLite Regular LIME GREEN/14-0452TPX Flat Sheet 0.11D 25+/-4 Asker C 1.1M 2M 12mm</v>
          </cell>
          <cell r="F2075">
            <v>1</v>
          </cell>
        </row>
        <row r="2076">
          <cell r="B2076" t="str">
            <v>F-2026-03-137</v>
          </cell>
          <cell r="C2076" t="str">
            <v>BDB-000008</v>
          </cell>
          <cell r="D2076" t="str">
            <v>PVN-000505</v>
          </cell>
          <cell r="E2076" t="str">
            <v>OrthoLite Regular LIME GREEN/14-0452TPX Flat Sheet 0.11D 25+/-4 Asker C 1.1M 2M 12mm</v>
          </cell>
          <cell r="F2076">
            <v>9</v>
          </cell>
        </row>
        <row r="2077">
          <cell r="B2077" t="str">
            <v>F-2026-03-196</v>
          </cell>
          <cell r="C2077" t="str">
            <v>BDB-000011</v>
          </cell>
          <cell r="D2077" t="str">
            <v>PVN-000127</v>
          </cell>
          <cell r="E2077" t="str">
            <v>OrthoLite Regular AIR BLUE/16-4134TPX Flat Sheet 0.13D 35+/-4 Asker C 1.1M 2M 5mm</v>
          </cell>
          <cell r="F2077">
            <v>7</v>
          </cell>
        </row>
        <row r="2078">
          <cell r="B2078" t="str">
            <v>F-2026-03-124</v>
          </cell>
          <cell r="C2078" t="str">
            <v>BDB-000016</v>
          </cell>
          <cell r="D2078" t="str">
            <v>PVN-000458</v>
          </cell>
          <cell r="E2078" t="str">
            <v>OrthoLite Regular GREEN/16-5932TPX Flat Sheet 0.13D 35+/-4 Asker C 1.1M 2M 3mm</v>
          </cell>
          <cell r="F2078">
            <v>16</v>
          </cell>
        </row>
        <row r="2079">
          <cell r="B2079" t="str">
            <v>F-2026-01-511</v>
          </cell>
          <cell r="C2079" t="str">
            <v>BDB-000113</v>
          </cell>
          <cell r="D2079" t="str">
            <v>PVN-003414</v>
          </cell>
          <cell r="E2079" t="str">
            <v>OrthoLite Regular-Hybrid SEEDPEARL/12-0703TPX Hybrid Flat Sheet 0.11D 25+/-4 Asker C 1.1M 2M 12mm</v>
          </cell>
          <cell r="F2079">
            <v>252</v>
          </cell>
        </row>
        <row r="2080">
          <cell r="B2080" t="str">
            <v>F-2026-03-195</v>
          </cell>
          <cell r="C2080" t="str">
            <v>BDB-000010</v>
          </cell>
          <cell r="D2080" t="str">
            <v>PVN-000099</v>
          </cell>
          <cell r="E2080" t="str">
            <v>OrthoLite Regular AIR BLUE/16-4134TPX 0.11D 25+/-4 Asker C 1.1M 2M 2mm</v>
          </cell>
          <cell r="F2080">
            <v>7</v>
          </cell>
        </row>
        <row r="2081">
          <cell r="B2081" t="str">
            <v>F-2026-03-259</v>
          </cell>
          <cell r="C2081" t="str">
            <v>BDB-000113</v>
          </cell>
          <cell r="D2081" t="str">
            <v>PVN-002465</v>
          </cell>
          <cell r="E2081" t="str">
            <v>OrthoLite Regular-Hybrid SEEDPEARL/12-0703TPX Hybrid Flat Sheet 0.11D 25+/-4 Asker C 1.1M 2M 5mm</v>
          </cell>
          <cell r="F2081">
            <v>1</v>
          </cell>
        </row>
        <row r="2082">
          <cell r="B2082" t="str">
            <v>F-2026-03-215</v>
          </cell>
          <cell r="C2082" t="str">
            <v>BDB-000113</v>
          </cell>
          <cell r="D2082" t="str">
            <v>PVN-003796</v>
          </cell>
          <cell r="E2082" t="str">
            <v>OrthoLite Regular-Hybrid SEEDPEARL/12-0703TPX Hybrid Flat Sheet 0.11D 25+/-4 Asker C 1.1M 2M 3.5mm</v>
          </cell>
          <cell r="F2082">
            <v>2</v>
          </cell>
        </row>
        <row r="2083">
          <cell r="B2083" t="str">
            <v>F-2026-03-294</v>
          </cell>
          <cell r="C2083" t="str">
            <v>BDB-000113</v>
          </cell>
          <cell r="D2083" t="str">
            <v>PVN-002465</v>
          </cell>
          <cell r="E2083" t="str">
            <v>OrthoLite Regular-Hybrid SEEDPEARL/12-0703TPX Hybrid Flat Sheet 0.11D 25+/-4 Asker C 1.1M 2M 5mm</v>
          </cell>
          <cell r="F2083">
            <v>64</v>
          </cell>
        </row>
        <row r="2084">
          <cell r="B2084" t="str">
            <v>F-2026-03-101</v>
          </cell>
          <cell r="C2084" t="str">
            <v>BDB-000113</v>
          </cell>
          <cell r="D2084" t="str">
            <v>PVN-002465</v>
          </cell>
          <cell r="E2084" t="str">
            <v>OrthoLite Regular-Hybrid SEEDPEARL/12-0703TPX Hybrid Flat Sheet 0.11D 25+/-4 Asker C 1.1M 2M 5mm</v>
          </cell>
          <cell r="F2084">
            <v>9</v>
          </cell>
        </row>
        <row r="2085">
          <cell r="B2085" t="str">
            <v>F-2026-03-202</v>
          </cell>
          <cell r="C2085" t="str">
            <v>BDB-000113</v>
          </cell>
          <cell r="D2085" t="str">
            <v>PVN-002465</v>
          </cell>
          <cell r="E2085" t="str">
            <v>OrthoLite Regular-Hybrid SEEDPEARL/12-0703TPX Hybrid Flat Sheet 0.11D 25+/-4 Asker C 1.1M 2M 5mm</v>
          </cell>
          <cell r="F2085">
            <v>11</v>
          </cell>
        </row>
        <row r="2086">
          <cell r="B2086" t="str">
            <v>F-2026-03-252</v>
          </cell>
          <cell r="C2086" t="str">
            <v>BDB-000363</v>
          </cell>
          <cell r="D2086" t="str">
            <v>PVN-004260</v>
          </cell>
          <cell r="E2086" t="str">
            <v>OrthoLite HybridPlus-Recycled MINT GREEN/11-4805TPX Hybrid Flat Sheet 0.12D 35+/-4 Asker C 1.1M 2M 5.5mm</v>
          </cell>
          <cell r="F2086">
            <v>1</v>
          </cell>
        </row>
        <row r="2087">
          <cell r="B2087" t="str">
            <v>F-2026-03-168</v>
          </cell>
          <cell r="C2087" t="str">
            <v>BDB-000123</v>
          </cell>
          <cell r="D2087" t="str">
            <v>PVN-002884</v>
          </cell>
          <cell r="E2087" t="str">
            <v>OrthoLite Ultra-Hybrid SEEDPEARL/12-0703TPX Hybrid Flat Sheet 0.085D 25+/-4 Asker C 1.1M 2M 10mm</v>
          </cell>
          <cell r="F2087">
            <v>1</v>
          </cell>
        </row>
        <row r="2088">
          <cell r="B2088" t="str">
            <v>F-2026-03-235</v>
          </cell>
          <cell r="C2088" t="str">
            <v>BDB-000363</v>
          </cell>
          <cell r="D2088" t="str">
            <v>PVN-004260</v>
          </cell>
          <cell r="E2088" t="str">
            <v>OrthoLite HybridPlus-Recycled MINT GREEN/11-4805TPX Hybrid Flat Sheet 0.12D 35+/-4 Asker C 1.1M 2M 5.5mm</v>
          </cell>
          <cell r="F2088">
            <v>1</v>
          </cell>
        </row>
        <row r="2089">
          <cell r="B2089" t="str">
            <v>F-2026-03-200</v>
          </cell>
          <cell r="C2089" t="str">
            <v>BDB-000076</v>
          </cell>
          <cell r="D2089" t="str">
            <v>PVN-003448</v>
          </cell>
          <cell r="E2089" t="str">
            <v>OrthoLite X-25 BILLIARD/16-5427TPX Flat Sheet 0.12D 20+/-4 Asker C 1.1M 2M 6.2mm</v>
          </cell>
          <cell r="F2089">
            <v>2</v>
          </cell>
        </row>
        <row r="2090">
          <cell r="B2090" t="str">
            <v>F-2026-03-161</v>
          </cell>
          <cell r="C2090" t="str">
            <v>BDB-000076</v>
          </cell>
          <cell r="D2090" t="str">
            <v>PVN-003448</v>
          </cell>
          <cell r="E2090" t="str">
            <v>OrthoLite X-25 BILLIARD/16-5427TPX Flat Sheet 0.12D 20+/-4 Asker C 1.1M 2M 6.2mm</v>
          </cell>
          <cell r="F2090">
            <v>3</v>
          </cell>
        </row>
        <row r="2091">
          <cell r="B2091" t="str">
            <v>F-2026-03-97</v>
          </cell>
          <cell r="C2091" t="str">
            <v>BDB-000083</v>
          </cell>
          <cell r="D2091" t="str">
            <v>PVN-000930</v>
          </cell>
          <cell r="E2091" t="str">
            <v>OrthoLite Eco LT 300C(ADIDAS BLUEBIRD) Flat Sheet 0.11D 25+/-4 Asker C 1.1M 2M 3mm</v>
          </cell>
          <cell r="F2091">
            <v>5</v>
          </cell>
        </row>
        <row r="2092">
          <cell r="B2092" t="str">
            <v>F-2026-03-125</v>
          </cell>
          <cell r="C2092" t="str">
            <v>BDB-000083</v>
          </cell>
          <cell r="D2092" t="str">
            <v>PVN-000930</v>
          </cell>
          <cell r="E2092" t="str">
            <v>OrthoLite Eco LT 300C(ADIDAS BLUEBIRD) Flat Sheet 0.11D 25+/-4 Asker C 1.1M 2M 3mm</v>
          </cell>
          <cell r="F2092">
            <v>18</v>
          </cell>
        </row>
        <row r="2093">
          <cell r="B2093" t="str">
            <v>F-2026-02-211</v>
          </cell>
          <cell r="C2093" t="str">
            <v>BDB-000058</v>
          </cell>
          <cell r="D2093" t="str">
            <v>PVN-001319</v>
          </cell>
          <cell r="E2093" t="str">
            <v>OrthoLite Ultra GREEN/16-5932TPX 0.085D 25+/-4 Asker C 1.1M 2M 5mm</v>
          </cell>
          <cell r="F2093">
            <v>54</v>
          </cell>
        </row>
        <row r="2094">
          <cell r="B2094" t="str">
            <v>F-2026-03-236</v>
          </cell>
          <cell r="C2094" t="str">
            <v>BDB-000113</v>
          </cell>
          <cell r="D2094" t="str">
            <v>PVN-002465</v>
          </cell>
          <cell r="E2094" t="str">
            <v>OrthoLite Regular-Hybrid SEEDPEARL/12-0703TPX Hybrid Flat Sheet 0.11D 25+/-4 Asker C 1.1M 2M 5mm</v>
          </cell>
          <cell r="F2094">
            <v>80</v>
          </cell>
        </row>
        <row r="2095">
          <cell r="B2095" t="str">
            <v>F-2026-02-314</v>
          </cell>
          <cell r="C2095" t="str">
            <v>BDB-000163</v>
          </cell>
          <cell r="D2095" t="str">
            <v>PVN-001556</v>
          </cell>
          <cell r="E2095" t="str">
            <v>OrthoLite Ultra-Nike YELLOW/13-0858TPX 0.085D 25+/-4 Asker C 1.1M 2M 4mm</v>
          </cell>
          <cell r="F2095">
            <v>43</v>
          </cell>
        </row>
        <row r="2096">
          <cell r="B2096" t="str">
            <v>F-2026-03-295</v>
          </cell>
          <cell r="C2096" t="str">
            <v>BDB-000113</v>
          </cell>
          <cell r="D2096" t="str">
            <v>PVN-002465</v>
          </cell>
          <cell r="E2096" t="str">
            <v>OrthoLite Regular-Hybrid SEEDPEARL/12-0703TPX Hybrid Flat Sheet 0.11D 25+/-4 Asker C 1.1M 2M 5mm</v>
          </cell>
          <cell r="F2096">
            <v>90</v>
          </cell>
        </row>
        <row r="2097">
          <cell r="B2097" t="str">
            <v>F-2026-03-149</v>
          </cell>
          <cell r="C2097" t="str">
            <v>BDB-000113</v>
          </cell>
          <cell r="D2097" t="str">
            <v>PVN-003601</v>
          </cell>
          <cell r="E2097" t="str">
            <v>OrthoLite Regular-Hybrid SEEDPEARL/12-0703TPX Hybrid Flat Sheet 0.11D 25+/-4 Asker C 1.1M 2M 20mm</v>
          </cell>
          <cell r="F2097">
            <v>10</v>
          </cell>
        </row>
        <row r="2098">
          <cell r="B2098" t="str">
            <v>F-2026-03-163</v>
          </cell>
          <cell r="C2098" t="str">
            <v>BDB-000113</v>
          </cell>
          <cell r="D2098" t="str">
            <v>PVN-002465</v>
          </cell>
          <cell r="E2098" t="str">
            <v>OrthoLite Regular-Hybrid SEEDPEARL/12-0703TPX Hybrid Flat Sheet 0.11D 25+/-4 Asker C 1.1M 2M 5mm</v>
          </cell>
          <cell r="F2098">
            <v>26</v>
          </cell>
        </row>
        <row r="2099">
          <cell r="B2099" t="str">
            <v>F-2026-03-294</v>
          </cell>
          <cell r="C2099" t="str">
            <v>BDB-000113</v>
          </cell>
          <cell r="D2099" t="str">
            <v>PVN-002465</v>
          </cell>
          <cell r="E2099" t="str">
            <v>OrthoLite Regular-Hybrid SEEDPEARL/12-0703TPX Hybrid Flat Sheet 0.11D 25+/-4 Asker C 1.1M 2M 5mm</v>
          </cell>
          <cell r="F2099">
            <v>26</v>
          </cell>
        </row>
        <row r="2100">
          <cell r="B2100" t="str">
            <v>F-2026-03-154</v>
          </cell>
          <cell r="C2100" t="str">
            <v>BDB-000321</v>
          </cell>
          <cell r="D2100" t="str">
            <v>PVN-004105</v>
          </cell>
          <cell r="E2100" t="str">
            <v>OrthoLite Float BLUE ATOLL/16-4535TPX Flat Sheet 0.12D 21+/-4 Asker C 1.1M 2M 4mm</v>
          </cell>
          <cell r="F2100">
            <v>2</v>
          </cell>
        </row>
        <row r="2101">
          <cell r="B2101" t="str">
            <v>F-2026-02-309</v>
          </cell>
          <cell r="C2101" t="str">
            <v>BDB-000129</v>
          </cell>
          <cell r="D2101" t="str">
            <v>PVN-001550</v>
          </cell>
          <cell r="E2101" t="str">
            <v>OrthoLite Regular-Nike AIR BLUE/16-4134TPX 0.11D 25+/-4 Asker C 1.1M 1.7M 2mm</v>
          </cell>
          <cell r="F2101">
            <v>20</v>
          </cell>
        </row>
        <row r="2102">
          <cell r="B2102" t="str">
            <v>F-2026-02-269</v>
          </cell>
          <cell r="C2102" t="str">
            <v>BDB-000125</v>
          </cell>
          <cell r="D2102" t="str">
            <v>PVN-002413</v>
          </cell>
          <cell r="E2102" t="str">
            <v>OrthoLite Regular-Nike AIR BLUE/16-4134TPX Flat Sheet 0.11D 25+/-4 Asker C 1.1M 2M 4.2mm</v>
          </cell>
          <cell r="F2102">
            <v>48</v>
          </cell>
        </row>
        <row r="2103">
          <cell r="B2103" t="str">
            <v>F-2026-03-213</v>
          </cell>
          <cell r="C2103" t="str">
            <v>BDB-000125</v>
          </cell>
          <cell r="D2103" t="str">
            <v>PVN-002413</v>
          </cell>
          <cell r="E2103" t="str">
            <v>OrthoLite Regular-Nike AIR BLUE/16-4134TPX Flat Sheet 0.11D 25+/-4 Asker C 1.1M 2M 4.2mm</v>
          </cell>
          <cell r="F2103">
            <v>23</v>
          </cell>
        </row>
        <row r="2104">
          <cell r="B2104" t="str">
            <v>F-2026-01-389</v>
          </cell>
          <cell r="C2104" t="str">
            <v>BDB-000161</v>
          </cell>
          <cell r="D2104" t="str">
            <v>PVN-001560</v>
          </cell>
          <cell r="E2104" t="str">
            <v>OrthoLite Ultra-Nike FOSSIL/17-0909TPX 0.085D 25+/-4 Asker C 1.1M 2M 4mm</v>
          </cell>
          <cell r="F2104">
            <v>29</v>
          </cell>
        </row>
        <row r="2105">
          <cell r="B2105" t="str">
            <v>F-2026-03-93</v>
          </cell>
          <cell r="C2105" t="str">
            <v>BDB-000308</v>
          </cell>
          <cell r="D2105" t="str">
            <v>PVN-004018</v>
          </cell>
          <cell r="E2105" t="str">
            <v>OrthoLite X-30 CASTLEROCK/18-0201TPX Flat Sheet 0.13D 25+/-4 Asker C 1.1M 1.47M 12mm</v>
          </cell>
          <cell r="F2105">
            <v>1</v>
          </cell>
        </row>
        <row r="2106">
          <cell r="B2106" t="str">
            <v>F-2026-01-521</v>
          </cell>
          <cell r="C2106" t="str">
            <v>BDB-000234</v>
          </cell>
          <cell r="D2106" t="str">
            <v>PVN-003581</v>
          </cell>
          <cell r="E2106" t="str">
            <v>OrthoLite X-30-Hybrid BROWN SUGAR/17-1134TPX Hybrid Flat Sheet 0.13D 25+/-4 Asker C 1.1M 2M 12mm</v>
          </cell>
          <cell r="F2106">
            <v>87</v>
          </cell>
        </row>
        <row r="2107">
          <cell r="B2107" t="str">
            <v>F-2026-03-221</v>
          </cell>
          <cell r="C2107" t="str">
            <v>BDB-000156</v>
          </cell>
          <cell r="D2107" t="str">
            <v>PVN-003243</v>
          </cell>
          <cell r="E2107" t="str">
            <v>OrthoLite X-35-Hybrid-Nike AMAZON/18-6024TPX Hybrid Flat Sheet 0.145D 25+/-4 Asker C 1.1M 2M 5.2mm</v>
          </cell>
          <cell r="F2107">
            <v>26</v>
          </cell>
        </row>
        <row r="2108">
          <cell r="B2108" t="str">
            <v>F-2026-03-180</v>
          </cell>
          <cell r="C2108" t="str">
            <v>BDB-000156</v>
          </cell>
          <cell r="D2108" t="str">
            <v>PVN-003243</v>
          </cell>
          <cell r="E2108" t="str">
            <v>OrthoLite X-35-Hybrid-Nike AMAZON/18-6024TPX Hybrid Flat Sheet 0.145D 25+/-4 Asker C 1.1M 2M 5.2mm</v>
          </cell>
          <cell r="F2108">
            <v>43</v>
          </cell>
        </row>
        <row r="2109">
          <cell r="B2109" t="str">
            <v>F-2026-02-176</v>
          </cell>
          <cell r="C2109" t="str">
            <v>BDB-000209</v>
          </cell>
          <cell r="D2109" t="str">
            <v>PVN-003537</v>
          </cell>
          <cell r="E2109" t="str">
            <v>OrthoLite HybridPlus-Recycled MINT GREEN/11-4805TPX Hybrid 0.12D 25+/-4 Asker C 1.1M 2M 4.5mm</v>
          </cell>
          <cell r="F2109">
            <v>57</v>
          </cell>
        </row>
        <row r="2110">
          <cell r="B2110" t="str">
            <v>F-2026-03-153</v>
          </cell>
          <cell r="C2110" t="str">
            <v>BDB-000209</v>
          </cell>
          <cell r="D2110" t="str">
            <v>PVN-003550</v>
          </cell>
          <cell r="E2110" t="str">
            <v>OrthoLite HybridPlus-Recycled MINT GREEN/11-4805TPX Hybrid Flat Sheet 0.12D 25+/-4 Asker C 1.1M 2M 6mm</v>
          </cell>
          <cell r="F2110">
            <v>47</v>
          </cell>
        </row>
        <row r="2111">
          <cell r="B2111" t="str">
            <v>F-2026-02-373-1</v>
          </cell>
          <cell r="C2111" t="str">
            <v>BDB-000209</v>
          </cell>
          <cell r="D2111" t="str">
            <v>PVN-003462</v>
          </cell>
          <cell r="E2111" t="str">
            <v>OrthoLite HybridPlus-Recycled MINT GREEN/11-4805TPX Hybrid 0.12D 25+/-4 Asker C 1.1M 2M 12mm</v>
          </cell>
          <cell r="F2111">
            <v>46</v>
          </cell>
        </row>
        <row r="2112">
          <cell r="B2112" t="str">
            <v>F-2026-03-183</v>
          </cell>
          <cell r="C2112" t="str">
            <v>BDB-000209</v>
          </cell>
          <cell r="D2112" t="str">
            <v>PVN-003463</v>
          </cell>
          <cell r="E2112" t="str">
            <v>OrthoLite HybridPlus-Recycled MINT GREEN/11-4805TPX Hybrid Flat Sheet 0.12D 25+/-4 Asker C 1.1M 2M 15.5mm</v>
          </cell>
          <cell r="F2112">
            <v>2</v>
          </cell>
        </row>
        <row r="2113">
          <cell r="B2113" t="str">
            <v>F-2026-03-231</v>
          </cell>
          <cell r="C2113" t="str">
            <v>BDB-000057</v>
          </cell>
          <cell r="D2113" t="str">
            <v>PVN-000925</v>
          </cell>
          <cell r="E2113" t="str">
            <v>OrthoLite Ultra YELLOW/13-0858TPX Flat Sheet 0.085D 25+/-4 Asker C 1.1M 2M 5mm</v>
          </cell>
          <cell r="F2113">
            <v>15</v>
          </cell>
        </row>
        <row r="2114">
          <cell r="B2114" t="str">
            <v>F-2026-03-241</v>
          </cell>
          <cell r="C2114" t="str">
            <v>BDB-000057</v>
          </cell>
          <cell r="D2114" t="str">
            <v>PVN-000925</v>
          </cell>
          <cell r="E2114" t="str">
            <v>OrthoLite Ultra YELLOW/13-0858TPX Flat Sheet 0.085D 25+/-4 Asker C 1.1M 2M 5mm  (OIN-RM)</v>
          </cell>
          <cell r="F2114">
            <v>1</v>
          </cell>
        </row>
        <row r="2115">
          <cell r="B2115" t="str">
            <v>F-2026-03-143</v>
          </cell>
          <cell r="C2115" t="str">
            <v>BDB-000332</v>
          </cell>
          <cell r="D2115" t="str">
            <v>PVN-004146</v>
          </cell>
          <cell r="E2115" t="str">
            <v>OrthoLite X-25 CASTLEROCK/18-0201TPX Flat Sheet 0.12D 20+/-4 Asker C 1.1M 2M 5.5mm</v>
          </cell>
          <cell r="F2115">
            <v>10</v>
          </cell>
        </row>
        <row r="2116">
          <cell r="B2116" t="str">
            <v>F-2026-03-144</v>
          </cell>
          <cell r="C2116" t="str">
            <v>BDB-000076</v>
          </cell>
          <cell r="D2116" t="str">
            <v>PVN-004091</v>
          </cell>
          <cell r="E2116" t="str">
            <v>OrthoLite X-25 BILLIARD/16-5427TPX Flat Sheet 0.12D 20+/-4 Asker C 1.1M 2M 3.5mm</v>
          </cell>
          <cell r="F2116">
            <v>5</v>
          </cell>
        </row>
        <row r="2117">
          <cell r="B2117" t="str">
            <v>F-2026-03-127</v>
          </cell>
          <cell r="C2117" t="str">
            <v>BDB-000200</v>
          </cell>
          <cell r="D2117" t="str">
            <v>PVN-003418</v>
          </cell>
          <cell r="E2117" t="str">
            <v>OrthoLite Ultra SEEDPEARL/12-0703TPX Flat Sheet 0.085D 78-90 Asker F 1.1M 2M 5mm</v>
          </cell>
          <cell r="F2117">
            <v>12</v>
          </cell>
        </row>
        <row r="2118">
          <cell r="B2118" t="str">
            <v>F-2026-03-128</v>
          </cell>
          <cell r="C2118" t="str">
            <v>BDB-000200</v>
          </cell>
          <cell r="D2118" t="str">
            <v>PVN-003425</v>
          </cell>
          <cell r="E2118" t="str">
            <v>OrthoLite Ultra SEEDPEARL/12-0703TPX Flat Sheet 0.085D 78-90 Asker F 1.1M 2M 4mm</v>
          </cell>
          <cell r="F2118">
            <v>20</v>
          </cell>
        </row>
        <row r="2119">
          <cell r="B2119" t="str">
            <v>F-2026-03-116</v>
          </cell>
          <cell r="C2119" t="str">
            <v>BDB-000339</v>
          </cell>
          <cell r="D2119" t="str">
            <v>PVN-004223</v>
          </cell>
          <cell r="E2119" t="str">
            <v>OrthoLite Float NEUTRAL GRAY/17-4402TPX Flat Sheet 0.12D 21+/-4 Asker C 1.1M 2M 5mm</v>
          </cell>
          <cell r="F2119">
            <v>4</v>
          </cell>
        </row>
        <row r="2120">
          <cell r="B2120" t="str">
            <v>F-2026-03-133</v>
          </cell>
          <cell r="C2120" t="str">
            <v>BDB-000339</v>
          </cell>
          <cell r="D2120" t="str">
            <v>PVN-004178</v>
          </cell>
          <cell r="E2120" t="str">
            <v>OrthoLite Float NEUTRAL GRAY/17-4402TPX Flat Sheet 0.12D 21+/-4 Asker C 1.1M 2M 5.5mm</v>
          </cell>
          <cell r="F2120">
            <v>20</v>
          </cell>
        </row>
        <row r="2121">
          <cell r="B2121" t="str">
            <v>F-2026-03-157</v>
          </cell>
          <cell r="C2121" t="str">
            <v>BDB-000058</v>
          </cell>
          <cell r="D2121" t="str">
            <v>PVN-001277</v>
          </cell>
          <cell r="E2121" t="str">
            <v>OrthoLite Ultra GREEN/16-5932TPX Flat Sheet 0.085D 25+/-4 Asker C 1.1M 2M 4mm</v>
          </cell>
          <cell r="F2121">
            <v>15</v>
          </cell>
        </row>
        <row r="2122">
          <cell r="B2122" t="str">
            <v>F-2026-03-198</v>
          </cell>
          <cell r="C2122" t="str">
            <v>BDB-000305</v>
          </cell>
          <cell r="D2122" t="str">
            <v>PVN-004000</v>
          </cell>
          <cell r="E2122" t="str">
            <v>OrthoLite X-35-Nike YELLOW/13-0858TPX Flat Sheet 0.145D 25+/-4 Asker C 1.1M 2M 5.5mm</v>
          </cell>
          <cell r="F2122">
            <v>15</v>
          </cell>
        </row>
        <row r="2123">
          <cell r="B2123" t="str">
            <v>F-2026-03-193</v>
          </cell>
          <cell r="C2123" t="str">
            <v>BDB-000101</v>
          </cell>
          <cell r="D2123" t="str">
            <v>PVN-003628</v>
          </cell>
          <cell r="E2123" t="str">
            <v>OrthoLite Eco LT-Hybrid FOSSIL/17-0909TPX Hybrid Flat Sheet 0.13D 35+/-4 Asker C 1.1M 2M 2.5mm</v>
          </cell>
          <cell r="F2123">
            <v>4</v>
          </cell>
        </row>
        <row r="2124">
          <cell r="B2124" t="str">
            <v>F-2026-03-166</v>
          </cell>
          <cell r="C2124" t="str">
            <v>BDB-000346</v>
          </cell>
          <cell r="D2124" t="str">
            <v>PVN-004188</v>
          </cell>
          <cell r="E2124" t="str">
            <v>OrthoLite Float NEUTRAL GRAY/17-4402TPX Flat Sheet 0.12D 21+/-4 Asker C 1.1M 1.47M 5.5mm</v>
          </cell>
          <cell r="F2124">
            <v>21</v>
          </cell>
        </row>
        <row r="2125">
          <cell r="B2125" t="str">
            <v>F-2026-03-102</v>
          </cell>
          <cell r="C2125" t="str">
            <v>BDB-000346</v>
          </cell>
          <cell r="D2125" t="str">
            <v>PVN-004188</v>
          </cell>
          <cell r="E2125" t="str">
            <v>OrthoLite Float NEUTRAL GRAY/17-4402TPX Flat Sheet 0.12D 21+/-4 Asker C 1.1M 1.47M 5.5mm</v>
          </cell>
          <cell r="F2125">
            <v>27</v>
          </cell>
        </row>
        <row r="2126">
          <cell r="B2126" t="str">
            <v>S-2026-03-96</v>
          </cell>
          <cell r="C2126" t="str">
            <v>BDB-000058</v>
          </cell>
          <cell r="D2126" t="str">
            <v>PVN-003630</v>
          </cell>
          <cell r="E2126" t="str">
            <v>OrthoLite Ultra GREEN/16-5932TPX Flat Sheet 0.085D 25+/-4 Asker C 1.1M 2M 2mm</v>
          </cell>
          <cell r="F2126">
            <v>1</v>
          </cell>
        </row>
        <row r="2127">
          <cell r="B2127" t="str">
            <v>L-2026-03-93</v>
          </cell>
          <cell r="C2127" t="str">
            <v>BDB-000050</v>
          </cell>
          <cell r="D2127" t="str">
            <v>PVN-002228</v>
          </cell>
          <cell r="E2127" t="str">
            <v>OrthoLite Regular NEUTRAL GRAY/17-4402TPX 0.11D 25+/-4 Asker C 1.1M 1.7M 2.5mm</v>
          </cell>
          <cell r="F2127">
            <v>1</v>
          </cell>
        </row>
        <row r="2128">
          <cell r="B2128" t="str">
            <v>L-2026-03-94</v>
          </cell>
          <cell r="C2128" t="str">
            <v>BDB-000050</v>
          </cell>
          <cell r="D2128" t="str">
            <v>PVN-002227</v>
          </cell>
          <cell r="E2128" t="str">
            <v>OrthoLite Regular NEUTRAL GRAY/17-4402TPX 0.11D 25+/-4 Asker C 1.1M 1.7M 12.5mm</v>
          </cell>
          <cell r="F2128">
            <v>1</v>
          </cell>
        </row>
        <row r="2129">
          <cell r="B2129" t="str">
            <v>S-2026-03-70</v>
          </cell>
          <cell r="C2129" t="str">
            <v>BDB-000125</v>
          </cell>
          <cell r="D2129" t="str">
            <v>PVN-002413</v>
          </cell>
          <cell r="E2129" t="str">
            <v>OrthoLite Regular-Nike AIR BLUE/16-4134TPX Flat Sheet 0.11D 25+/-4 Asker C 1.1M 2M 4.2mm</v>
          </cell>
          <cell r="F2129">
            <v>1</v>
          </cell>
        </row>
        <row r="2130">
          <cell r="B2130" t="str">
            <v>S-2026-03-11</v>
          </cell>
          <cell r="C2130" t="str">
            <v>BDB-000371</v>
          </cell>
          <cell r="D2130" t="str">
            <v>PVN-004297</v>
          </cell>
          <cell r="E2130" t="str">
            <v>OrthoLite SloMo LIME GREEN/14-0452TPX Flat Sheet 0.085D 5-10 Asker C 1.1M 2M 12mm</v>
          </cell>
          <cell r="F2130">
            <v>1</v>
          </cell>
        </row>
        <row r="2131">
          <cell r="B2131" t="str">
            <v>S-2026-03-13</v>
          </cell>
          <cell r="C2131" t="str">
            <v>BDB-000371</v>
          </cell>
          <cell r="D2131" t="str">
            <v>PVN-004299</v>
          </cell>
          <cell r="E2131" t="str">
            <v>OrthoLite SloMo LIME GREEN/14-0452TPX Flat Sheet 0.085D 5-10 Asker C 1.1M 2M 6mm</v>
          </cell>
          <cell r="F2131">
            <v>1</v>
          </cell>
        </row>
        <row r="2132">
          <cell r="B2132" t="str">
            <v>S-2026-03-12</v>
          </cell>
          <cell r="C2132" t="str">
            <v>BDB-000371</v>
          </cell>
          <cell r="D2132" t="str">
            <v>PVN-004298</v>
          </cell>
          <cell r="E2132" t="str">
            <v>OrthoLite SloMo LIME GREEN/14-0452TPX Flat Sheet 0.085D 5-10 Asker C 1.1M 2M 8mm</v>
          </cell>
          <cell r="F2132">
            <v>1</v>
          </cell>
        </row>
        <row r="2133">
          <cell r="B2133" t="str">
            <v>F-2026-03-76</v>
          </cell>
          <cell r="C2133" t="str">
            <v>BDB-000052</v>
          </cell>
          <cell r="D2133" t="str">
            <v>PVN-003603</v>
          </cell>
          <cell r="E2133" t="str">
            <v>OrthoLite X-40 TRUE BLUE/19-4057TPX Flat Sheet 0.16D 25+/-4 Asker C 1.1M 1.47M 12mm</v>
          </cell>
          <cell r="F2133">
            <v>45</v>
          </cell>
        </row>
        <row r="2134">
          <cell r="B2134" t="str">
            <v>F-2026-02-282</v>
          </cell>
          <cell r="C2134" t="str">
            <v>BDB-000162</v>
          </cell>
          <cell r="D2134" t="str">
            <v>PVN-001566</v>
          </cell>
          <cell r="E2134" t="str">
            <v>OrthoLite Ultra-Nike SEEDPEARL/12-0703TPX 0.085D 25+/-4 Asker C 1.1M 2M 4mm</v>
          </cell>
          <cell r="F2134">
            <v>6</v>
          </cell>
        </row>
        <row r="2135">
          <cell r="B2135" t="str">
            <v>F-2026-03-269</v>
          </cell>
          <cell r="C2135" t="str">
            <v>BDB-000162</v>
          </cell>
          <cell r="D2135" t="str">
            <v>PVN-001566</v>
          </cell>
          <cell r="E2135" t="str">
            <v>OrthoLite Ultra-Nike SEEDPEARL/12-0703TPX Flat Sheet 0.085D 25+/-4 Asker C 1.1M 2M 4mm</v>
          </cell>
          <cell r="F2135">
            <v>1</v>
          </cell>
        </row>
        <row r="2136">
          <cell r="B2136" t="str">
            <v>F-2026-02-283</v>
          </cell>
          <cell r="C2136" t="str">
            <v>BDB-000162</v>
          </cell>
          <cell r="D2136" t="str">
            <v>PVN-001566</v>
          </cell>
          <cell r="E2136" t="str">
            <v>OrthoLite Ultra-Nike SEEDPEARL/12-0703TPX 0.085D 25+/-4 Asker C 1.1M 2M 4mm</v>
          </cell>
          <cell r="F2136">
            <v>86</v>
          </cell>
        </row>
        <row r="2137">
          <cell r="B2137" t="str">
            <v>S-2026-03-68</v>
          </cell>
          <cell r="C2137" t="str">
            <v>BDB-000126</v>
          </cell>
          <cell r="D2137" t="str">
            <v>PVN-002325</v>
          </cell>
          <cell r="E2137" t="str">
            <v>OrthoLite Regular-Nike RED/19-1764TPX Flat Sheet 0.11D 25+/-4 Asker C 1.1M 2M 5.2mm</v>
          </cell>
          <cell r="F2137">
            <v>2</v>
          </cell>
        </row>
        <row r="2138">
          <cell r="B2138" t="str">
            <v>F-2026-01-482</v>
          </cell>
          <cell r="C2138" t="str">
            <v>BDB-000011</v>
          </cell>
          <cell r="D2138" t="str">
            <v>PVN-000242</v>
          </cell>
          <cell r="E2138" t="str">
            <v>OrthoLite Regular AIR BLUE/16-4134TPX Flat Sheet 0.13D 35+/-4 Asker C 1.1M 2M 2mm</v>
          </cell>
          <cell r="F2138">
            <v>4</v>
          </cell>
        </row>
        <row r="2139">
          <cell r="B2139" t="str">
            <v>F-2026-03-155</v>
          </cell>
          <cell r="C2139" t="str">
            <v>BDB-000060</v>
          </cell>
          <cell r="D2139" t="str">
            <v>PVN-004054</v>
          </cell>
          <cell r="E2139" t="str">
            <v>OrthoLite Ultra BURNT SIENNA/17-1544TPX Flat Sheet 0.085D 25+/-4 Asker C 1.1M 2M 13mm</v>
          </cell>
          <cell r="F2139">
            <v>25</v>
          </cell>
        </row>
        <row r="2140">
          <cell r="B2140" t="str">
            <v>F-2026-02-199</v>
          </cell>
          <cell r="C2140" t="str">
            <v>BDB-000123</v>
          </cell>
          <cell r="D2140" t="str">
            <v>PVN-002973</v>
          </cell>
          <cell r="E2140" t="str">
            <v>OrthoLite Ultra-Hybrid SEEDPEARL/12-0703TPX Hybrid 0.085D 25+/-4 Asker C 1.1M 2M 4.5mm</v>
          </cell>
          <cell r="F2140">
            <v>18</v>
          </cell>
        </row>
        <row r="2141">
          <cell r="B2141" t="str">
            <v>F-2026-03-76</v>
          </cell>
          <cell r="C2141" t="str">
            <v>BDB-000052</v>
          </cell>
          <cell r="D2141" t="str">
            <v>PVN-003603</v>
          </cell>
          <cell r="E2141" t="str">
            <v>OrthoLite X-40 TRUE BLUE/19-4057TPX Flat Sheet 0.16D 25+/-4 Asker C 1.1M 1.47M 12mm</v>
          </cell>
          <cell r="F2141">
            <v>17</v>
          </cell>
        </row>
        <row r="2142">
          <cell r="B2142" t="str">
            <v>OIN-2026.02.23-01</v>
          </cell>
          <cell r="C2142" t="str">
            <v>BDB-000123</v>
          </cell>
          <cell r="D2142" t="str">
            <v>PVN-003784</v>
          </cell>
          <cell r="E2142" t="str">
            <v>[116-311] Ultra Hybrid 25+/-4 Asker C 0.085D Seedpearl 12-0703 Tpx 1.10M X 2.00M 47mm</v>
          </cell>
          <cell r="F2142">
            <v>18</v>
          </cell>
        </row>
        <row r="2143">
          <cell r="B2143" t="str">
            <v>S-2026-03-71</v>
          </cell>
          <cell r="C2143" t="str">
            <v>BDB-000162</v>
          </cell>
          <cell r="D2143" t="str">
            <v>PVN-001566</v>
          </cell>
          <cell r="E2143" t="str">
            <v>OrthoLite Ultra-Nike SEEDPEARL/12-0703TPX Flat Sheet 0.085D 25+/-4 Asker C 1.1M 2M 4mm</v>
          </cell>
          <cell r="F2143">
            <v>2</v>
          </cell>
        </row>
        <row r="2144">
          <cell r="B2144" t="str">
            <v>S-2026-03-95</v>
          </cell>
          <cell r="C2144" t="str">
            <v>BDB-000340</v>
          </cell>
          <cell r="D2144" t="str">
            <v>PVN-004342</v>
          </cell>
          <cell r="E2144" t="str">
            <v>OrthoLite Float SEEDPEARL/12-0703TPX Flat Sheet 0.12D 21+/-4 Asker C 1.1M 2M 4.5mm</v>
          </cell>
          <cell r="F2144">
            <v>1</v>
          </cell>
        </row>
        <row r="2145">
          <cell r="B2145" t="str">
            <v>L-2026-03-105</v>
          </cell>
          <cell r="C2145" t="str">
            <v>BDB-000362</v>
          </cell>
          <cell r="D2145" t="str">
            <v>PVN-004338</v>
          </cell>
          <cell r="E2145" t="str">
            <v>OrthoLite X-60-Hybrid SEEDPEARL/12-0703TPX Hybrid Flat Sheet 0.19D 28+/-4 Asker C 1.1M 1.7M 3mm</v>
          </cell>
          <cell r="F2145">
            <v>1</v>
          </cell>
        </row>
        <row r="2146">
          <cell r="B2146" t="str">
            <v>L-2026-03-106</v>
          </cell>
          <cell r="C2146" t="str">
            <v>BDB-000362</v>
          </cell>
          <cell r="D2146" t="str">
            <v>PVN-004339</v>
          </cell>
          <cell r="E2146" t="str">
            <v>OrthoLite X-60-Hybrid SEEDPEARL/12-0703TPX Hybrid Flat Sheet 0.19D 28+/-4 Asker C 1.1M 1.7M 10mm</v>
          </cell>
          <cell r="F2146">
            <v>1</v>
          </cell>
        </row>
        <row r="2147">
          <cell r="B2147" t="str">
            <v>F-2026-02-176</v>
          </cell>
          <cell r="C2147" t="str">
            <v>BDB-000209</v>
          </cell>
          <cell r="D2147" t="str">
            <v>PVN-003537</v>
          </cell>
          <cell r="E2147" t="str">
            <v>OrthoLite HybridPlus-Recycled MINT GREEN/11-4805TPX Hybrid 0.12D 25+/-4 Asker C 1.1M 2M 4.5mm</v>
          </cell>
          <cell r="F2147">
            <v>105</v>
          </cell>
        </row>
        <row r="2148">
          <cell r="B2148" t="str">
            <v>F-2026-02-269</v>
          </cell>
          <cell r="C2148" t="str">
            <v>BDB-000125</v>
          </cell>
          <cell r="D2148" t="str">
            <v>PVN-002413</v>
          </cell>
          <cell r="E2148" t="str">
            <v>OrthoLite Regular-Nike AIR BLUE/16-4134TPX Flat Sheet 0.11D 25+/-4 Asker C 1.1M 2M 4.2mm</v>
          </cell>
          <cell r="F2148">
            <v>19</v>
          </cell>
        </row>
        <row r="2149">
          <cell r="B2149" t="str">
            <v>F-2026-03-74</v>
          </cell>
          <cell r="C2149" t="str">
            <v>BDB-000248</v>
          </cell>
          <cell r="D2149" t="str">
            <v>PVN-003931</v>
          </cell>
          <cell r="E2149" t="str">
            <v>OrthoLite X-40-Hybrid RED/19-1764TPX Hybrid Flat Sheet 0.16D 25+/-4 Asker C 1.1M 1.7M 6.5mm</v>
          </cell>
          <cell r="F2149">
            <v>4</v>
          </cell>
        </row>
        <row r="2150">
          <cell r="B2150" t="str">
            <v>F-2026-03-138</v>
          </cell>
          <cell r="C2150" t="str">
            <v>BDB-000248</v>
          </cell>
          <cell r="D2150" t="str">
            <v>PVN-003931</v>
          </cell>
          <cell r="E2150" t="str">
            <v>OrthoLite X-40-Hybrid RED/19-1764TPX Hybrid Flat Sheet 0.16D 25+/-4 Asker C 1.1M 1.7M 6.5mm</v>
          </cell>
          <cell r="F2150">
            <v>2</v>
          </cell>
        </row>
        <row r="2151">
          <cell r="B2151" t="str">
            <v>F-2026-02-183</v>
          </cell>
          <cell r="C2151" t="str">
            <v>BDB-000077</v>
          </cell>
          <cell r="D2151" t="str">
            <v>PVN-004147</v>
          </cell>
          <cell r="E2151" t="str">
            <v>OrthoLite X-25 SEEDPEARL/12-0703TPX Flat Sheet 0.12D 20+/-4 Asker C 1.1M 2M 5.5mm</v>
          </cell>
          <cell r="F2151">
            <v>14</v>
          </cell>
        </row>
        <row r="2152">
          <cell r="B2152" t="str">
            <v>F-2026-03-197</v>
          </cell>
          <cell r="C2152" t="str">
            <v>BDB-000002</v>
          </cell>
          <cell r="D2152" t="str">
            <v>PVN-003875</v>
          </cell>
          <cell r="E2152" t="str">
            <v>OrthoLite Regular YELLOW/13-0858TPX Flat Sheet 0.11D 15+/-4 Asker C 1.1M 2M 2mm</v>
          </cell>
          <cell r="F2152">
            <v>2</v>
          </cell>
        </row>
        <row r="2153">
          <cell r="B2153" t="str">
            <v>F-2026-03-192</v>
          </cell>
          <cell r="C2153" t="str">
            <v>BDB-000003</v>
          </cell>
          <cell r="D2153" t="str">
            <v>PVN-000035</v>
          </cell>
          <cell r="E2153" t="str">
            <v>OrthoLite Regular YELLOW/13-0858TPX Flat Sheet 0.11D 25+/-4 Asker C 1.1M 2M 5mm</v>
          </cell>
          <cell r="F2153">
            <v>2</v>
          </cell>
        </row>
        <row r="2154">
          <cell r="B2154" t="str">
            <v>F-2026-03-110</v>
          </cell>
          <cell r="C2154" t="str">
            <v>BDB-000026</v>
          </cell>
          <cell r="D2154" t="str">
            <v>PVN-000369</v>
          </cell>
          <cell r="E2154" t="str">
            <v>OrthoLite Regular YELLOW/13-0858TPX Flat Sheet 0.13D 35+/-4 Asker C 1.1M 2M 2mm</v>
          </cell>
          <cell r="F2154">
            <v>2</v>
          </cell>
        </row>
        <row r="2155">
          <cell r="B2155" t="str">
            <v>F-2026-02-211</v>
          </cell>
          <cell r="C2155" t="str">
            <v>BDB-000058</v>
          </cell>
          <cell r="D2155" t="str">
            <v>PVN-001319</v>
          </cell>
          <cell r="E2155" t="str">
            <v>OrthoLite Ultra GREEN/16-5932TPX 0.085D 25+/-4 Asker C 1.1M 2M 5mm</v>
          </cell>
          <cell r="F2155">
            <v>6</v>
          </cell>
        </row>
        <row r="2156">
          <cell r="B2156" t="str">
            <v>F-2026-03-236</v>
          </cell>
          <cell r="C2156" t="str">
            <v>BDB-000113</v>
          </cell>
          <cell r="D2156" t="str">
            <v>PVN-002465</v>
          </cell>
          <cell r="E2156" t="str">
            <v>OrthoLite Regular-Hybrid SEEDPEARL/12-0703TPX Hybrid Flat Sheet 0.11D 25+/-4 Asker C 1.1M 2M 5mm</v>
          </cell>
          <cell r="F2156">
            <v>4</v>
          </cell>
        </row>
        <row r="2157">
          <cell r="B2157" t="str">
            <v>F-2026-03-139</v>
          </cell>
          <cell r="C2157" t="str">
            <v>BDB-000309</v>
          </cell>
          <cell r="D2157" t="str">
            <v>PVN-004033</v>
          </cell>
          <cell r="E2157" t="str">
            <v>OrthoLite X-40-Hybrid NEUTRAL GRAY/17-4402TPX Hybrid Flat Sheet 0.16D 35+/-4 Asker C 1.1M 2M 2mm</v>
          </cell>
          <cell r="F2157">
            <v>2</v>
          </cell>
        </row>
        <row r="2158">
          <cell r="B2158" t="str">
            <v>F-2026-01-338</v>
          </cell>
          <cell r="C2158" t="str">
            <v>BDB-000123</v>
          </cell>
          <cell r="D2158" t="str">
            <v>PVN-003298</v>
          </cell>
          <cell r="E2158" t="str">
            <v>OrthoLite Ultra-Hybrid SEEDPEARL/12-0703TPX Hybrid 0.085D 25+/-4 Asker C 1.1M 2M 4mm</v>
          </cell>
          <cell r="F2158">
            <v>19</v>
          </cell>
        </row>
        <row r="2159">
          <cell r="B2159" t="str">
            <v>F-2026-01-337</v>
          </cell>
          <cell r="C2159" t="str">
            <v>BDB-000123</v>
          </cell>
          <cell r="D2159" t="str">
            <v>PVN-003298</v>
          </cell>
          <cell r="E2159" t="str">
            <v>OrthoLite Ultra-Hybrid SEEDPEARL/12-0703TPX Hybrid 0.085D 25+/-4 Asker C 1.1M 2M 4mm</v>
          </cell>
          <cell r="F2159">
            <v>16</v>
          </cell>
        </row>
        <row r="2160">
          <cell r="B2160" t="str">
            <v>F-2026-03-167</v>
          </cell>
          <cell r="C2160" t="str">
            <v>BDB-000319</v>
          </cell>
          <cell r="D2160" t="str">
            <v>PVN-004247</v>
          </cell>
          <cell r="E2160" t="str">
            <v>OrthoLite X-40-Hybrid-Nike SEEDPEARL/12-0703TPX Hybrid Flat Sheet 0.16D 25+/-4 Asker C 1.1M 2M 4.2mm</v>
          </cell>
          <cell r="F2160">
            <v>2</v>
          </cell>
        </row>
        <row r="2161">
          <cell r="B2161" t="str">
            <v>F-2026-03-151</v>
          </cell>
          <cell r="C2161" t="str">
            <v>BDB-000347</v>
          </cell>
          <cell r="D2161" t="str">
            <v>PVN-004193</v>
          </cell>
          <cell r="E2161" t="str">
            <v>OrthoLite X-55-Hybrid SEEDPEARL/12-0703TPX Hybrid Flat Sheet 0.16D 25+/-4 Asker C 1.1M 2M 11mm</v>
          </cell>
          <cell r="F2161">
            <v>2</v>
          </cell>
        </row>
        <row r="2162">
          <cell r="B2162" t="str">
            <v>F-2026-03-239</v>
          </cell>
          <cell r="C2162" t="str">
            <v>BDB-000255</v>
          </cell>
          <cell r="D2162" t="str">
            <v>PVN-003730</v>
          </cell>
          <cell r="E2162" t="str">
            <v>OrthoLite Regular GREY/17-1501TPX Flat Sheet 0.15D 45+/-4 Asker C 1.1M 1.7M 2mm</v>
          </cell>
          <cell r="F2162">
            <v>2</v>
          </cell>
        </row>
        <row r="2163">
          <cell r="B2163" t="str">
            <v>F-2026-03-91</v>
          </cell>
          <cell r="C2163" t="str">
            <v>BDB-000347</v>
          </cell>
          <cell r="D2163" t="str">
            <v>PVN-004193</v>
          </cell>
          <cell r="E2163" t="str">
            <v>OrthoLite X-55-Hybrid SEEDPEARL/12-0703TPX Hybrid Flat Sheet 0.16D 25+/-4 Asker C 1.1M 2M 11mm</v>
          </cell>
          <cell r="F2163">
            <v>2</v>
          </cell>
        </row>
        <row r="2164">
          <cell r="B2164" t="str">
            <v>F-2026-02-309</v>
          </cell>
          <cell r="C2164" t="str">
            <v>BDB-000129</v>
          </cell>
          <cell r="D2164" t="str">
            <v>PVN-001550</v>
          </cell>
          <cell r="E2164" t="str">
            <v>OrthoLite Regular-Nike AIR BLUE/16-4134TPX 0.11D 25+/-4 Asker C 1.1M 1.7M 2mm</v>
          </cell>
          <cell r="F2164">
            <v>38</v>
          </cell>
        </row>
        <row r="2165">
          <cell r="B2165" t="str">
            <v>F-2026-03-112</v>
          </cell>
          <cell r="C2165" t="str">
            <v>BDB-000052</v>
          </cell>
          <cell r="D2165" t="str">
            <v>PVN-003603</v>
          </cell>
          <cell r="E2165" t="str">
            <v>OrthoLite X-40 TRUE BLUE/19-4057TPX Flat Sheet 0.16D 25+/-4 Asker C 1.1M 1.47M 12mm</v>
          </cell>
          <cell r="F2165">
            <v>6</v>
          </cell>
        </row>
        <row r="2166">
          <cell r="B2166" t="str">
            <v>F-2026-03-136</v>
          </cell>
          <cell r="C2166" t="str">
            <v>BDB-000011</v>
          </cell>
          <cell r="D2166" t="str">
            <v>PVN-000121</v>
          </cell>
          <cell r="E2166" t="str">
            <v>OrthoLite Regular AIR BLUE/16-4134TPX Flat Sheet 0.13D 35+/-4 Asker C 1.1M 2M 12mm</v>
          </cell>
          <cell r="F2166">
            <v>12</v>
          </cell>
        </row>
        <row r="2167">
          <cell r="B2167" t="str">
            <v>F-2026-03-152</v>
          </cell>
          <cell r="C2167" t="str">
            <v>BDB-000128</v>
          </cell>
          <cell r="D2167" t="str">
            <v>PVN-001788</v>
          </cell>
          <cell r="E2167" t="str">
            <v>OrthoLite Regular-Nike LIME GREEN/14-0452TPX Flat Sheet 0.11D 25+/-4 Asker C 1.1M 2M 4mm</v>
          </cell>
          <cell r="F2167">
            <v>1</v>
          </cell>
        </row>
        <row r="2168">
          <cell r="B2168" t="str">
            <v>F-2026-03-107</v>
          </cell>
          <cell r="C2168" t="str">
            <v>BDB-000242</v>
          </cell>
          <cell r="D2168" t="str">
            <v>PVN-003614</v>
          </cell>
          <cell r="E2168" t="str">
            <v>OrthoLite Regular GREY/17-1501TPX Flat Sheet 0.11D 5-10 Asker C 1.1M 2M 3.5mm</v>
          </cell>
          <cell r="F2168">
            <v>7</v>
          </cell>
        </row>
        <row r="2169">
          <cell r="B2169" t="str">
            <v>F-2026-01-515</v>
          </cell>
          <cell r="C2169" t="str">
            <v>BDB-000235</v>
          </cell>
          <cell r="D2169" t="str">
            <v>PVN-003576</v>
          </cell>
          <cell r="E2169" t="str">
            <v>OrthoLite X-55-Hybrid FOSSIL/17-0909TPX Hybrid Flat Sheet 0.16D 25+/-4 Asker C 1.1M 1.7M 12mm</v>
          </cell>
          <cell r="F2169">
            <v>141</v>
          </cell>
        </row>
        <row r="2170">
          <cell r="B2170" t="str">
            <v>F-2026-03-160</v>
          </cell>
          <cell r="C2170" t="str">
            <v>BDB-000054</v>
          </cell>
          <cell r="D2170" t="str">
            <v>PVN-003895</v>
          </cell>
          <cell r="E2170" t="str">
            <v>OrthoLite X-40 RED/19-1764TPX Flat Sheet 0.16D 25+/-4 Asker C 1.1M 1.7M 5mm</v>
          </cell>
          <cell r="F2170">
            <v>4</v>
          </cell>
        </row>
        <row r="2171">
          <cell r="B2171" t="str">
            <v>F-2026-03-129</v>
          </cell>
          <cell r="C2171" t="str">
            <v>BDB-000348</v>
          </cell>
          <cell r="D2171" t="str">
            <v>PVN-004210</v>
          </cell>
          <cell r="E2171" t="str">
            <v>OrthoLite IMPERIAL SEEDPEARL/12-0703TPX Flat Sheet 0.22D 25+/-4 Asker C 1.1M 1.47M 5mm</v>
          </cell>
          <cell r="F2171">
            <v>68</v>
          </cell>
        </row>
        <row r="2172">
          <cell r="B2172" t="str">
            <v>F-2026-03-186</v>
          </cell>
          <cell r="C2172" t="str">
            <v>BDB-000039</v>
          </cell>
          <cell r="D2172" t="str">
            <v>PVN-002019</v>
          </cell>
          <cell r="E2172" t="str">
            <v>OrthoLite Regular NEUTRAL GRAY/17-4402TPX 0.11D 25+/-4 Asker C 1.1M 2M 13mm</v>
          </cell>
          <cell r="F2172">
            <v>23</v>
          </cell>
        </row>
        <row r="2173">
          <cell r="B2173" t="str">
            <v>F-2026-01-237</v>
          </cell>
          <cell r="C2173" t="str">
            <v>BDB-000217</v>
          </cell>
          <cell r="D2173" t="str">
            <v>PVN-003539</v>
          </cell>
          <cell r="E2173" t="str">
            <v>OrthoLite X-40-Hybrid SEEDPEARL/12-0703TPX Hybrid Flat Sheet 0.16D 35+/-4 Asker C 1.1M 1.7M 6.2mm</v>
          </cell>
          <cell r="F2173">
            <v>46</v>
          </cell>
        </row>
        <row r="2174">
          <cell r="B2174" t="str">
            <v>F-2026-02-305</v>
          </cell>
          <cell r="C2174" t="str">
            <v>BDB-000259</v>
          </cell>
          <cell r="D2174" t="str">
            <v>PVN-003684</v>
          </cell>
          <cell r="E2174" t="str">
            <v>OrthoLite Nike PP002 GLACIER GRAY/14-4102TPX Flat Sheet 0.145D 25+/-4 asker C 1.1M 2M 4.2mm</v>
          </cell>
          <cell r="F2174">
            <v>76</v>
          </cell>
        </row>
        <row r="2175">
          <cell r="B2175" t="str">
            <v>F-2026-03-184</v>
          </cell>
          <cell r="C2175" t="str">
            <v>BDB-000334</v>
          </cell>
          <cell r="D2175" t="str">
            <v>PVN-004327</v>
          </cell>
          <cell r="E2175" t="str">
            <v>OrthoLite X-55-Hybrid FOSSIL/17-0909TPX Hybrid Flat Sheet 0.16D 25+/-4 Asker C 1.1M 2M 6mm</v>
          </cell>
          <cell r="F2175">
            <v>29</v>
          </cell>
        </row>
        <row r="2176">
          <cell r="B2176" t="str">
            <v>F-2026-03-199</v>
          </cell>
          <cell r="C2176" t="str">
            <v>BDB-000353</v>
          </cell>
          <cell r="D2176" t="str">
            <v>PVN-004219</v>
          </cell>
          <cell r="E2176" t="str">
            <v>OrthoLite Regular SEEDPEARL/12-0703TPX Flat Sheet 0.13D 35+/-4 Asker C 1.1M 1.47M 4mm</v>
          </cell>
          <cell r="F2176">
            <v>12</v>
          </cell>
        </row>
        <row r="2177">
          <cell r="B2177" t="str">
            <v>F-2026-03-194</v>
          </cell>
          <cell r="C2177" t="str">
            <v>BDB-000033</v>
          </cell>
          <cell r="D2177" t="str">
            <v>PVN-003858</v>
          </cell>
          <cell r="E2177" t="str">
            <v>OrthoLite Regular SEEDPEARL/12-0703TPX 0.13D 35+/-4 Asker C 1.1M 2M 5mm</v>
          </cell>
          <cell r="F2177">
            <v>5</v>
          </cell>
        </row>
        <row r="2178">
          <cell r="B2178" t="str">
            <v>F-2026-03-250</v>
          </cell>
          <cell r="C2178" t="str">
            <v>BDB-000212</v>
          </cell>
          <cell r="D2178" t="str">
            <v>PVN-003460</v>
          </cell>
          <cell r="E2178" t="str">
            <v>OrthoLite X-25-Hybrid SEEDPEARL/12-0703TPX Hybrid Flat Sheet 0.12D 20+/-4 Asker C 1.1M 2M 5.5mm</v>
          </cell>
          <cell r="F2178">
            <v>2</v>
          </cell>
        </row>
        <row r="2179">
          <cell r="B2179" t="str">
            <v>F-2026-03-232</v>
          </cell>
          <cell r="C2179" t="str">
            <v>BDB-000212</v>
          </cell>
          <cell r="D2179" t="str">
            <v>PVN-003460</v>
          </cell>
          <cell r="E2179" t="str">
            <v>OrthoLite X-25-Hybrid SEEDPEARL/12-0703TPX Hybrid Flat Sheet 0.12D 20+/-4 Asker C 1.1M 2M 5.5mm</v>
          </cell>
          <cell r="F2179">
            <v>2</v>
          </cell>
        </row>
        <row r="2180">
          <cell r="B2180" t="str">
            <v>F-2026-03-152</v>
          </cell>
          <cell r="C2180" t="str">
            <v>BDB-000128</v>
          </cell>
          <cell r="D2180" t="str">
            <v>PVN-001788</v>
          </cell>
          <cell r="E2180" t="str">
            <v>OrthoLite Regular-Nike LIME GREEN/14-0452TPX Flat Sheet 0.11D 25+/-4 Asker C 1.1M 2M 4mm</v>
          </cell>
          <cell r="F2180">
            <v>1</v>
          </cell>
        </row>
        <row r="2181">
          <cell r="B2181" t="str">
            <v>F-2026-01-431-1</v>
          </cell>
          <cell r="C2181" t="str">
            <v>BDB-000218</v>
          </cell>
          <cell r="D2181" t="str">
            <v>PVN-003488</v>
          </cell>
          <cell r="E2181" t="str">
            <v>OrthoLite Ultra-Nike SEEDPEARL/12-0703TPX 0.085D 5-10 Asker C 1.1M 2M 4mm</v>
          </cell>
          <cell r="F2181">
            <v>15</v>
          </cell>
        </row>
        <row r="2182">
          <cell r="B2182" t="str">
            <v>F-2026-03-249</v>
          </cell>
          <cell r="C2182" t="str">
            <v>BDB-000336</v>
          </cell>
          <cell r="D2182" t="str">
            <v>PVN-004168</v>
          </cell>
          <cell r="E2182" t="str">
            <v>OrthoLite X-40-Nike SEEDPEARL/12-0703TPX Flat Sheet 0.16D 35+/-4 Asker C 1.1M 2M 4.5mm</v>
          </cell>
          <cell r="F2182">
            <v>2</v>
          </cell>
        </row>
        <row r="2183">
          <cell r="B2183" t="str">
            <v>F-2026-03-210</v>
          </cell>
          <cell r="C2183" t="str">
            <v>BDB-000051</v>
          </cell>
          <cell r="D2183" t="str">
            <v>PVN-003319</v>
          </cell>
          <cell r="E2183" t="str">
            <v>OrthoLite X-40 TRUE BLUE/19-4057TPX Flat Sheet 0.16D 25+/-4 Asker C 1.1M 1.7M 12mm</v>
          </cell>
          <cell r="F2183">
            <v>11</v>
          </cell>
        </row>
        <row r="2184">
          <cell r="B2184" t="str">
            <v>F-2026-03-283</v>
          </cell>
          <cell r="C2184" t="str">
            <v>BDB-000051</v>
          </cell>
          <cell r="D2184" t="str">
            <v>PVN-003319</v>
          </cell>
          <cell r="E2184" t="str">
            <v>OrthoLite X-40 TRUE BLUE/19-4057TPX Flat Sheet 0.16D 25+/-4 Asker C 1.1M 1.7M 12mm</v>
          </cell>
          <cell r="F2184">
            <v>3</v>
          </cell>
        </row>
        <row r="2185">
          <cell r="B2185" t="str">
            <v>F-2026-03-209</v>
          </cell>
          <cell r="C2185" t="str">
            <v>BDB-000052</v>
          </cell>
          <cell r="D2185" t="str">
            <v>PVN-003603</v>
          </cell>
          <cell r="E2185" t="str">
            <v>OrthoLite X-40 TRUE BLUE/19-4057TPX Flat Sheet 0.16D 25+/-4 Asker C 1.1M 1.47M 12mm</v>
          </cell>
          <cell r="F2185">
            <v>3</v>
          </cell>
        </row>
        <row r="2186">
          <cell r="B2186" t="str">
            <v>F-2026-03-278</v>
          </cell>
          <cell r="C2186" t="str">
            <v>BDB-000052</v>
          </cell>
          <cell r="D2186" t="str">
            <v>PVN-003603</v>
          </cell>
          <cell r="E2186" t="str">
            <v>OrthoLite X-40 TRUE BLUE/19-4057TPX Flat Sheet 0.16D 25+/-4 Asker C 1.1M 1.47M 12mm</v>
          </cell>
          <cell r="F2186">
            <v>1</v>
          </cell>
        </row>
        <row r="2187">
          <cell r="B2187" t="str">
            <v>F-2026-03-266</v>
          </cell>
          <cell r="C2187" t="str">
            <v>BDB-000154</v>
          </cell>
          <cell r="D2187" t="str">
            <v>PVN-003347</v>
          </cell>
          <cell r="E2187" t="str">
            <v>OrthoLite X-40-Nike TRUE BLUE/19-4057TPX Flat Sheet 0.16D 35+/-4 Asker C 1.1M 1.7M 4mm</v>
          </cell>
          <cell r="F2187">
            <v>4</v>
          </cell>
        </row>
        <row r="2188">
          <cell r="B2188" t="str">
            <v>F-2026-03-323</v>
          </cell>
          <cell r="C2188" t="str">
            <v>BDB-000055</v>
          </cell>
          <cell r="D2188" t="str">
            <v>PVN-003326</v>
          </cell>
          <cell r="E2188" t="str">
            <v>OrthoLite X-40 TRUE BLUE/19-4057TPX Flat Sheet 0.16D 35+/-4 Asker C 1.1M 1.7M 14mm</v>
          </cell>
          <cell r="F2188">
            <v>12</v>
          </cell>
        </row>
        <row r="2189">
          <cell r="B2189" t="str">
            <v>F-2026-03-224</v>
          </cell>
          <cell r="C2189" t="str">
            <v>BDB-000325</v>
          </cell>
          <cell r="D2189" t="str">
            <v>PVN-004115</v>
          </cell>
          <cell r="E2189" t="str">
            <v>OrthoLite X-40 TRUE BLUE/19-4057TPX Flat Sheet 0.16D 35+/-4 Asker C 1.1M 2M 4mm</v>
          </cell>
          <cell r="F2189">
            <v>1</v>
          </cell>
        </row>
        <row r="2190">
          <cell r="B2190" t="str">
            <v>F-2026-03-321</v>
          </cell>
          <cell r="C2190" t="str">
            <v>BDB-000180</v>
          </cell>
          <cell r="D2190" t="str">
            <v>PVN-003236</v>
          </cell>
          <cell r="E2190" t="str">
            <v>OrthoLite Eco LT-Hybrid-Converse SEEDPEARL/12-0703TPX Hybrid Flat Sheet 0.13D 25+/-4 Asker C 1.1M 2M 5mm</v>
          </cell>
          <cell r="F2190">
            <v>17</v>
          </cell>
        </row>
        <row r="2191">
          <cell r="B2191" t="str">
            <v>F-2026-03-256</v>
          </cell>
          <cell r="C2191" t="str">
            <v>BDB-000180</v>
          </cell>
          <cell r="D2191" t="str">
            <v>PVN-003236</v>
          </cell>
          <cell r="E2191" t="str">
            <v>OrthoLite Eco LT-Hybrid-Converse SEEDPEARL/12-0703TPX Hybrid Flat Sheet 0.13D 25+/-4 Asker C 1.1M 2M 5mm</v>
          </cell>
          <cell r="F2191">
            <v>17</v>
          </cell>
        </row>
        <row r="2192">
          <cell r="B2192" t="str">
            <v>F-2026-03-268</v>
          </cell>
          <cell r="C2192" t="str">
            <v>BDB-000129</v>
          </cell>
          <cell r="D2192" t="str">
            <v>PVN-001550</v>
          </cell>
          <cell r="E2192" t="str">
            <v>OrthoLite Regular-Nike AIR BLUE/16-4134TPX Flat Sheet 0.11D 25+/-4 Asker C 1.1M 1.7M 2mm</v>
          </cell>
          <cell r="F2192">
            <v>4</v>
          </cell>
        </row>
        <row r="2193">
          <cell r="B2193" t="str">
            <v>F-2026-01-515</v>
          </cell>
          <cell r="C2193" t="str">
            <v>BDB-000235</v>
          </cell>
          <cell r="D2193" t="str">
            <v>PVN-003576</v>
          </cell>
          <cell r="E2193" t="str">
            <v>OrthoLite X-55-Hybrid FOSSIL/17-0909TPX Hybrid Flat Sheet 0.16D 25+/-4 Asker C 1.1M 1.7M 12mm</v>
          </cell>
          <cell r="F2193">
            <v>77</v>
          </cell>
        </row>
        <row r="2194">
          <cell r="B2194" t="str">
            <v>OIN-2026.03.17-02</v>
          </cell>
          <cell r="C2194" t="str">
            <v>BDB-000102</v>
          </cell>
          <cell r="D2194" t="str">
            <v>PVN-003821</v>
          </cell>
          <cell r="E2194" t="str">
            <v>[118-467] Eco Lite Hybrid 35+/-4 Asker C 0.13D Lime Green 14-0452 Tpx 1.10M X 2.00M 47mm</v>
          </cell>
          <cell r="F2194">
            <v>7</v>
          </cell>
        </row>
        <row r="2195">
          <cell r="B2195" t="str">
            <v>OIN-2026.03.11-01</v>
          </cell>
          <cell r="C2195" t="str">
            <v>BDB-000102</v>
          </cell>
          <cell r="D2195" t="str">
            <v>PVN-003821</v>
          </cell>
          <cell r="E2195" t="str">
            <v>[118-467] Eco Lite Hybrid 35+/-4 Asker C 0.13D Lime Green 14-0452 Tpx 1.10M X 2.00M 47mm</v>
          </cell>
          <cell r="F2195">
            <v>5</v>
          </cell>
        </row>
        <row r="2196">
          <cell r="B2196" t="str">
            <v>OIN-2026.03.13-01</v>
          </cell>
          <cell r="C2196" t="str">
            <v>BDB-000102</v>
          </cell>
          <cell r="D2196" t="str">
            <v>PVN-003821</v>
          </cell>
          <cell r="E2196" t="str">
            <v>[118-467] Eco Lite Hybrid 35+/-4 Asker C 0.13D Lime Green 14-0452 Tpx 1.10M X 2.00M 47mm</v>
          </cell>
          <cell r="F2196">
            <v>1</v>
          </cell>
        </row>
        <row r="2197">
          <cell r="B2197" t="str">
            <v>OIN-2026.03.07-01</v>
          </cell>
          <cell r="C2197" t="str">
            <v>BDB-000102</v>
          </cell>
          <cell r="D2197" t="str">
            <v>PVN-003821</v>
          </cell>
          <cell r="E2197" t="str">
            <v>[118-467] Eco Lite Hybrid 35+/-4 Asker C 0.13D Lime Green 14-0452 Tpx 1.10M X 2.00M 47mm</v>
          </cell>
          <cell r="F2197">
            <v>4</v>
          </cell>
        </row>
        <row r="2198">
          <cell r="B2198" t="str">
            <v>F-2026-01-339</v>
          </cell>
          <cell r="C2198" t="str">
            <v>BDB-000123</v>
          </cell>
          <cell r="D2198" t="str">
            <v>PVN-003298</v>
          </cell>
          <cell r="E2198" t="str">
            <v>OrthoLite Ultra-Hybrid SEEDPEARL/12-0703TPX Hybrid 0.085D 25+/-4 Asker C 1.1M 2M 4mm</v>
          </cell>
          <cell r="F2198">
            <v>200</v>
          </cell>
        </row>
        <row r="2199">
          <cell r="B2199" t="str">
            <v>F-2026-03-246</v>
          </cell>
          <cell r="C2199" t="str">
            <v>BDB-000077</v>
          </cell>
          <cell r="D2199" t="str">
            <v>PVN-003478</v>
          </cell>
          <cell r="E2199" t="str">
            <v>Ortholite X-25 SEEDPEARL/12-0703TPX Flat Sheet 0.12D 20+/-4 Asker C 1.1M 2M 4mm</v>
          </cell>
          <cell r="F2199">
            <v>10</v>
          </cell>
        </row>
        <row r="2200">
          <cell r="B2200" t="str">
            <v>F-2026-03-172</v>
          </cell>
          <cell r="C2200" t="str">
            <v>BDB-000197</v>
          </cell>
          <cell r="D2200" t="str">
            <v>PVN-003406</v>
          </cell>
          <cell r="E2200" t="str">
            <v>OrthoLite Ultra-Hybrid SEEDPEARL/12-0703TPX Hybrid Flat Sheet 0.085D 5-10 Asker C 1.1M 2M 2mm</v>
          </cell>
          <cell r="F2200">
            <v>2</v>
          </cell>
        </row>
        <row r="2201">
          <cell r="B2201" t="str">
            <v>F-2026-03-201</v>
          </cell>
          <cell r="C2201" t="str">
            <v>BDB-000336</v>
          </cell>
          <cell r="D2201" t="str">
            <v>PVN-004168</v>
          </cell>
          <cell r="E2201" t="str">
            <v>OrthoLite X-40-Nike SEEDPEARL/12-0703TPX Flat Sheet 0.16D 35+/-4 Asker C 1.1M 2M 4.5mm</v>
          </cell>
          <cell r="F2201">
            <v>5</v>
          </cell>
        </row>
        <row r="2202">
          <cell r="B2202" t="str">
            <v>F-2026-03-281</v>
          </cell>
          <cell r="C2202" t="str">
            <v>BDB-000125</v>
          </cell>
          <cell r="D2202" t="str">
            <v>PVN-002413</v>
          </cell>
          <cell r="E2202" t="str">
            <v>OrthoLite Regular-Nike AIR BLUE/16-4134TPX Flat Sheet 0.11D 25+/-4 Asker C 1.1M 2M 4.2mm</v>
          </cell>
          <cell r="F2202">
            <v>19</v>
          </cell>
        </row>
        <row r="2203">
          <cell r="B2203" t="str">
            <v>F-2026-03-238</v>
          </cell>
          <cell r="C2203" t="str">
            <v>BDB-000125</v>
          </cell>
          <cell r="D2203" t="str">
            <v>PVN-002413</v>
          </cell>
          <cell r="E2203" t="str">
            <v>OrthoLite Regular-Nike AIR BLUE/16-4134TPX Flat Sheet 0.11D 25+/-4 Asker C 1.1M 2M 4.2mm</v>
          </cell>
          <cell r="F2203">
            <v>1</v>
          </cell>
        </row>
        <row r="2204">
          <cell r="B2204" t="str">
            <v>F-2026-03-257</v>
          </cell>
          <cell r="C2204" t="str">
            <v>BDB-000125</v>
          </cell>
          <cell r="D2204" t="str">
            <v>PVN-002413</v>
          </cell>
          <cell r="E2204" t="str">
            <v>OrthoLite Regular-Nike AIR BLUE/16-4134TPX Flat Sheet 0.11D 25+/-4 Asker C 1.1M 2M 4.2mm</v>
          </cell>
          <cell r="F2204">
            <v>42</v>
          </cell>
        </row>
        <row r="2205">
          <cell r="B2205" t="str">
            <v>F-2026-03-112</v>
          </cell>
          <cell r="C2205" t="str">
            <v>BDB-000052</v>
          </cell>
          <cell r="D2205" t="str">
            <v>PVN-003603</v>
          </cell>
          <cell r="E2205" t="str">
            <v>OrthoLite X-40 TRUE BLUE/19-4057TPX Flat Sheet 0.16D 25+/-4 Asker C 1.1M 1.47M 12mm</v>
          </cell>
          <cell r="F2205">
            <v>4</v>
          </cell>
        </row>
        <row r="2206">
          <cell r="B2206" t="str">
            <v>F-2026-02-302</v>
          </cell>
          <cell r="C2206" t="str">
            <v>BDB-000125</v>
          </cell>
          <cell r="D2206" t="str">
            <v>PVN-002413</v>
          </cell>
          <cell r="E2206" t="str">
            <v>OrthoLite Regular-Nike AIR BLUE/16-4134TPX 0.11D 25+/-4 Asker C 1.1M 2M 4.2mm</v>
          </cell>
          <cell r="F2206">
            <v>34</v>
          </cell>
        </row>
        <row r="2207">
          <cell r="B2207" t="str">
            <v>F-2026-03-284</v>
          </cell>
          <cell r="C2207" t="str">
            <v>BDB-000125</v>
          </cell>
          <cell r="D2207" t="str">
            <v>PVN-001579</v>
          </cell>
          <cell r="E2207" t="str">
            <v>OrthoLite Regular-Nike AIR BLUE/16-4134TPX Flat Sheet 0.11D 25+/-4 Asker C 1.1M 2M 4mm</v>
          </cell>
          <cell r="F2207">
            <v>26</v>
          </cell>
        </row>
        <row r="2208">
          <cell r="B2208" t="str">
            <v>F-2026-02-300</v>
          </cell>
          <cell r="C2208" t="str">
            <v>BDB-000125</v>
          </cell>
          <cell r="D2208" t="str">
            <v>PVN-002413</v>
          </cell>
          <cell r="E2208" t="str">
            <v>OrthoLite Regular-Nike AIR BLUE/16-4134TPX 0.11D 25+/-4 Asker C 1.1M 2M 4.2mm</v>
          </cell>
          <cell r="F2208">
            <v>76</v>
          </cell>
        </row>
        <row r="2209">
          <cell r="B2209" t="str">
            <v>F-2026-03-248</v>
          </cell>
          <cell r="C2209" t="str">
            <v>BDB-000162</v>
          </cell>
          <cell r="D2209" t="str">
            <v>PVN-001566</v>
          </cell>
          <cell r="E2209" t="str">
            <v>OrthoLite Ultra-Nike SEEDPEARL/12-0703TPX Flat Sheet 0.085D 25+/-4 Asker C 1.1M 2M 4mm</v>
          </cell>
          <cell r="F2209">
            <v>66</v>
          </cell>
        </row>
        <row r="2210">
          <cell r="B2210" t="str">
            <v>F-2026-03-207</v>
          </cell>
          <cell r="C2210" t="str">
            <v>BDB-000011</v>
          </cell>
          <cell r="D2210" t="str">
            <v>PVN-000121</v>
          </cell>
          <cell r="E2210" t="str">
            <v>OrthoLite Regular AIR BLUE/16-4134TPX Flat Sheet 0.13D 35+/-4 Asker C 1.1M 2M 12mm</v>
          </cell>
          <cell r="F2210">
            <v>12</v>
          </cell>
        </row>
        <row r="2211">
          <cell r="B2211" t="str">
            <v>F-2026-03-277</v>
          </cell>
          <cell r="C2211" t="str">
            <v>BDB-000011</v>
          </cell>
          <cell r="D2211" t="str">
            <v>PVN-000121</v>
          </cell>
          <cell r="E2211" t="str">
            <v>OrthoLite Regular AIR BLUE/16-4134TPX Flat Sheet 0.13D 35+/-4 Asker C 1.1M 2M 12mm</v>
          </cell>
          <cell r="F2211">
            <v>1</v>
          </cell>
        </row>
        <row r="2212">
          <cell r="B2212" t="str">
            <v>F-2026-01-487</v>
          </cell>
          <cell r="C2212" t="str">
            <v>BDB-000011</v>
          </cell>
          <cell r="D2212" t="str">
            <v>PVN-000258</v>
          </cell>
          <cell r="E2212" t="str">
            <v>OrthoLite Regular AIR BLUE/16-4134TPX Flat Sheet 0.13D 35+/-4 Asker C 1.1M 2M 2.5mm</v>
          </cell>
          <cell r="F2212">
            <v>45</v>
          </cell>
        </row>
        <row r="2213">
          <cell r="B2213" t="str">
            <v>F-2026-03-300</v>
          </cell>
          <cell r="C2213" t="str">
            <v>BDB-000011</v>
          </cell>
          <cell r="D2213" t="str">
            <v>PVN-000127</v>
          </cell>
          <cell r="E2213" t="str">
            <v>OrthoLite Regular AIR BLUE/16-4134TPX Flat Sheet 0.13D 35+/-4 Asker C 1.1M 2M 5mm</v>
          </cell>
          <cell r="F2213">
            <v>1</v>
          </cell>
        </row>
        <row r="2214">
          <cell r="B2214" t="str">
            <v>F-2026-03-332</v>
          </cell>
          <cell r="C2214" t="str">
            <v>BDB-000175</v>
          </cell>
          <cell r="D2214" t="str">
            <v>PVN-003018</v>
          </cell>
          <cell r="E2214" t="str">
            <v>OrthoLite Ultra-Hybrid-Nike SEEDPEARL/12-0703TPX Hybrid Flat Sheet 0.085D 25+/-4 Asker C 1.1M 2M 2mm</v>
          </cell>
          <cell r="F2214">
            <v>2</v>
          </cell>
        </row>
        <row r="2215">
          <cell r="B2215" t="str">
            <v>F-2026-01-420</v>
          </cell>
          <cell r="C2215" t="str">
            <v>BDB-000175</v>
          </cell>
          <cell r="D2215" t="str">
            <v>PVN-002875</v>
          </cell>
          <cell r="E2215" t="str">
            <v>OrthoLite Ultra-Hybrid-Nike SEEDPEARL/12-0703TPX Hybrid 0.085D 25+/-4 Asker C 1.1M 2M 3mm</v>
          </cell>
          <cell r="F2215">
            <v>22</v>
          </cell>
        </row>
        <row r="2216">
          <cell r="B2216" t="str">
            <v>F-2026-01-421</v>
          </cell>
          <cell r="C2216" t="str">
            <v>BDB-000175</v>
          </cell>
          <cell r="D2216" t="str">
            <v>PVN-002875</v>
          </cell>
          <cell r="E2216" t="str">
            <v>OrthoLite Ultra-Hybrid-Nike SEEDPEARL/12-0703TPX Hybrid 0.085D 25+/-4 Asker C 1.1M 2M 3mm</v>
          </cell>
          <cell r="F2216">
            <v>22</v>
          </cell>
        </row>
        <row r="2217">
          <cell r="B2217" t="str">
            <v>F-2025-12-406</v>
          </cell>
          <cell r="C2217" t="str">
            <v>BDB-000175</v>
          </cell>
          <cell r="D2217" t="str">
            <v>PVN-002966</v>
          </cell>
          <cell r="E2217" t="str">
            <v>OrthoLite Ultra-Hybrid-Nike SEEDPEARL/12-0703TPX Hybrid 0.085D 25+/-4 Asker C 1.1M 2M 4mm</v>
          </cell>
          <cell r="F2217">
            <v>83</v>
          </cell>
        </row>
        <row r="2218">
          <cell r="B2218" t="str">
            <v>F-2026-03-270</v>
          </cell>
          <cell r="C2218" t="str">
            <v>BDB-000212</v>
          </cell>
          <cell r="D2218" t="str">
            <v>PVN-003460</v>
          </cell>
          <cell r="E2218" t="str">
            <v>OrthoLite X-25-Hybrid SEEDPEARL/12-0703TPX Hybrid Flat Sheet 0.12D 20+/-4 Asker C 1.1M 2M 5.5mm</v>
          </cell>
          <cell r="F2218">
            <v>4</v>
          </cell>
        </row>
        <row r="2219">
          <cell r="B2219" t="str">
            <v>F-2026-03-262</v>
          </cell>
          <cell r="C2219" t="str">
            <v>BDB-000212</v>
          </cell>
          <cell r="D2219" t="str">
            <v>PVN-004002</v>
          </cell>
          <cell r="E2219" t="str">
            <v>OrthoLite X-25-Hybrid SEEDPEARL/12-0703TPX Hybrid Flat Sheet 0.12D 20+/-4 Asker C 1.1M 2M 14mm</v>
          </cell>
          <cell r="F2219">
            <v>1</v>
          </cell>
        </row>
        <row r="2220">
          <cell r="B2220" t="str">
            <v>F-2026-03-141</v>
          </cell>
          <cell r="C2220" t="str">
            <v>BDB-000051</v>
          </cell>
          <cell r="D2220" t="str">
            <v>PVN-003319</v>
          </cell>
          <cell r="E2220" t="str">
            <v>OrthoLite X-40 TRUE BLUE/19-4057TPX Flat Sheet 0.16D 25+/-4 Asker C 1.1M 1.7M 12mm</v>
          </cell>
          <cell r="F2220">
            <v>6</v>
          </cell>
        </row>
        <row r="2221">
          <cell r="B2221" t="str">
            <v>F-2026-01-511</v>
          </cell>
          <cell r="C2221" t="str">
            <v>BDB-000113</v>
          </cell>
          <cell r="D2221" t="str">
            <v>PVN-003414</v>
          </cell>
          <cell r="E2221" t="str">
            <v>OrthoLite Regular-Hybrid SEEDPEARL/12-0703TPX Hybrid Flat Sheet 0.11D 25+/-4 Asker C 1.1M 2M 12mm</v>
          </cell>
          <cell r="F2221">
            <v>7</v>
          </cell>
        </row>
        <row r="2222">
          <cell r="B2222" t="str">
            <v>F-2026-03-184</v>
          </cell>
          <cell r="C2222" t="str">
            <v>BDB-000334</v>
          </cell>
          <cell r="D2222" t="str">
            <v>PVN-004327</v>
          </cell>
          <cell r="E2222" t="str">
            <v>OrthoLite X-55-Hybrid FOSSIL/17-0909TPX Hybrid Flat Sheet 0.16D 25+/-4 Asker C 1.1M 2M 6mm</v>
          </cell>
          <cell r="F2222">
            <v>10</v>
          </cell>
        </row>
        <row r="2223">
          <cell r="B2223" t="str">
            <v>F-2026-03-153</v>
          </cell>
          <cell r="C2223" t="str">
            <v>BDB-000209</v>
          </cell>
          <cell r="D2223" t="str">
            <v>PVN-003550</v>
          </cell>
          <cell r="E2223" t="str">
            <v>OrthoLite HybridPlus-Recycled MINT GREEN/11-4805TPX Hybrid Flat Sheet 0.12D 25+/-4 Asker C 1.1M 2M 6mm</v>
          </cell>
          <cell r="F2223">
            <v>8</v>
          </cell>
        </row>
        <row r="2224">
          <cell r="B2224" t="str">
            <v>F-2026-03-129</v>
          </cell>
          <cell r="C2224" t="str">
            <v>BDB-000348</v>
          </cell>
          <cell r="D2224" t="str">
            <v>PVN-004210</v>
          </cell>
          <cell r="E2224" t="str">
            <v>OrthoLite IMPERIAL SEEDPEARL/12-0703TPX Flat Sheet 0.22D 25+/-4 Asker C 1.1M 1.47M 5mm</v>
          </cell>
          <cell r="F2224">
            <v>6</v>
          </cell>
        </row>
        <row r="2225">
          <cell r="B2225"/>
          <cell r="C2225"/>
          <cell r="D2225"/>
          <cell r="E2225" t="str">
            <v>XUẤT SAU KIỂM KÊ</v>
          </cell>
          <cell r="F2225"/>
        </row>
        <row r="2226">
          <cell r="B2226" t="str">
            <v>F-2026-03-186</v>
          </cell>
          <cell r="C2226" t="str">
            <v>BDB-000039</v>
          </cell>
          <cell r="D2226" t="str">
            <v>PVN-002019</v>
          </cell>
          <cell r="E2226" t="str">
            <v>OrthoLite Regular NEUTRAL GRAY/17-4402TPX 0.11D 25+/-4 Asker C 1.1M 2M 13mm</v>
          </cell>
          <cell r="F2226">
            <v>2</v>
          </cell>
        </row>
        <row r="2227">
          <cell r="B2227" t="str">
            <v>F-2026-03-304</v>
          </cell>
          <cell r="C2227" t="str">
            <v>BDB-000056</v>
          </cell>
          <cell r="D2227" t="str">
            <v>PVN-001983</v>
          </cell>
          <cell r="E2227" t="str">
            <v>OrthoLite X-40 SEEDPEARL/12-0703TPX Flat Sheet 0.16D 25+/-4 Asker C 1.1M 1.7M 5mm</v>
          </cell>
          <cell r="F2227">
            <v>2</v>
          </cell>
        </row>
        <row r="2228">
          <cell r="B2228" t="str">
            <v>F-2026-03-307</v>
          </cell>
          <cell r="C2228" t="str">
            <v>BDB-000123</v>
          </cell>
          <cell r="D2228" t="str">
            <v>PVN-003300</v>
          </cell>
          <cell r="E2228" t="str">
            <v>OrthoLite Ultra-Hybrid SEEDPEARL/12-0703TPX Hybrid Flat Sheet 0.085D 25+/-4 Asker C 1.1M 2M 2mm</v>
          </cell>
          <cell r="F2228">
            <v>37</v>
          </cell>
        </row>
        <row r="2229">
          <cell r="B2229" t="str">
            <v>L-2026-03-89</v>
          </cell>
          <cell r="C2229" t="str">
            <v>BDB-000221</v>
          </cell>
          <cell r="D2229" t="str">
            <v>PVN-004124</v>
          </cell>
          <cell r="E2229" t="str">
            <v>OrthoLite X-40-Hybrid-Nike SEEDPEARL/12-0703TPX 0.16D 25+/-4 Asker C 1.1M 1.7M 10mm</v>
          </cell>
          <cell r="F2229">
            <v>1</v>
          </cell>
        </row>
        <row r="2230">
          <cell r="B2230" t="str">
            <v>S-2026-03-91</v>
          </cell>
          <cell r="C2230" t="str">
            <v>BDB-000379</v>
          </cell>
          <cell r="D2230" t="str">
            <v>PVN-004337</v>
          </cell>
          <cell r="E2230" t="str">
            <v>OrthoLite Regular BROWN SUGAR/17-1134TPX Flat Sheet 0.11D 25+/-4 Asker C 1.1M 2M 7.5mm</v>
          </cell>
          <cell r="F2230">
            <v>1</v>
          </cell>
        </row>
        <row r="2231">
          <cell r="B2231" t="str">
            <v>F-2026-03-227</v>
          </cell>
          <cell r="C2231" t="str">
            <v>BDB-000210</v>
          </cell>
          <cell r="D2231" t="str">
            <v>PVN-003453</v>
          </cell>
          <cell r="E2231" t="str">
            <v>OrthoLite Eco LT-Hybrid BLACK/19-4007TPX Hybrid Flat Sheet 0.13D 35+/-4 Asker C 1.1M 2M 3mm</v>
          </cell>
          <cell r="F2231">
            <v>15</v>
          </cell>
        </row>
        <row r="2232">
          <cell r="B2232" t="str">
            <v>F-2026-02-370</v>
          </cell>
          <cell r="C2232" t="str">
            <v>BDB-000362</v>
          </cell>
          <cell r="D2232" t="str">
            <v>PVN-004259</v>
          </cell>
          <cell r="E2232" t="str">
            <v>OrthoLite X-60-Hybrid SEEDPEARL/12-0703TPX Hybrid Flat Sheet 0.19D 28+/-4 Asker C 1.1M 1.7M 12mm</v>
          </cell>
          <cell r="F2232">
            <v>91</v>
          </cell>
        </row>
        <row r="2233">
          <cell r="B2233" t="str">
            <v>OIN-2026.03.03-03</v>
          </cell>
          <cell r="C2233" t="str">
            <v>BDB-000364</v>
          </cell>
          <cell r="D2233" t="str">
            <v>PVN-004262</v>
          </cell>
          <cell r="E2233" t="str">
            <v>[116-12921] Ultra Hybrid 15+/-4 Asker C 0.085D Neutral Grey 17-4402 Tpx 1.10M X 2.00M 47mm</v>
          </cell>
          <cell r="F2233">
            <v>18</v>
          </cell>
        </row>
        <row r="2234">
          <cell r="B2234" t="str">
            <v>F-2026-03-173</v>
          </cell>
          <cell r="C2234" t="str">
            <v>BDB-000229</v>
          </cell>
          <cell r="D2234" t="str">
            <v>PVN-003692</v>
          </cell>
          <cell r="E2234" t="str">
            <v>OrthoLite Ultra-Hybrid SEEDPEARL/12-0703TPX Hybrid Flat Sheet 0.095D 33+/-4 Asker C 1.1M 2M 15.5mm</v>
          </cell>
          <cell r="F2234">
            <v>31</v>
          </cell>
        </row>
        <row r="2235">
          <cell r="B2235" t="str">
            <v>F-2026-03-212</v>
          </cell>
          <cell r="C2235" t="str">
            <v>BDB-000229</v>
          </cell>
          <cell r="D2235" t="str">
            <v>PVN-003692</v>
          </cell>
          <cell r="E2235" t="str">
            <v>OrthoLite Ultra-Hybrid SEEDPEARL/12-0703TPX Hybrid Flat Sheet 0.095D 33+/-4 Asker C 1.1M 2M 15.5mm</v>
          </cell>
          <cell r="F2235">
            <v>17</v>
          </cell>
        </row>
        <row r="2236">
          <cell r="B2236" t="str">
            <v>F-2026-03-287</v>
          </cell>
          <cell r="C2236" t="str">
            <v>BDB-000229</v>
          </cell>
          <cell r="D2236" t="str">
            <v>PVN-003692</v>
          </cell>
          <cell r="E2236" t="str">
            <v>OrthoLite Ultra-Hybrid SEEDPEARL/12-0703TPX Hybrid Flat Sheet 0.095D 33+/-4 Asker C 1.1M 2M 15.5mm</v>
          </cell>
          <cell r="F2236">
            <v>3</v>
          </cell>
        </row>
        <row r="2237">
          <cell r="B2237" t="str">
            <v>F-2026-01-238</v>
          </cell>
          <cell r="C2237" t="str">
            <v>BDB-000217</v>
          </cell>
          <cell r="D2237" t="str">
            <v>PVN-003539</v>
          </cell>
          <cell r="E2237" t="str">
            <v>OrthoLite X-40-Hybrid SEEDPEARL/12-0703TPX Hybrid Flat Sheet 0.16D 35+/-4 Asker C 1.1M 1.7M 6.2mm</v>
          </cell>
          <cell r="F2237">
            <v>46</v>
          </cell>
        </row>
        <row r="2238">
          <cell r="B2238" t="str">
            <v>F-2026-01-239</v>
          </cell>
          <cell r="C2238" t="str">
            <v>BDB-000217</v>
          </cell>
          <cell r="D2238" t="str">
            <v>PVN-003539</v>
          </cell>
          <cell r="E2238" t="str">
            <v>OrthoLite X-40-Hybrid SEEDPEARL/12-0703TPX Hybrid Flat Sheet 0.16D 35+/-4 Asker C 1.1M 1.7M 6.2mm</v>
          </cell>
          <cell r="F2238">
            <v>42</v>
          </cell>
        </row>
        <row r="2239">
          <cell r="B2239" t="str">
            <v>F-2026-03-166</v>
          </cell>
          <cell r="C2239" t="str">
            <v>BDB-000346</v>
          </cell>
          <cell r="D2239" t="str">
            <v>PVN-004188</v>
          </cell>
          <cell r="E2239" t="str">
            <v>OrthoLite Float NEUTRAL GRAY/17-4402TPX Flat Sheet 0.12D 21+/-4 Asker C 1.1M 1.47M 5.5mm</v>
          </cell>
          <cell r="F2239">
            <v>2</v>
          </cell>
        </row>
        <row r="2240">
          <cell r="B2240" t="str">
            <v>F-2026-03-157</v>
          </cell>
          <cell r="C2240" t="str">
            <v>BDB-000058</v>
          </cell>
          <cell r="D2240" t="str">
            <v>PVN-001277</v>
          </cell>
          <cell r="E2240" t="str">
            <v>OrthoLite Ultra GREEN/16-5932TPX Flat Sheet 0.085D 25+/-4 Asker C 1.1M 2M 4mm</v>
          </cell>
          <cell r="F2240">
            <v>2</v>
          </cell>
        </row>
        <row r="2241">
          <cell r="B2241" t="str">
            <v>S-2026-03-107</v>
          </cell>
          <cell r="C2241" t="str">
            <v>BDB-000058</v>
          </cell>
          <cell r="D2241" t="str">
            <v>PVN-004276</v>
          </cell>
          <cell r="E2241" t="str">
            <v>OrthoLite Ultra GREEN/16-5932TPX Flat Sheet 0.085D 25+/-4 Asker C 1.1M 2M 3.5mm</v>
          </cell>
          <cell r="F2241">
            <v>2</v>
          </cell>
        </row>
        <row r="2242">
          <cell r="B2242" t="str">
            <v>L-2026-03-109</v>
          </cell>
          <cell r="C2242" t="str">
            <v>BDB-000123</v>
          </cell>
          <cell r="D2242" t="str">
            <v>PVN-002973</v>
          </cell>
          <cell r="E2242" t="str">
            <v>OrthoLite Ultra-Hybrid SEEDPEARL/12-0703TPX Hybrid 0.085D 25+/-4 Asker C 1.1M 2M 4.5mm</v>
          </cell>
          <cell r="F2242">
            <v>1</v>
          </cell>
        </row>
        <row r="2243">
          <cell r="B2243" t="str">
            <v>F-2026-01-521</v>
          </cell>
          <cell r="C2243" t="str">
            <v>BDB-000234</v>
          </cell>
          <cell r="D2243" t="str">
            <v>PVN-003581</v>
          </cell>
          <cell r="E2243" t="str">
            <v>OrthoLite X-30-Hybrid BROWN SUGAR/17-1134TPX Hybrid Flat Sheet 0.13D 25+/-4 Asker C 1.1M 2M 12mm</v>
          </cell>
          <cell r="F2243">
            <v>8</v>
          </cell>
        </row>
        <row r="2244">
          <cell r="B2244" t="str">
            <v>F-2026-01-512</v>
          </cell>
          <cell r="C2244" t="str">
            <v>BDB-000113</v>
          </cell>
          <cell r="D2244" t="str">
            <v>PVN-003414</v>
          </cell>
          <cell r="E2244" t="str">
            <v>OrthoLite Regular-Hybrid SEEDPEARL/12-0703TPX Hybrid Flat Sheet 0.11D 25+/-4 Asker C 1.1M 2M 12mm</v>
          </cell>
          <cell r="F2244">
            <v>279</v>
          </cell>
        </row>
        <row r="2245">
          <cell r="B2245" t="str">
            <v>OIN-2026.03.03-02</v>
          </cell>
          <cell r="C2245" t="str">
            <v>BDB-000058</v>
          </cell>
          <cell r="D2245" t="str">
            <v>PVN-003780</v>
          </cell>
          <cell r="E2245" t="str">
            <v>[116-361] Ultra 25+/-4 Asker C 0.085D Green 16-5932 Tpx 1.10M X 2.00M 47mm</v>
          </cell>
          <cell r="F2245">
            <v>45</v>
          </cell>
        </row>
        <row r="2246">
          <cell r="B2246" t="str">
            <v>F-2026-03-229</v>
          </cell>
          <cell r="C2246" t="str">
            <v>BDB-000113</v>
          </cell>
          <cell r="D2246" t="str">
            <v>PVN-002503</v>
          </cell>
          <cell r="E2246" t="str">
            <v>OrthoLite Regular-Hybrid SEEDPEARL/12-0703TPX Hybrid Flat Sheet 0.11D 25+/-4 Asker C 1.1M 2M 4mm</v>
          </cell>
          <cell r="F2246">
            <v>4</v>
          </cell>
        </row>
        <row r="2247">
          <cell r="B2247" t="str">
            <v>F-2026-03-318</v>
          </cell>
          <cell r="C2247" t="str">
            <v>BDB-000363</v>
          </cell>
          <cell r="D2247" t="str">
            <v>PVN-004260</v>
          </cell>
          <cell r="E2247" t="str">
            <v>OrthoLite HybridPlus-Recycled MINT GREEN/11-4805TPX Hybrid Flat Sheet 0.12D 35+/-4 Asker C 1.1M 2M 5.5mm</v>
          </cell>
          <cell r="F2247">
            <v>1</v>
          </cell>
        </row>
        <row r="2248">
          <cell r="B2248" t="str">
            <v>OIN-2026.03.03-01</v>
          </cell>
          <cell r="C2248" t="str">
            <v>BDB-000123</v>
          </cell>
          <cell r="D2248" t="str">
            <v>PVN-003784</v>
          </cell>
          <cell r="E2248" t="str">
            <v>[116-311] Ultra Hybrid 25+/-4 Asker C 0.085D Seedpearl 12-0703 Tpx 1.10M X 2.00M 47mm</v>
          </cell>
          <cell r="F2248">
            <v>215</v>
          </cell>
        </row>
        <row r="2249">
          <cell r="B2249" t="str">
            <v>F-2026-01-340</v>
          </cell>
          <cell r="C2249" t="str">
            <v>BDB-000123</v>
          </cell>
          <cell r="D2249" t="str">
            <v>PVN-003298</v>
          </cell>
          <cell r="E2249" t="str">
            <v>OrthoLite Ultra-Hybrid SEEDPEARL/12-0703TPX Hybrid 0.085D 25+/-4 Asker C 1.1M 2M 4mm</v>
          </cell>
          <cell r="F2249">
            <v>72</v>
          </cell>
        </row>
        <row r="2250">
          <cell r="B2250" t="str">
            <v>F-2026-03-295</v>
          </cell>
          <cell r="C2250" t="str">
            <v>BDB-000113</v>
          </cell>
          <cell r="D2250" t="str">
            <v>PVN-002465</v>
          </cell>
          <cell r="E2250" t="str">
            <v>OrthoLite Regular-Hybrid SEEDPEARL/12-0703TPX Hybrid Flat Sheet 0.11D 25+/-4 Asker C 1.1M 2M 5mm</v>
          </cell>
          <cell r="F2250">
            <v>6</v>
          </cell>
        </row>
        <row r="2251">
          <cell r="B2251" t="str">
            <v>OIN-2026.03.03-02</v>
          </cell>
          <cell r="C2251" t="str">
            <v>BDB-000058</v>
          </cell>
          <cell r="D2251" t="str">
            <v>PVN-003780</v>
          </cell>
          <cell r="E2251" t="str">
            <v>[116-361] Ultra 25+/-4 Asker C 0.085D Green 16-5932 Tpx 1.10M X 2.00M 47mm</v>
          </cell>
          <cell r="F2251">
            <v>132</v>
          </cell>
        </row>
        <row r="2252">
          <cell r="B2252" t="str">
            <v>OIN-2026.03.18-03</v>
          </cell>
          <cell r="C2252" t="str">
            <v>BDB-000025</v>
          </cell>
          <cell r="D2252" t="str">
            <v>PVN-003785</v>
          </cell>
          <cell r="E2252" t="str">
            <v>[116-247] Regular 25+/-4 Asker C 0.11D Green 16-5932 Tpx 1.10M X 2.00M 47mm</v>
          </cell>
          <cell r="F2252">
            <v>5</v>
          </cell>
        </row>
        <row r="2253">
          <cell r="B2253" t="str">
            <v>OIN-2026.03.03-04</v>
          </cell>
          <cell r="C2253" t="str">
            <v>BDB-000025</v>
          </cell>
          <cell r="D2253" t="str">
            <v>PVN-003785</v>
          </cell>
          <cell r="E2253" t="str">
            <v>[116-247] Regular 25+/-4 Asker C 0.11D Green 16-5932 Tpx 1.10M X 2.00M 47mm</v>
          </cell>
          <cell r="F2253">
            <v>11</v>
          </cell>
        </row>
        <row r="2254">
          <cell r="B2254" t="str">
            <v>F-2026-03-240</v>
          </cell>
          <cell r="C2254" t="str">
            <v>BDB-000076</v>
          </cell>
          <cell r="D2254" t="str">
            <v>PVN-004119</v>
          </cell>
          <cell r="E2254" t="str">
            <v>OrthoLite X-25 BILLIARD/16-5427TPX Flat Sheet 0.12D 20+/-4 Asker C 1.1M 2M 6.5mm</v>
          </cell>
          <cell r="F2254">
            <v>4</v>
          </cell>
        </row>
        <row r="2255">
          <cell r="B2255" t="str">
            <v>F-2026-03-222</v>
          </cell>
          <cell r="C2255" t="str">
            <v>BDB-000076</v>
          </cell>
          <cell r="D2255" t="str">
            <v>PVN-004119</v>
          </cell>
          <cell r="E2255" t="str">
            <v>OrthoLite X-25 BILLIARD/16-5427TPX Flat Sheet 0.12D 20+/-4 Asker C 1.1M 2M 6.5mm</v>
          </cell>
          <cell r="F2255">
            <v>6</v>
          </cell>
        </row>
        <row r="2256">
          <cell r="B2256" t="str">
            <v>F-2026-03-230</v>
          </cell>
          <cell r="C2256" t="str">
            <v>BDB-000101</v>
          </cell>
          <cell r="D2256" t="str">
            <v>PVN-003628</v>
          </cell>
          <cell r="E2256" t="str">
            <v>OrthoLite Eco LT-Hybrid FOSSIL/17-0909TPX Hybrid Flat Sheet 0.13D 35+/-4 Asker C 1.1M 2M 2.5mm</v>
          </cell>
          <cell r="F2256">
            <v>3</v>
          </cell>
        </row>
        <row r="2257">
          <cell r="B2257" t="str">
            <v>F-2026-02-245</v>
          </cell>
          <cell r="C2257" t="str">
            <v>BDB-000076</v>
          </cell>
          <cell r="D2257" t="str">
            <v>PVN-003448</v>
          </cell>
          <cell r="E2257" t="str">
            <v>OrthoLite X-25 BILLIARD/16-5427TPX 0.12D 20+/-4 Asker C 1.1M 2M 6.2mm</v>
          </cell>
          <cell r="F2257">
            <v>23</v>
          </cell>
        </row>
        <row r="2258">
          <cell r="B2258" t="str">
            <v>F-2026-03-182</v>
          </cell>
          <cell r="C2258" t="str">
            <v>BDB-000347</v>
          </cell>
          <cell r="D2258" t="str">
            <v>PVN-004193</v>
          </cell>
          <cell r="E2258" t="str">
            <v>OrthoLite X-55-Hybrid SEEDPEARL/12-0703TPX Hybrid Flat Sheet 0.16D 25+/-4 Asker C 1.1M 2M 11mm</v>
          </cell>
          <cell r="F2258">
            <v>8</v>
          </cell>
        </row>
        <row r="2259">
          <cell r="B2259" t="str">
            <v>F-2026-02-181</v>
          </cell>
          <cell r="C2259" t="str">
            <v>BDB-000273</v>
          </cell>
          <cell r="D2259" t="str">
            <v>PVN-004138</v>
          </cell>
          <cell r="E2259" t="str">
            <v>OrthoLite X-40-Hybrid SEEDPEARL/12-0703TPX Hybrid Flat Sheet 0.16D 25+/-4 Asker C 1.1M 2M 5.5mm</v>
          </cell>
          <cell r="F2259">
            <v>40</v>
          </cell>
        </row>
        <row r="2260">
          <cell r="B2260" t="str">
            <v>F-2026-01-515</v>
          </cell>
          <cell r="C2260" t="str">
            <v>BDB-000235</v>
          </cell>
          <cell r="D2260" t="str">
            <v>PVN-003576</v>
          </cell>
          <cell r="E2260" t="str">
            <v>OrthoLite X-55-Hybrid FOSSIL/17-0909TPX Hybrid Flat Sheet 0.16D 25+/-4 Asker C 1.1M 1.7M 12mm</v>
          </cell>
          <cell r="F2260">
            <v>13</v>
          </cell>
        </row>
        <row r="2261">
          <cell r="B2261" t="str">
            <v>F-2026-01-340</v>
          </cell>
          <cell r="C2261" t="str">
            <v>BDB-000123</v>
          </cell>
          <cell r="D2261" t="str">
            <v>PVN-003298</v>
          </cell>
          <cell r="E2261" t="str">
            <v>OrthoLite Ultra-Hybrid SEEDPEARL/12-0703TPX Hybrid 0.085D 25+/-4 Asker C 1.1M 2M 4mm</v>
          </cell>
          <cell r="F2261">
            <v>3</v>
          </cell>
        </row>
        <row r="2262">
          <cell r="B2262" t="str">
            <v>F-2026-02-341</v>
          </cell>
          <cell r="C2262" t="str">
            <v>BDB-000347</v>
          </cell>
          <cell r="D2262" t="str">
            <v>PVN-004192</v>
          </cell>
          <cell r="E2262" t="str">
            <v>OrthoLite X-55-Hybrid SEEDPEARL/12-0703TPX Hybrid Flat Sheet 0.16D 25+/-4 Asker C 1.1M 2M 12mm</v>
          </cell>
          <cell r="F2262">
            <v>30</v>
          </cell>
        </row>
        <row r="2263">
          <cell r="B2263" t="str">
            <v>F-2026-03-199</v>
          </cell>
          <cell r="C2263" t="str">
            <v>BDB-000353</v>
          </cell>
          <cell r="D2263" t="str">
            <v>PVN-004219</v>
          </cell>
          <cell r="E2263" t="str">
            <v>OrthoLite Regular SEEDPEARL/12-0703TPX Flat Sheet 0.13D 35+/-4 Asker C 1.1M 1.47M 4mm</v>
          </cell>
          <cell r="F2263">
            <v>1</v>
          </cell>
        </row>
        <row r="2264">
          <cell r="B2264" t="str">
            <v>F-2026-03-143</v>
          </cell>
          <cell r="C2264" t="str">
            <v>BDB-000332</v>
          </cell>
          <cell r="D2264" t="str">
            <v>PVN-004146</v>
          </cell>
          <cell r="E2264" t="str">
            <v>OrthoLite X-25 CASTLEROCK/18-0201TPX Flat Sheet 0.12D 20+/-4 Asker C 1.1M 2M 5.5mm</v>
          </cell>
          <cell r="F2264">
            <v>3</v>
          </cell>
        </row>
        <row r="2265">
          <cell r="B2265" t="str">
            <v>F-2026-03-246</v>
          </cell>
          <cell r="C2265" t="str">
            <v>BDB-000077</v>
          </cell>
          <cell r="D2265" t="str">
            <v>PVN-003478</v>
          </cell>
          <cell r="E2265" t="str">
            <v>Ortholite X-25 SEEDPEARL/12-0703TPX Flat Sheet 0.12D 20+/-4 Asker C 1.1M 2M 4mm</v>
          </cell>
          <cell r="F2265">
            <v>7</v>
          </cell>
        </row>
        <row r="2266">
          <cell r="B2266" t="str">
            <v>F-2026-03-187</v>
          </cell>
          <cell r="C2266" t="str">
            <v>BDB-000039</v>
          </cell>
          <cell r="D2266" t="str">
            <v>PVN-002019</v>
          </cell>
          <cell r="E2266" t="str">
            <v>OrthoLite Regular NEUTRAL GRAY/17-4402TPX 0.11D 25+/-4 Asker C 1.1M 2M 13mm</v>
          </cell>
          <cell r="F2266">
            <v>22</v>
          </cell>
        </row>
        <row r="2267">
          <cell r="B2267" t="str">
            <v>F-2026-03-309</v>
          </cell>
          <cell r="C2267" t="str">
            <v>BDB-000200</v>
          </cell>
          <cell r="D2267" t="str">
            <v>PVN-003425</v>
          </cell>
          <cell r="E2267" t="str">
            <v>OrthoLite Ultra SEEDPEARL/12-0703TPX Flat Sheet 0.085D 78-90 Asker F 1.1M 2M 4mm</v>
          </cell>
          <cell r="F2267">
            <v>41</v>
          </cell>
        </row>
        <row r="2268">
          <cell r="B2268" t="str">
            <v>F-2026-03-308</v>
          </cell>
          <cell r="C2268" t="str">
            <v>BDB-000200</v>
          </cell>
          <cell r="D2268" t="str">
            <v>PVN-003418</v>
          </cell>
          <cell r="E2268" t="str">
            <v>OrthoLite Ultra SEEDPEARL/12-0703TPX Flat Sheet 0.085D 78-90 Asker F 1.1M 2M 5mm</v>
          </cell>
          <cell r="F2268">
            <v>10</v>
          </cell>
        </row>
        <row r="2269">
          <cell r="B2269" t="str">
            <v>F-2026-01-502</v>
          </cell>
          <cell r="C2269" t="str">
            <v>BDB-000113</v>
          </cell>
          <cell r="D2269" t="str">
            <v>PVN-002501</v>
          </cell>
          <cell r="E2269" t="str">
            <v>OrthoLite Regular-Hybrid SEEDPEARL/12-0703TPX Hybrid Flat Sheet 0.11D 25+/-4 Asker C 1.1M 2M 2mm</v>
          </cell>
          <cell r="F2269">
            <v>15</v>
          </cell>
        </row>
        <row r="2270">
          <cell r="B2270" t="str">
            <v>F-2026-02-291</v>
          </cell>
          <cell r="C2270" t="str">
            <v>BDB-000164</v>
          </cell>
          <cell r="D2270" t="str">
            <v>PVN-001618</v>
          </cell>
          <cell r="E2270" t="str">
            <v>OrthoLite Ultra-Nike GREY/17-1501TPX 0.085D 25+/-4 Asker C 1.1M 2M 4mm</v>
          </cell>
          <cell r="F2270">
            <v>15</v>
          </cell>
        </row>
        <row r="2271">
          <cell r="B2271" t="str">
            <v>OIN-2026.03.03-01</v>
          </cell>
          <cell r="C2271" t="str">
            <v>BDB-000123</v>
          </cell>
          <cell r="D2271" t="str">
            <v>PVN-003784</v>
          </cell>
          <cell r="E2271" t="str">
            <v>[116-311] Ultra Hybrid 25+/-4 Asker C 0.085D Seedpearl 12-0703 Tpx 1.10M X 2.00M 47mm</v>
          </cell>
          <cell r="F2271">
            <v>225</v>
          </cell>
        </row>
        <row r="2272">
          <cell r="B2272" t="str">
            <v>F-2026-01-512</v>
          </cell>
          <cell r="C2272" t="str">
            <v>BDB-000113</v>
          </cell>
          <cell r="D2272" t="str">
            <v>PVN-003414</v>
          </cell>
          <cell r="E2272" t="str">
            <v>OrthoLite Regular-Hybrid SEEDPEARL/12-0703TPX Hybrid Flat Sheet 0.11D 25+/-4 Asker C 1.1M 2M 12mm</v>
          </cell>
          <cell r="F2272">
            <v>69</v>
          </cell>
        </row>
        <row r="2273">
          <cell r="B2273" t="str">
            <v>F-2026-02-290</v>
          </cell>
          <cell r="C2273" t="str">
            <v>BDB-000164</v>
          </cell>
          <cell r="D2273" t="str">
            <v>PVN-001618</v>
          </cell>
          <cell r="E2273" t="str">
            <v>OrthoLite Ultra-Nike GREY/17-1501TPX 0.085D 25+/-4 Asker C 1.1M 2M 4mm</v>
          </cell>
          <cell r="F2273">
            <v>15</v>
          </cell>
        </row>
        <row r="2274">
          <cell r="B2274" t="str">
            <v>OIN-2026.03.17-01</v>
          </cell>
          <cell r="C2274" t="str">
            <v>BDB-000097</v>
          </cell>
          <cell r="D2274" t="str">
            <v>PVN-003977</v>
          </cell>
          <cell r="E2274" t="str">
            <v>[116-3829] Eco Lite Hybrid 25+/-4 Asker C 0.11D Seedpearl 12-0703 Tpx 1.10M X 2.00M 47mm</v>
          </cell>
          <cell r="F2274">
            <v>15</v>
          </cell>
        </row>
        <row r="2275">
          <cell r="B2275" t="str">
            <v>F-2026-03-342</v>
          </cell>
          <cell r="C2275" t="str">
            <v>BDB-000212</v>
          </cell>
          <cell r="D2275" t="str">
            <v>PVN-003460</v>
          </cell>
          <cell r="E2275" t="str">
            <v>OrthoLite X-25-Hybrid SEEDPEARL/12-0703TPX Hybrid Flat Sheet 0.12D 20+/-4 Asker C 1.1M 2M 5.5mm</v>
          </cell>
          <cell r="F2275">
            <v>2</v>
          </cell>
        </row>
        <row r="2276">
          <cell r="B2276" t="str">
            <v>F-2026-03-334</v>
          </cell>
          <cell r="C2276" t="str">
            <v>BDB-000212</v>
          </cell>
          <cell r="D2276" t="str">
            <v>PVN-004002</v>
          </cell>
          <cell r="E2276" t="str">
            <v>OrthoLite X-25-Hybrid SEEDPEARL/12-0703TPX Hybrid Flat Sheet 0.12D 20+/-4 Asker C 1.1M 2M 14mm</v>
          </cell>
          <cell r="F2276">
            <v>1</v>
          </cell>
        </row>
        <row r="2277">
          <cell r="B2277" t="str">
            <v>F-2026-03-330</v>
          </cell>
          <cell r="C2277" t="str">
            <v>BDB-000212</v>
          </cell>
          <cell r="D2277" t="str">
            <v>PVN-003764</v>
          </cell>
          <cell r="E2277" t="str">
            <v>OrthoLite X-25-Hybrid SEEDPEARL/12-0703TPX Hybrid Flat Sheet 0.12D 20+/-4 Asker C 1.1M 2M 5mm</v>
          </cell>
          <cell r="F2277">
            <v>1</v>
          </cell>
        </row>
        <row r="2278">
          <cell r="B2278" t="str">
            <v>F-2026-03-290</v>
          </cell>
          <cell r="C2278" t="str">
            <v>BDB-000076</v>
          </cell>
          <cell r="D2278" t="str">
            <v>PVN-003341</v>
          </cell>
          <cell r="E2278" t="str">
            <v>OrthoLite X-25 BILLIARD/16-5427TPX Flat Sheet 0.12D 20+/-4 Asker C 1.1M 2M 6mm</v>
          </cell>
          <cell r="F2278">
            <v>3</v>
          </cell>
        </row>
        <row r="2279">
          <cell r="B2279" t="str">
            <v>F-2026-03-338</v>
          </cell>
          <cell r="C2279" t="str">
            <v>BDB-000076</v>
          </cell>
          <cell r="D2279" t="str">
            <v>PVN-003740</v>
          </cell>
          <cell r="E2279" t="str">
            <v>OrthoLite X-25 BILLIARD/16-5427TPX Flat Sheet 0.12D 20+/-4 Asker C 1.1M 2M 10.5mm</v>
          </cell>
          <cell r="F2279">
            <v>1</v>
          </cell>
        </row>
        <row r="2280">
          <cell r="B2280" t="str">
            <v>F-2026-03-333</v>
          </cell>
          <cell r="C2280" t="str">
            <v>BDB-000076</v>
          </cell>
          <cell r="D2280" t="str">
            <v>PVN-003342</v>
          </cell>
          <cell r="E2280" t="str">
            <v>OrthoLite X-25 BILLIARD/16-5427TPX Flat Sheet 0.12D 20+/-4 Asker C 1.1M 2M 4.5mm</v>
          </cell>
          <cell r="F2280">
            <v>4</v>
          </cell>
        </row>
        <row r="2281">
          <cell r="B2281" t="str">
            <v>F-2026-03-328</v>
          </cell>
          <cell r="C2281" t="str">
            <v>BDB-000339</v>
          </cell>
          <cell r="D2281" t="str">
            <v>PVN-004223</v>
          </cell>
          <cell r="E2281" t="str">
            <v>OrthoLite Float NEUTRAL GRAY/17-4402TPX Flat Sheet 0.12D 21+/-4 Asker C 1.1M 2M 5mm</v>
          </cell>
          <cell r="F2281">
            <v>1</v>
          </cell>
        </row>
        <row r="2282">
          <cell r="B2282" t="str">
            <v>F-2026-03-273</v>
          </cell>
          <cell r="C2282" t="str">
            <v>BDB-000339</v>
          </cell>
          <cell r="D2282" t="str">
            <v>PVN-004178</v>
          </cell>
          <cell r="E2282" t="str">
            <v>OrthoLite Float NEUTRAL GRAY/17-4402TPX Flat Sheet 0.12D 21+/-4 Asker C 1.1M 2M 5.5mm</v>
          </cell>
          <cell r="F2282">
            <v>5</v>
          </cell>
        </row>
        <row r="2283">
          <cell r="B2283" t="str">
            <v>F-2026-02-313</v>
          </cell>
          <cell r="C2283" t="str">
            <v>BDB-000131</v>
          </cell>
          <cell r="D2283" t="str">
            <v>PVN-001565</v>
          </cell>
          <cell r="E2283" t="str">
            <v>OrthoLite Regular-Nike AIR BLUE/16-4134TPX 0.11D 15+/-4 Asker C 1.1M 2M 4mm</v>
          </cell>
          <cell r="F2283">
            <v>19</v>
          </cell>
        </row>
        <row r="2284">
          <cell r="B2284" t="str">
            <v>F-2026-03-206</v>
          </cell>
          <cell r="C2284" t="str">
            <v>BDB-000318</v>
          </cell>
          <cell r="D2284" t="str">
            <v>PVN-004077</v>
          </cell>
          <cell r="E2284" t="str">
            <v>OrthoLite X-55 RED/19-1764TPX Flat Sheet 0.16D 25+/-4 Asker C 1.1M 2M 5.2mm</v>
          </cell>
          <cell r="F2284">
            <v>1</v>
          </cell>
        </row>
        <row r="2285">
          <cell r="B2285" t="str">
            <v>F-2026-03-263</v>
          </cell>
          <cell r="C2285" t="str">
            <v>BDB-000010</v>
          </cell>
          <cell r="D2285" t="str">
            <v>PVN-000101</v>
          </cell>
          <cell r="E2285" t="str">
            <v>OrthoLite Regular AIR BLUE/16-4134TPX Flat Sheet 0.11D 25+/-4 Asker C 1.1M 2M 3mm</v>
          </cell>
          <cell r="F2285">
            <v>5</v>
          </cell>
        </row>
        <row r="2286">
          <cell r="B2286" t="str">
            <v>F-2026-03-337</v>
          </cell>
          <cell r="C2286" t="str">
            <v>BDB-000010</v>
          </cell>
          <cell r="D2286" t="str">
            <v>PVN-000093</v>
          </cell>
          <cell r="E2286" t="str">
            <v>OrthoLite Regular AIR BLUE/16-4134TPX Flat Sheet 0.11D 25+/-4 Asker C 1.1M 2M 11mm</v>
          </cell>
          <cell r="F2286">
            <v>2</v>
          </cell>
        </row>
        <row r="2287">
          <cell r="B2287" t="str">
            <v>OIN-2026.03.18-02</v>
          </cell>
          <cell r="C2287" t="str">
            <v>BDB-000001</v>
          </cell>
          <cell r="D2287" t="str">
            <v>PVN-003935</v>
          </cell>
          <cell r="E2287" t="str">
            <v>[116-205] Regular 15+/-4 Asker C 0.11D Burnt Sienna 17-1544 Tpx 1.10M X 2.00M 47mm</v>
          </cell>
          <cell r="F2287">
            <v>9</v>
          </cell>
        </row>
        <row r="2288">
          <cell r="B2288" t="str">
            <v>OIN-2026.03.06-01</v>
          </cell>
          <cell r="C2288" t="str">
            <v>BDB-000164</v>
          </cell>
          <cell r="D2288" t="str">
            <v>PVN-004253</v>
          </cell>
          <cell r="E2288" t="str">
            <v>[116-12728] Ultra Nike 25+/-4 Asker C 0.085D Grey 17-1501 Tpx 1.10M X 2.00M 47mm</v>
          </cell>
          <cell r="F2288">
            <v>6</v>
          </cell>
        </row>
        <row r="2289">
          <cell r="B2289" t="str">
            <v>OIN-2026.03.18-01</v>
          </cell>
          <cell r="C2289" t="str">
            <v>BDB-000078</v>
          </cell>
          <cell r="D2289" t="str">
            <v>PVN-003912</v>
          </cell>
          <cell r="E2289" t="str">
            <v>[116-1517] X 30 25+/-4 Asker C 0.13D Red 19-1764 Tpx 1.10M X 2.00M 47mm</v>
          </cell>
          <cell r="F2289">
            <v>22</v>
          </cell>
        </row>
        <row r="2290">
          <cell r="B2290" t="str">
            <v>F-2026-03-261</v>
          </cell>
          <cell r="C2290" t="str">
            <v>BDB-000220</v>
          </cell>
          <cell r="D2290" t="str">
            <v>PVN-003656</v>
          </cell>
          <cell r="E2290" t="str">
            <v>OrthoLite X-25 BILLIARD/16-5427TPX Flat Sheet 0.12D 20+/-4 Asker C 1.1M 1.47M 3mm</v>
          </cell>
          <cell r="F2290">
            <v>2</v>
          </cell>
        </row>
        <row r="2291">
          <cell r="B2291" t="str">
            <v>F-2026-03-262</v>
          </cell>
          <cell r="C2291" t="str">
            <v>BDB-000212</v>
          </cell>
          <cell r="D2291" t="str">
            <v>PVN-004002</v>
          </cell>
          <cell r="E2291" t="str">
            <v>OrthoLite X-25-Hybrid SEEDPEARL/12-0703TPX Hybrid Flat Sheet 0.12D 20+/-4 Asker C 1.1M 2M 14mm</v>
          </cell>
          <cell r="F2291">
            <v>3</v>
          </cell>
        </row>
        <row r="2292">
          <cell r="B2292" t="str">
            <v>F-2026-03-327</v>
          </cell>
          <cell r="C2292" t="str">
            <v>BDB-000113</v>
          </cell>
          <cell r="D2292" t="str">
            <v>PVN-002515</v>
          </cell>
          <cell r="E2292" t="str">
            <v>OrthoLite Regular-Hybrid SEEDPEARL/12-0703TPX Hybrid Flat Sheet 0.11D 25+/-4 Asker C 1.1M 2M 11mm</v>
          </cell>
          <cell r="F2292">
            <v>1</v>
          </cell>
        </row>
        <row r="2293">
          <cell r="B2293" t="str">
            <v>F-2026-03-285</v>
          </cell>
          <cell r="C2293" t="str">
            <v>BDB-000113</v>
          </cell>
          <cell r="D2293" t="str">
            <v>PVN-002515</v>
          </cell>
          <cell r="E2293" t="str">
            <v>OrthoLite Regular-Hybrid SEEDPEARL/12-0703TPX Hybrid Flat Sheet 0.11D 25+/-4 Asker C 1.1M 2M 11mm</v>
          </cell>
          <cell r="F2293">
            <v>2</v>
          </cell>
        </row>
        <row r="2294">
          <cell r="B2294" t="str">
            <v>F-2026-03-395-1</v>
          </cell>
          <cell r="C2294" t="str">
            <v>BDB-000113</v>
          </cell>
          <cell r="D2294" t="str">
            <v>PVN-002465</v>
          </cell>
          <cell r="E2294" t="str">
            <v>OrthoLite Regular-Hybrid SEEDPEARL/12-0703TPX Hybrid Flat Sheet 0.11D 25+/-4 Asker C 1.1M 2M 5mm</v>
          </cell>
          <cell r="F2294">
            <v>8</v>
          </cell>
        </row>
        <row r="2295">
          <cell r="B2295" t="str">
            <v>F-2026-02-230</v>
          </cell>
          <cell r="C2295" t="str">
            <v>BDB-000123</v>
          </cell>
          <cell r="D2295" t="str">
            <v>PVN-003299</v>
          </cell>
          <cell r="E2295" t="str">
            <v>OrthoLite Ultra-Hybrid SEEDPEARL/12-0703TPX Hybrid 0.085D 25+/-4 Asker C 1.1M 2M 3mm</v>
          </cell>
          <cell r="F2295">
            <v>42</v>
          </cell>
        </row>
        <row r="2296">
          <cell r="B2296" t="str">
            <v>F-2026-03-184</v>
          </cell>
          <cell r="C2296" t="str">
            <v>BDB-000334</v>
          </cell>
          <cell r="D2296" t="str">
            <v>PVN-004327</v>
          </cell>
          <cell r="E2296" t="str">
            <v>OrthoLite X-55-Hybrid FOSSIL/17-0909TPX Hybrid Flat Sheet 0.16D 25+/-4 Asker C 1.1M 2M 6mm</v>
          </cell>
          <cell r="F2296">
            <v>2</v>
          </cell>
        </row>
        <row r="2297">
          <cell r="B2297" t="str">
            <v>S-2026-03-98</v>
          </cell>
          <cell r="C2297" t="str">
            <v>BDB-000175</v>
          </cell>
          <cell r="D2297" t="str">
            <v>PVN-002876</v>
          </cell>
          <cell r="E2297" t="str">
            <v>OrthoLite Ultra-Hybrid-Nike SEEDPEARL/12-0703TPX Hybrid Flat Sheet 0.085D 25+/-4 Asker C 1.1M 2M 5mm</v>
          </cell>
          <cell r="F2297">
            <v>2</v>
          </cell>
        </row>
        <row r="2298">
          <cell r="B2298" t="str">
            <v>S-2026-03-103</v>
          </cell>
          <cell r="C2298" t="str">
            <v>BDB-000008</v>
          </cell>
          <cell r="D2298" t="str">
            <v>PVN-000457</v>
          </cell>
          <cell r="E2298" t="str">
            <v>OrthoLite Regular LIME GREEN/14-0452TPX 0.11D 25+/-4 Asker C 1.1M 2M 6mm</v>
          </cell>
          <cell r="F2298">
            <v>2</v>
          </cell>
        </row>
        <row r="2299">
          <cell r="B2299" t="str">
            <v>S-2026-03-108</v>
          </cell>
          <cell r="C2299" t="str">
            <v>BDB-000352</v>
          </cell>
          <cell r="D2299" t="str">
            <v>PVN-004347</v>
          </cell>
          <cell r="E2299" t="str">
            <v>OrthoLite Float-Hybrid SEEDPEARL/12-0703TPX Hybrid Flat Sheet 0.12D 21+/-4 Asker C 1.1M 2M 11mm</v>
          </cell>
          <cell r="F2299">
            <v>1</v>
          </cell>
        </row>
        <row r="2300">
          <cell r="B2300" t="str">
            <v>S-2026-03-102</v>
          </cell>
          <cell r="C2300" t="str">
            <v>BDB-000113</v>
          </cell>
          <cell r="D2300" t="str">
            <v>PVN-004344</v>
          </cell>
          <cell r="E2300" t="str">
            <v>OrthoLite Regular-Hybrid SEEDPEARL/12-0703TPX Hybrid Flat Sheet 0.11D 25+/-4 Asker C 1.1M 2M 9mm</v>
          </cell>
          <cell r="F2300">
            <v>2</v>
          </cell>
        </row>
        <row r="2301">
          <cell r="B2301" t="str">
            <v>S-2026-03-110</v>
          </cell>
          <cell r="C2301" t="str">
            <v>BDB-000113</v>
          </cell>
          <cell r="D2301" t="str">
            <v>PVN-002688</v>
          </cell>
          <cell r="E2301" t="str">
            <v>OrthoLite Regular-Hybrid SEEDPEARL/12-0703TPX Hybrid Flat Sheet 0.11D 25+/-4 Asker C 1.1M 2M 6mm</v>
          </cell>
          <cell r="F2301">
            <v>1</v>
          </cell>
        </row>
        <row r="2302">
          <cell r="B2302" t="str">
            <v>S-2026-03-112</v>
          </cell>
          <cell r="C2302" t="str">
            <v>BDB-000348</v>
          </cell>
          <cell r="D2302" t="str">
            <v>PVN-004330</v>
          </cell>
          <cell r="E2302" t="str">
            <v>OrthoLite IMPERIAL SEEDPEARL/12-0703TPX Flat Sheet 0.22D 25+/-4 Asker C 1.1M 1.47M 2mm</v>
          </cell>
          <cell r="F2302">
            <v>1</v>
          </cell>
        </row>
        <row r="2303">
          <cell r="B2303" t="str">
            <v>S-2026-03-119</v>
          </cell>
          <cell r="C2303" t="str">
            <v>BDB-000117</v>
          </cell>
          <cell r="D2303" t="str">
            <v>PVN-003148</v>
          </cell>
          <cell r="E2303" t="str">
            <v>OrthoLite X-35-Hybrid SEEDPEARL/12-0703TPX Hybrid 0.145D 25+/-4 Asker C 1.1M 2M 4.5mm</v>
          </cell>
          <cell r="F2303">
            <v>1</v>
          </cell>
        </row>
        <row r="2304">
          <cell r="B2304" t="str">
            <v>S-2026-03-101</v>
          </cell>
          <cell r="C2304" t="str">
            <v>BDB-000097</v>
          </cell>
          <cell r="D2304" t="str">
            <v>PVN-003671</v>
          </cell>
          <cell r="E2304" t="str">
            <v>OrthoLite Eco LT-Hybrid SEEDPEARL/12-0703TPX Hybrid Flat Sheet 0.11D 25+/-4 Asker C 1.1M 2M 13mm</v>
          </cell>
          <cell r="F2304">
            <v>2</v>
          </cell>
        </row>
        <row r="2305">
          <cell r="B2305" t="str">
            <v>S-2026-03-124</v>
          </cell>
          <cell r="C2305" t="str">
            <v>BDB-000373</v>
          </cell>
          <cell r="D2305" t="str">
            <v>PVN-004315</v>
          </cell>
          <cell r="E2305" t="str">
            <v>OrthoLite X-25-Nike BILLIARD/16-5427TPX Flat Sheet 0.12D 20+/-4 Asker C 1.1M 2M 5mm</v>
          </cell>
          <cell r="F2305">
            <v>2</v>
          </cell>
        </row>
        <row r="2306">
          <cell r="B2306" t="str">
            <v>S-2026-03-126</v>
          </cell>
          <cell r="C2306" t="str">
            <v>BDB-000125</v>
          </cell>
          <cell r="D2306" t="str">
            <v>PVN-001579</v>
          </cell>
          <cell r="E2306" t="str">
            <v>OrthoLite Regular-Nike AIR BLUE/16-4134TPX Flat Sheet 0.11D 25+/-4 Asker C 1.1M 2M 4mm</v>
          </cell>
          <cell r="F2306">
            <v>2</v>
          </cell>
        </row>
        <row r="2307">
          <cell r="B2307" t="str">
            <v>S-2026-03-122</v>
          </cell>
          <cell r="C2307" t="str">
            <v>BDB-000125</v>
          </cell>
          <cell r="D2307" t="str">
            <v>PVN-002413</v>
          </cell>
          <cell r="E2307" t="str">
            <v>OrthoLite Regular-Nike AIR BLUE/16-4134TPX Flat Sheet 0.11D 25+/-4 Asker C 1.1M 2M 4.2mm</v>
          </cell>
          <cell r="F2307">
            <v>4</v>
          </cell>
        </row>
        <row r="2308">
          <cell r="B2308" t="str">
            <v>S-2026-03-128</v>
          </cell>
          <cell r="C2308" t="str">
            <v>BDB-000154</v>
          </cell>
          <cell r="D2308" t="str">
            <v>PVN-003347</v>
          </cell>
          <cell r="E2308" t="str">
            <v>OrthoLite X-40-Nike TRUE BLUE/19-4057TPX Flat Sheet 0.16D 35+/-4 Asker C 1.1M 1.7M 4mm</v>
          </cell>
          <cell r="F2308">
            <v>1</v>
          </cell>
        </row>
        <row r="2309">
          <cell r="B2309" t="str">
            <v>S-2026-03-123</v>
          </cell>
          <cell r="C2309" t="str">
            <v>BDB-000157</v>
          </cell>
          <cell r="D2309" t="str">
            <v>PVN-003642</v>
          </cell>
          <cell r="E2309" t="str">
            <v>OrthoLite X-35-Hybrid-Nike SEEDPEARL/12-0703TPX Hybrid Flat Sheet 0.145D 25+/-4 Asker C 1.1M 2M 6.2mm</v>
          </cell>
          <cell r="F2309">
            <v>2</v>
          </cell>
        </row>
        <row r="2310">
          <cell r="B2310" t="str">
            <v>S-2026-03-127</v>
          </cell>
          <cell r="C2310" t="str">
            <v>BDB-000157</v>
          </cell>
          <cell r="D2310" t="str">
            <v>PVN-003573</v>
          </cell>
          <cell r="E2310" t="str">
            <v>OrthoLite X-35-Hybrid-Nike SEEDPEARL/12-0703TPX Hybrid Flat Sheet 0.145D 25+/-4 Asker C 1.1M 2M 4.2mm</v>
          </cell>
          <cell r="F2310">
            <v>2</v>
          </cell>
        </row>
        <row r="2311">
          <cell r="B2311" t="str">
            <v>S-2026-03-129</v>
          </cell>
          <cell r="C2311" t="str">
            <v>BDB-000083</v>
          </cell>
          <cell r="D2311" t="str">
            <v>PVN-000933</v>
          </cell>
          <cell r="E2311" t="str">
            <v>OrthoLite Eco LT 300C(ADIDAS BLUEBIRD) Flat Sheet 0.11D 25+/-4 Asker C 1.1M 2M 4.5mm</v>
          </cell>
          <cell r="F2311">
            <v>2</v>
          </cell>
        </row>
        <row r="2312">
          <cell r="B2312" t="str">
            <v>F-2026-02-355</v>
          </cell>
          <cell r="C2312" t="str">
            <v>BDB-000347</v>
          </cell>
          <cell r="D2312" t="str">
            <v>PVN-004192</v>
          </cell>
          <cell r="E2312" t="str">
            <v>OrthoLite X-55-Hybrid SEEDPEARL/12-0703TPX Hybrid Flat Sheet 0.16D 25+/-4 Asker C 1.1M 2M 12mm</v>
          </cell>
          <cell r="F2312">
            <v>19</v>
          </cell>
        </row>
        <row r="2313">
          <cell r="B2313" t="str">
            <v>F-2026-02-176</v>
          </cell>
          <cell r="C2313" t="str">
            <v>BDB-000209</v>
          </cell>
          <cell r="D2313" t="str">
            <v>PVN-003537</v>
          </cell>
          <cell r="E2313" t="str">
            <v>OrthoLite HybridPlus-Recycled MINT GREEN/11-4805TPX Hybrid 0.12D 25+/-4 Asker C 1.1M 2M 4.5mm</v>
          </cell>
          <cell r="F2313">
            <v>23</v>
          </cell>
        </row>
        <row r="2314">
          <cell r="B2314" t="str">
            <v>S-2026-03-120</v>
          </cell>
          <cell r="C2314" t="str">
            <v>BDB-000263</v>
          </cell>
          <cell r="D2314" t="str">
            <v>PVN-004356</v>
          </cell>
          <cell r="E2314" t="str">
            <v>OrthoLite Regular GREY/17-1501TPX Flat Sheet 0.13D 15+/-4 Asker C 1.1M 2M 3mm</v>
          </cell>
          <cell r="F2314">
            <v>1</v>
          </cell>
        </row>
        <row r="2315">
          <cell r="B2315" t="str">
            <v>S-2026-03-121</v>
          </cell>
          <cell r="C2315" t="str">
            <v>BDB-000263</v>
          </cell>
          <cell r="D2315" t="str">
            <v>PVN-004357</v>
          </cell>
          <cell r="E2315" t="str">
            <v>OrthoLite Regular GREY/17-1501TPX Flat Sheet 0.13D 15+/-4 Asker C 1.1M 2M 4mm</v>
          </cell>
          <cell r="F2315">
            <v>1</v>
          </cell>
        </row>
        <row r="2316">
          <cell r="B2316" t="str">
            <v>S-2026-03-115</v>
          </cell>
          <cell r="C2316" t="str">
            <v>BDB-000116</v>
          </cell>
          <cell r="D2316" t="str">
            <v>PVN-004074</v>
          </cell>
          <cell r="E2316" t="str">
            <v>OrthoLite Regular-Hybrid SEEDPEARL/12-0703TPX Hybrid Flat Sheet 0.13D 25+/-4 Asker C 1.1M 2M 2mm</v>
          </cell>
          <cell r="F2316">
            <v>1</v>
          </cell>
        </row>
        <row r="2317">
          <cell r="B2317" t="str">
            <v>F-2026-02-284-1</v>
          </cell>
          <cell r="C2317" t="str">
            <v>BDB-000162</v>
          </cell>
          <cell r="D2317" t="str">
            <v>PVN-001566</v>
          </cell>
          <cell r="E2317" t="str">
            <v>OrthoLite Ultra-Nike SEEDPEARL/12-0703TPX 0.085D 25+/-4 Asker C 1.1M 2M 4mm</v>
          </cell>
          <cell r="F2317">
            <v>37</v>
          </cell>
        </row>
        <row r="2318">
          <cell r="B2318" t="str">
            <v>F-2026-03-331</v>
          </cell>
          <cell r="C2318" t="str">
            <v>BDB-000157</v>
          </cell>
          <cell r="D2318" t="str">
            <v>PVN-003244</v>
          </cell>
          <cell r="E2318" t="str">
            <v>OrthoLite X-35-Hybrid-Nike SEEDPEARL/12-0703TPX Hybrid Flat Sheet 0.145D 25+/-4 Asker C 1.1M 2M 5.2mm</v>
          </cell>
          <cell r="F2318">
            <v>1</v>
          </cell>
        </row>
        <row r="2319">
          <cell r="B2319" t="str">
            <v>F-2026-03-354</v>
          </cell>
          <cell r="C2319" t="str">
            <v>BDB-000157</v>
          </cell>
          <cell r="D2319" t="str">
            <v>PVN-003642</v>
          </cell>
          <cell r="E2319" t="str">
            <v>OrthoLite X-35-Hybrid-Nike SEEDPEARL/12-0703TPX Hybrid Flat Sheet 0.145D 25+/-4 Asker C 1.1M 2M 6.2mm</v>
          </cell>
          <cell r="F2319">
            <v>1</v>
          </cell>
        </row>
        <row r="2320">
          <cell r="B2320" t="str">
            <v>F-2026-03-255</v>
          </cell>
          <cell r="C2320" t="str">
            <v>BDB-000157</v>
          </cell>
          <cell r="D2320" t="str">
            <v>PVN-003642</v>
          </cell>
          <cell r="E2320" t="str">
            <v>OrthoLite X-35-Hybrid-Nike SEEDPEARL/12-0703TPX Hybrid Flat Sheet 0.145D 25+/-4 Asker C 1.1M 2M 6.2mm</v>
          </cell>
          <cell r="F2320">
            <v>21</v>
          </cell>
        </row>
        <row r="2321">
          <cell r="B2321" t="str">
            <v>F-2026-02-310</v>
          </cell>
          <cell r="C2321" t="str">
            <v>BDB-000129</v>
          </cell>
          <cell r="D2321" t="str">
            <v>PVN-001550</v>
          </cell>
          <cell r="E2321" t="str">
            <v>OrthoLite Regular-Nike AIR BLUE/16-4134TPX 0.11D 25+/-4 Asker C 1.1M 1.7M 2mm</v>
          </cell>
          <cell r="F2321">
            <v>22</v>
          </cell>
        </row>
        <row r="2322">
          <cell r="B2322" t="str">
            <v>F-2026-03-260</v>
          </cell>
          <cell r="C2322" t="str">
            <v>BDB-000156</v>
          </cell>
          <cell r="D2322" t="str">
            <v>PVN-003243</v>
          </cell>
          <cell r="E2322" t="str">
            <v>OrthoLite X-35-Hybrid-Nike AMAZON/18-6024TPX Hybrid Flat Sheet 0.145D 25+/-4 Asker C 1.1M 2M 5.2mm</v>
          </cell>
          <cell r="F2322">
            <v>9</v>
          </cell>
        </row>
        <row r="2323">
          <cell r="B2323" t="str">
            <v>F-2026-03-208</v>
          </cell>
          <cell r="C2323" t="str">
            <v>BDB-000008</v>
          </cell>
          <cell r="D2323" t="str">
            <v>PVN-000505</v>
          </cell>
          <cell r="E2323" t="str">
            <v>OrthoLite Regular LIME GREEN/14-0452TPX Flat Sheet 0.11D 25+/-4 Asker C 1.1M 2M 12mm</v>
          </cell>
          <cell r="F2323">
            <v>2</v>
          </cell>
        </row>
        <row r="2324">
          <cell r="B2324" t="str">
            <v>F-2026-02-301</v>
          </cell>
          <cell r="C2324" t="str">
            <v>BDB-000125</v>
          </cell>
          <cell r="D2324" t="str">
            <v>PVN-002413</v>
          </cell>
          <cell r="E2324" t="str">
            <v>OrthoLite Regular-Nike AIR BLUE/16-4134TPX 0.11D 25+/-4 Asker C 1.1M 2M 4.2mm</v>
          </cell>
          <cell r="F2324">
            <v>16</v>
          </cell>
        </row>
        <row r="2325">
          <cell r="B2325" t="str">
            <v>F-2026-01-390</v>
          </cell>
          <cell r="C2325" t="str">
            <v>BDB-000161</v>
          </cell>
          <cell r="D2325" t="str">
            <v>PVN-001560</v>
          </cell>
          <cell r="E2325" t="str">
            <v>OrthoLite Ultra-Nike FOSSIL/17-0909TPX 0.085D 25+/-4 Asker C 1.1M 2M 4mm</v>
          </cell>
          <cell r="F2325">
            <v>29</v>
          </cell>
        </row>
        <row r="2326">
          <cell r="B2326" t="str">
            <v>F-2026-03-254</v>
          </cell>
          <cell r="C2326" t="str">
            <v>BDB-000126</v>
          </cell>
          <cell r="D2326" t="str">
            <v>PVN-002325</v>
          </cell>
          <cell r="E2326" t="str">
            <v>OrthoLite Regular-Nike RED/19-1764TPX Flat Sheet 0.11D 25+/-4 Asker C 1.1M 2M 5.2mm</v>
          </cell>
          <cell r="F2326">
            <v>5</v>
          </cell>
        </row>
        <row r="2327">
          <cell r="B2327" t="str">
            <v>F-2026-03-347</v>
          </cell>
          <cell r="C2327" t="str">
            <v>BDB-000126</v>
          </cell>
          <cell r="D2327" t="str">
            <v>PVN-002325</v>
          </cell>
          <cell r="E2327" t="str">
            <v>OrthoLite Regular-Nike RED/19-1764TPX Flat Sheet 0.11D 25+/-4 Asker C 1.1M 2M 5.2mm</v>
          </cell>
          <cell r="F2327">
            <v>1</v>
          </cell>
        </row>
        <row r="2328">
          <cell r="B2328" t="str">
            <v>F-2026-03-280</v>
          </cell>
          <cell r="C2328" t="str">
            <v>BDB-000126</v>
          </cell>
          <cell r="D2328" t="str">
            <v>PVN-002325</v>
          </cell>
          <cell r="E2328" t="str">
            <v>OrthoLite Regular-Nike RED/19-1764TPX Flat Sheet 0.11D 25+/-4 Asker C 1.1M 2M 5.2mm</v>
          </cell>
          <cell r="F2328">
            <v>4</v>
          </cell>
        </row>
        <row r="2329">
          <cell r="B2329" t="str">
            <v>F-2026-02-321</v>
          </cell>
          <cell r="C2329" t="str">
            <v>BDB-000157</v>
          </cell>
          <cell r="D2329" t="str">
            <v>PVN-003573</v>
          </cell>
          <cell r="E2329" t="str">
            <v>OrthoLite X-35-Hybrid-Nike SEEDPEARL/12-0703TPX Hybrid 0.145D 25+/-4 Asker C 1.1M 2M 4.2mm</v>
          </cell>
          <cell r="F2329">
            <v>91</v>
          </cell>
        </row>
        <row r="2330">
          <cell r="B2330" t="str">
            <v>F-2025-12-406</v>
          </cell>
          <cell r="C2330" t="str">
            <v>BDB-000175</v>
          </cell>
          <cell r="D2330" t="str">
            <v>PVN-002966</v>
          </cell>
          <cell r="E2330" t="str">
            <v>OrthoLite Ultra-Hybrid-Nike SEEDPEARL/12-0703TPX Hybrid 0.085D 25+/-4 Asker C 1.1M 2M 4mm</v>
          </cell>
          <cell r="F2330">
            <v>5</v>
          </cell>
        </row>
        <row r="2331">
          <cell r="B2331" t="str">
            <v>S-2026-03-116</v>
          </cell>
          <cell r="C2331" t="str">
            <v>BDB-000179</v>
          </cell>
          <cell r="D2331" t="str">
            <v>PVN-004059</v>
          </cell>
          <cell r="E2331" t="str">
            <v>OrthoLite X-55 RED/19-1764TPX Flat Sheet 0.16D 25+/-4 Asker C 1.1M 1.7M 5.2mm</v>
          </cell>
          <cell r="F2331">
            <v>2</v>
          </cell>
        </row>
        <row r="2332">
          <cell r="B2332" t="str">
            <v>S-2026-03-97</v>
          </cell>
          <cell r="C2332" t="str">
            <v>BDB-000129</v>
          </cell>
          <cell r="D2332" t="str">
            <v>PVN-001550</v>
          </cell>
          <cell r="E2332" t="str">
            <v>OrthoLite Regular-Nike AIR BLUE/16-4134TPX Flat Sheet 0.11D 25+/-4 Asker C 1.1M 1.7M 2mm</v>
          </cell>
          <cell r="F2332">
            <v>2</v>
          </cell>
        </row>
        <row r="2333">
          <cell r="B2333" t="str">
            <v>F-2026-03-352</v>
          </cell>
          <cell r="C2333" t="str">
            <v>BDB-000332</v>
          </cell>
          <cell r="D2333" t="str">
            <v>PVN-004146</v>
          </cell>
          <cell r="E2333" t="str">
            <v>OrthoLite X-25 CASTLEROCK/18-0201TPX Flat Sheet 0.12D 20+/-4 Asker C 1.1M 2M 5.5mm</v>
          </cell>
          <cell r="F2333">
            <v>34</v>
          </cell>
        </row>
        <row r="2334">
          <cell r="B2334" t="str">
            <v>F-2026-02-300</v>
          </cell>
          <cell r="C2334" t="str">
            <v>BDB-000125</v>
          </cell>
          <cell r="D2334" t="str">
            <v>PVN-002413</v>
          </cell>
          <cell r="E2334" t="str">
            <v>OrthoLite Regular-Nike AIR BLUE/16-4134TPX 0.11D 25+/-4 Asker C 1.1M 2M 4.2mm</v>
          </cell>
          <cell r="F2334">
            <v>8</v>
          </cell>
        </row>
        <row r="2335">
          <cell r="B2335" t="str">
            <v>F-2026-03-314</v>
          </cell>
          <cell r="C2335" t="str">
            <v>BDB-000076</v>
          </cell>
          <cell r="D2335" t="str">
            <v>PVN-003448</v>
          </cell>
          <cell r="E2335" t="str">
            <v>OrthoLite X-25 BILLIARD/16-5427TPX Flat Sheet 0.12D 20+/-4 Asker C 1.1M 2M 6.2mm</v>
          </cell>
          <cell r="F2335">
            <v>17</v>
          </cell>
        </row>
        <row r="2336">
          <cell r="B2336" t="str">
            <v>F-2026-03-258</v>
          </cell>
          <cell r="C2336" t="str">
            <v>BDB-000076</v>
          </cell>
          <cell r="D2336" t="str">
            <v>PVN-004091</v>
          </cell>
          <cell r="E2336" t="str">
            <v>OrthoLite X-25 BILLIARD/16-5427TPX Flat Sheet 0.12D 20+/-4 Asker C 1.1M 2M 3.5mm</v>
          </cell>
          <cell r="F2336">
            <v>6</v>
          </cell>
        </row>
        <row r="2337">
          <cell r="B2337" t="str">
            <v>F-2026-02-182-2</v>
          </cell>
          <cell r="C2337" t="str">
            <v>BDB-000077</v>
          </cell>
          <cell r="D2337" t="str">
            <v>PVN-004147</v>
          </cell>
          <cell r="E2337" t="str">
            <v>OrthoLite X-25 SEEDPEARL/12-0703TPX Flat Sheet 0.12D 20+/-4 Asker C 1.1M 2M 5.5mm</v>
          </cell>
          <cell r="F2337">
            <v>20</v>
          </cell>
        </row>
        <row r="2338">
          <cell r="B2338" t="str">
            <v>OIN-2026.03.18-01</v>
          </cell>
          <cell r="C2338" t="str">
            <v>BDB-000078</v>
          </cell>
          <cell r="D2338" t="str">
            <v>PVN-003912</v>
          </cell>
          <cell r="E2338" t="str">
            <v>[116-1517] X 30 25+/-4 Asker C 0.13D Red 19-1764 Tpx 1.10M X 2.00M 47mm</v>
          </cell>
          <cell r="F2338">
            <v>14</v>
          </cell>
        </row>
        <row r="2339">
          <cell r="B2339" t="str">
            <v>F-2026-03-248</v>
          </cell>
          <cell r="C2339" t="str">
            <v>BDB-000162</v>
          </cell>
          <cell r="D2339" t="str">
            <v>PVN-001566</v>
          </cell>
          <cell r="E2339" t="str">
            <v>OrthoLite Ultra-Nike SEEDPEARL/12-0703TPX Flat Sheet 0.085D 25+/-4 Asker C 1.1M 2M 4mm</v>
          </cell>
          <cell r="F2339">
            <v>2</v>
          </cell>
        </row>
        <row r="2340">
          <cell r="B2340" t="str">
            <v>F-2026-03-248</v>
          </cell>
          <cell r="C2340" t="str">
            <v>BDB-000162</v>
          </cell>
          <cell r="D2340" t="str">
            <v>PVN-001566</v>
          </cell>
          <cell r="E2340" t="str">
            <v>OrthoLite Ultra-Nike SEEDPEARL/12-0703TPX Flat Sheet 0.085D 25+/-4 Asker C 1.1M 2M 4mm</v>
          </cell>
          <cell r="F2340">
            <v>7</v>
          </cell>
        </row>
        <row r="2341">
          <cell r="B2341" t="str">
            <v>OIN-2026.03.03-02</v>
          </cell>
          <cell r="C2341" t="str">
            <v>BDB-000058</v>
          </cell>
          <cell r="D2341" t="str">
            <v>PVN-003780</v>
          </cell>
          <cell r="E2341" t="str">
            <v>[116-361] Ultra 25+/-4 Asker C 0.085D Green 16-5932 Tpx 1.10M X 2.00M 47mm</v>
          </cell>
          <cell r="F2341">
            <v>5</v>
          </cell>
        </row>
        <row r="2342">
          <cell r="B2342" t="str">
            <v>F-2026-02-313</v>
          </cell>
          <cell r="C2342" t="str">
            <v>BDB-000131</v>
          </cell>
          <cell r="D2342" t="str">
            <v>PVN-001565</v>
          </cell>
          <cell r="E2342" t="str">
            <v>OrthoLite Regular-Nike AIR BLUE/16-4134TPX 0.11D 15+/-4 Asker C 1.1M 2M 4mm</v>
          </cell>
          <cell r="F2342">
            <v>7</v>
          </cell>
        </row>
        <row r="2343">
          <cell r="B2343" t="str">
            <v>F-2026-02-230</v>
          </cell>
          <cell r="C2343" t="str">
            <v>BDB-000123</v>
          </cell>
          <cell r="D2343" t="str">
            <v>PVN-003299</v>
          </cell>
          <cell r="E2343" t="str">
            <v>OrthoLite Ultra-Hybrid SEEDPEARL/12-0703TPX Hybrid 0.085D 25+/-4 Asker C 1.1M 2M 3mm</v>
          </cell>
          <cell r="F2343">
            <v>111</v>
          </cell>
        </row>
        <row r="2344">
          <cell r="B2344" t="str">
            <v>F-2026-03-301</v>
          </cell>
          <cell r="C2344" t="str">
            <v>BDB-000083</v>
          </cell>
          <cell r="D2344" t="str">
            <v>PVN-000930</v>
          </cell>
          <cell r="E2344" t="str">
            <v>OrthoLite Eco LT 300C(ADIDAS BLUEBIRD) Flat Sheet 0.11D 25+/-4 Asker C 1.1M 2M 3mm</v>
          </cell>
          <cell r="F2344">
            <v>2</v>
          </cell>
        </row>
        <row r="2345">
          <cell r="B2345" t="str">
            <v>OIN-2026.03.18-04</v>
          </cell>
          <cell r="C2345" t="str">
            <v>BDB-000020</v>
          </cell>
          <cell r="D2345" t="str">
            <v>PVN-004180</v>
          </cell>
          <cell r="E2345" t="str">
            <v>[116-013] Regular 35+/-4 Asker C 0.13D Red 19-1764 Tpx 1.10M X 2.00M 12.5mm</v>
          </cell>
          <cell r="F2345">
            <v>18</v>
          </cell>
        </row>
        <row r="2346">
          <cell r="B2346" t="str">
            <v>F-2026-03-253</v>
          </cell>
          <cell r="C2346" t="str">
            <v>BDB-000123</v>
          </cell>
          <cell r="D2346" t="str">
            <v>PVN-002539</v>
          </cell>
          <cell r="E2346" t="str">
            <v>OrthoLite Ultra-Hybrid SEEDPEARL/12-0703TPX Hybrid Flat Sheet 0.085D 25+/-4 Asker C 1.1M 2M 5mm</v>
          </cell>
          <cell r="F2346">
            <v>9</v>
          </cell>
        </row>
        <row r="2347">
          <cell r="B2347" t="str">
            <v>OIN-2026.03.09-01</v>
          </cell>
          <cell r="C2347" t="str">
            <v>BDB-000123</v>
          </cell>
          <cell r="D2347" t="str">
            <v>PVN-003784</v>
          </cell>
          <cell r="E2347" t="str">
            <v>[116-311] Ultra Hybrid 25+/-4 Asker C 0.085D Seedpearl 12-0703 Tpx 1.10M X 2.00M 47mm</v>
          </cell>
          <cell r="F2347">
            <v>178</v>
          </cell>
        </row>
        <row r="2348">
          <cell r="B2348" t="str">
            <v>F-2026-03-242</v>
          </cell>
          <cell r="C2348" t="str">
            <v>BDB-000107</v>
          </cell>
          <cell r="D2348" t="str">
            <v>PVN-003482</v>
          </cell>
          <cell r="E2348" t="str">
            <v>OrthoLite Eco LT-Hybrid SEEDPEARL/12-0703TPX Hybrid Flat Sheet 0.11D 25+/-4 Asker C 1.1M 1.47M 4mm</v>
          </cell>
          <cell r="F2348">
            <v>3</v>
          </cell>
        </row>
        <row r="2349">
          <cell r="B2349" t="str">
            <v>F-2026-03-351</v>
          </cell>
          <cell r="C2349" t="str">
            <v>BDB-000234</v>
          </cell>
          <cell r="D2349" t="str">
            <v>PVN-003575</v>
          </cell>
          <cell r="E2349" t="str">
            <v>OrthoLite X-30-Hybrid BROWN SUGAR/17-1134TPX Hybrid Flat Sheet 0.13D 25+/-4 Asker C 1.1M 2M 10mm</v>
          </cell>
          <cell r="F2349">
            <v>1</v>
          </cell>
        </row>
        <row r="2350">
          <cell r="B2350" t="str">
            <v>F-2026-03-274</v>
          </cell>
          <cell r="C2350" t="str">
            <v>BDB-000123</v>
          </cell>
          <cell r="D2350" t="str">
            <v>PVN-002539</v>
          </cell>
          <cell r="E2350" t="str">
            <v>OrthoLite Ultra-Hybrid SEEDPEARL/12-0703TPX Hybrid Flat Sheet 0.085D 25+/-4 Asker C 1.1M 2M 5mm</v>
          </cell>
          <cell r="F2350">
            <v>15</v>
          </cell>
        </row>
        <row r="2351">
          <cell r="B2351" t="str">
            <v>F-2026-01-422</v>
          </cell>
          <cell r="C2351" t="str">
            <v>BDB-000175</v>
          </cell>
          <cell r="D2351" t="str">
            <v>PVN-002875</v>
          </cell>
          <cell r="E2351" t="str">
            <v>OrthoLite Ultra-Hybrid-Nike SEEDPEARL/12-0703TPX Hybrid 0.085D 25+/-4 Asker C 1.1M 2M 3mm</v>
          </cell>
          <cell r="F2351">
            <v>16</v>
          </cell>
        </row>
        <row r="2352">
          <cell r="B2352" t="str">
            <v>F-2026-03-329</v>
          </cell>
          <cell r="C2352" t="str">
            <v>BDB-000175</v>
          </cell>
          <cell r="D2352" t="str">
            <v>PVN-002875</v>
          </cell>
          <cell r="E2352" t="str">
            <v>OrthoLite Ultra-Hybrid-Nike SEEDPEARL/12-0703TPX Hybrid Flat Sheet 0.085D 25+/-4 Asker C 1.1M 2M 3mm</v>
          </cell>
          <cell r="F2352">
            <v>4</v>
          </cell>
        </row>
        <row r="2353">
          <cell r="B2353" t="str">
            <v>F-2026-03-413</v>
          </cell>
          <cell r="C2353" t="str">
            <v>BDB-000149</v>
          </cell>
          <cell r="D2353" t="str">
            <v>PVN-002773</v>
          </cell>
          <cell r="E2353" t="str">
            <v>OrthoLite Regular-Hybrid-Nike SEEDPEARL/12-0703TPX Hybrid Flat Sheet 0.11D 25+/-4 Asker C 1.1M 2M 4mm</v>
          </cell>
          <cell r="F2353">
            <v>1</v>
          </cell>
        </row>
        <row r="2354">
          <cell r="B2354" t="str">
            <v>F-2026-03-306</v>
          </cell>
          <cell r="C2354" t="str">
            <v>BDB-000117</v>
          </cell>
          <cell r="D2354" t="str">
            <v>PVN-002899</v>
          </cell>
          <cell r="E2354" t="str">
            <v>OrthoLite X-35-Hybrid SEEDPEARL/12-0703TPX Hybrid 0.145D 25+/-4 Asker C 1.1M 2M 4mm</v>
          </cell>
          <cell r="F2354">
            <v>1</v>
          </cell>
        </row>
        <row r="2355">
          <cell r="B2355" t="str">
            <v>F-2026-03-310</v>
          </cell>
          <cell r="C2355" t="str">
            <v>BDB-000348</v>
          </cell>
          <cell r="D2355" t="str">
            <v>PVN-004210</v>
          </cell>
          <cell r="E2355" t="str">
            <v>OrthoLite IMPERIAL SEEDPEARL/12-0703TPX Flat Sheet 0.22D 25+/-4 Asker C 1.1M 1.47M 5mm</v>
          </cell>
          <cell r="F2355">
            <v>1</v>
          </cell>
        </row>
        <row r="2356">
          <cell r="B2356" t="str">
            <v>F-2026-03-288</v>
          </cell>
          <cell r="C2356" t="str">
            <v>BDB-000319</v>
          </cell>
          <cell r="D2356" t="str">
            <v>PVN-004081</v>
          </cell>
          <cell r="E2356" t="str">
            <v>OrthoLite X-40-Hybrid-Nike SEEDPEARL/12-0703TPX Hybrid Flat Sheet 0.16D 25+/-4 Asker C 1.1M 2M 6mm</v>
          </cell>
          <cell r="F2356">
            <v>2</v>
          </cell>
        </row>
        <row r="2357">
          <cell r="B2357" t="str">
            <v>F-2026-03-272</v>
          </cell>
          <cell r="C2357" t="str">
            <v>BDB-000054</v>
          </cell>
          <cell r="D2357" t="str">
            <v>PVN-003895</v>
          </cell>
          <cell r="E2357" t="str">
            <v>OrthoLite X-40 RED/19-1764TPX Flat Sheet 0.16D 25+/-4 Asker C 1.1M 1.7M 5mm</v>
          </cell>
          <cell r="F2357">
            <v>1</v>
          </cell>
        </row>
        <row r="2358">
          <cell r="B2358" t="str">
            <v>F-2026-03-234</v>
          </cell>
          <cell r="C2358" t="str">
            <v>BDB-000054</v>
          </cell>
          <cell r="D2358" t="str">
            <v>PVN-003895</v>
          </cell>
          <cell r="E2358" t="str">
            <v>OrthoLite X-40 RED/19-1764TPX Flat Sheet 0.16D 25+/-4 Asker C 1.1M 1.7M 5mm</v>
          </cell>
          <cell r="F2358">
            <v>1</v>
          </cell>
        </row>
        <row r="2359">
          <cell r="B2359" t="str">
            <v>F-2026-03-344</v>
          </cell>
          <cell r="C2359" t="str">
            <v>BDB-000054</v>
          </cell>
          <cell r="D2359" t="str">
            <v>PVN-003895</v>
          </cell>
          <cell r="E2359" t="str">
            <v>OrthoLite X-40 RED/19-1764TPX Flat Sheet 0.16D 25+/-4 Asker C 1.1M 1.7M 5mm</v>
          </cell>
          <cell r="F2359">
            <v>1</v>
          </cell>
        </row>
        <row r="2360">
          <cell r="B2360" t="str">
            <v>F-2026-03-228</v>
          </cell>
          <cell r="C2360" t="str">
            <v>BDB-000147</v>
          </cell>
          <cell r="D2360" t="str">
            <v>PVN-002753</v>
          </cell>
          <cell r="E2360" t="str">
            <v>OrthoLite Regular-Hybrid-Nike YELLOW/13-0858TPX Hybrid Flat Sheet 0.11D 25+/-4 Asker C 1.1M 2M 4mm</v>
          </cell>
          <cell r="F2360">
            <v>3</v>
          </cell>
        </row>
        <row r="2361">
          <cell r="B2361" t="str">
            <v>F-2026-01-522</v>
          </cell>
          <cell r="C2361" t="str">
            <v>BDB-000234</v>
          </cell>
          <cell r="D2361" t="str">
            <v>PVN-003581</v>
          </cell>
          <cell r="E2361" t="str">
            <v>OrthoLite X-30-Hybrid BROWN SUGAR/17-1134TPX Hybrid Flat Sheet 0.13D 25+/-4 Asker C 1.1M 2M 12mm</v>
          </cell>
          <cell r="F2361">
            <v>79</v>
          </cell>
        </row>
        <row r="2362">
          <cell r="B2362" t="str">
            <v>F-2026-03-223</v>
          </cell>
          <cell r="C2362" t="str">
            <v>BDB-000317</v>
          </cell>
          <cell r="D2362" t="str">
            <v>PVN-004076</v>
          </cell>
          <cell r="E2362" t="str">
            <v>OrthoLite Regular NEUTRAL GRAY/17-4402TPX Flat Sheet 0.13D 15+/-4 Asker C 1.1M 2M 24mm</v>
          </cell>
          <cell r="F2362">
            <v>4</v>
          </cell>
        </row>
        <row r="2363">
          <cell r="B2363" t="str">
            <v>F-2026-03-233</v>
          </cell>
          <cell r="C2363" t="str">
            <v>BDB-000113</v>
          </cell>
          <cell r="D2363" t="str">
            <v>PVN-003414</v>
          </cell>
          <cell r="E2363" t="str">
            <v>OrthoLite Regular-Hybrid SEEDPEARL/12-0703TPX Hybrid Flat Sheet 0.11D 25+/-4 Asker C 1.1M 2M 12mm</v>
          </cell>
          <cell r="F2363">
            <v>2</v>
          </cell>
        </row>
        <row r="2364">
          <cell r="B2364" t="str">
            <v>F-2026-03-251</v>
          </cell>
          <cell r="C2364" t="str">
            <v>BDB-000113</v>
          </cell>
          <cell r="D2364" t="str">
            <v>PVN-003414</v>
          </cell>
          <cell r="E2364" t="str">
            <v>OrthoLite Regular-Hybrid SEEDPEARL/12-0703TPX Hybrid Flat Sheet 0.11D 25+/-4 Asker C 1.1M 2M 12mm</v>
          </cell>
          <cell r="F2364">
            <v>4</v>
          </cell>
        </row>
        <row r="2365">
          <cell r="B2365" t="str">
            <v>F-2026-03-409</v>
          </cell>
          <cell r="C2365" t="str">
            <v>BDB-000055</v>
          </cell>
          <cell r="D2365" t="str">
            <v>PVN-003326</v>
          </cell>
          <cell r="E2365" t="str">
            <v>OrthoLite X-40 TRUE BLUE/19-4057TPX Flat Sheet 0.16D 35+/-4 Asker C 1.1M 1.7M 14mm</v>
          </cell>
          <cell r="F2365">
            <v>7</v>
          </cell>
        </row>
        <row r="2366">
          <cell r="B2366" t="str">
            <v>F-2026-03-489</v>
          </cell>
          <cell r="C2366" t="str">
            <v>BDB-000145</v>
          </cell>
          <cell r="D2366" t="str">
            <v>PVN-002811</v>
          </cell>
          <cell r="E2366" t="str">
            <v>OrthoLite Regular-Hybrid-Nike YELLOW/13-0858TPX Hybrid 0.11D 25+/-4 Asker C 1.1M 1.7M 2mm</v>
          </cell>
          <cell r="F2366">
            <v>8</v>
          </cell>
        </row>
        <row r="2367">
          <cell r="B2367" t="str">
            <v>F-2026-01-512</v>
          </cell>
          <cell r="C2367" t="str">
            <v>BDB-000113</v>
          </cell>
          <cell r="D2367" t="str">
            <v>PVN-003414</v>
          </cell>
          <cell r="E2367" t="str">
            <v>OrthoLite Regular-Hybrid SEEDPEARL/12-0703TPX Hybrid Flat Sheet 0.11D 25+/-4 Asker C 1.1M 2M 12mm</v>
          </cell>
          <cell r="F2367">
            <v>13</v>
          </cell>
        </row>
        <row r="2368">
          <cell r="B2368" t="str">
            <v>F-2026-02-230</v>
          </cell>
          <cell r="C2368" t="str">
            <v>BDB-000123</v>
          </cell>
          <cell r="D2368" t="str">
            <v>PVN-003299</v>
          </cell>
          <cell r="E2368" t="str">
            <v>OrthoLite Ultra-Hybrid SEEDPEARL/12-0703TPX Hybrid 0.085D 25+/-4 Asker C 1.1M 2M 3mm</v>
          </cell>
          <cell r="F2368">
            <v>5</v>
          </cell>
        </row>
        <row r="2369">
          <cell r="B2369" t="str">
            <v>F-2026-03-309</v>
          </cell>
          <cell r="C2369" t="str">
            <v>BDB-000200</v>
          </cell>
          <cell r="D2369" t="str">
            <v>PVN-003425</v>
          </cell>
          <cell r="E2369" t="str">
            <v>OrthoLite Ultra SEEDPEARL/12-0703TPX Flat Sheet 0.085D 78-90 Asker F 1.1M 2M 4mm</v>
          </cell>
          <cell r="F2369">
            <v>4</v>
          </cell>
        </row>
        <row r="2370">
          <cell r="B2370" t="str">
            <v>F-2026-03-395-1</v>
          </cell>
          <cell r="C2370" t="str">
            <v>BDB-000113</v>
          </cell>
          <cell r="D2370" t="str">
            <v>PVN-002465</v>
          </cell>
          <cell r="E2370" t="str">
            <v>OrthoLite Regular-Hybrid SEEDPEARL/12-0703TPX Hybrid Flat Sheet 0.11D 25+/-4 Asker C 1.1M 2M 5mm</v>
          </cell>
          <cell r="F2370">
            <v>12</v>
          </cell>
        </row>
        <row r="2371">
          <cell r="B2371" t="str">
            <v>F-2026-03-289</v>
          </cell>
          <cell r="C2371" t="str">
            <v>BDB-000149</v>
          </cell>
          <cell r="D2371" t="str">
            <v>PVN-002773</v>
          </cell>
          <cell r="E2371" t="str">
            <v>OrthoLite Regular-Hybrid-Nike SEEDPEARL/12-0703TPX Hybrid Flat Sheet 0.11D 25+/-4 Asker C 1.1M 2M 4mm</v>
          </cell>
          <cell r="F2371">
            <v>2</v>
          </cell>
        </row>
        <row r="2372">
          <cell r="B2372" t="str">
            <v>F-2026-03-356</v>
          </cell>
          <cell r="C2372" t="str">
            <v>BDB-000149</v>
          </cell>
          <cell r="D2372" t="str">
            <v>PVN-002773</v>
          </cell>
          <cell r="E2372" t="str">
            <v>OrthoLite Regular-Hybrid-Nike SEEDPEARL/12-0703TPX Hybrid Flat Sheet 0.11D 25+/-4 Asker C 1.1M 2M 4mm</v>
          </cell>
          <cell r="F2372">
            <v>2</v>
          </cell>
        </row>
        <row r="2373">
          <cell r="B2373" t="str">
            <v>F-2026-03-382</v>
          </cell>
          <cell r="C2373" t="str">
            <v>BDB-000235</v>
          </cell>
          <cell r="D2373" t="str">
            <v>PVN-003576</v>
          </cell>
          <cell r="E2373" t="str">
            <v>OrthoLite X-55-Hybrid FOSSIL/17-0909TPX Hybrid Flat Sheet 0.16D 25+/-4 Asker C 1.1M 1.7M 12mm</v>
          </cell>
          <cell r="F2373">
            <v>116</v>
          </cell>
        </row>
        <row r="2374">
          <cell r="B2374" t="str">
            <v>F-2026-03-302</v>
          </cell>
          <cell r="C2374" t="str">
            <v>BDB-000058</v>
          </cell>
          <cell r="D2374" t="str">
            <v>PVN-001277</v>
          </cell>
          <cell r="E2374" t="str">
            <v>OrthoLite Ultra GREEN/16-5932TPX Flat Sheet 0.085D 25+/-4 Asker C 1.1M 2M 4mm</v>
          </cell>
          <cell r="F2374">
            <v>19</v>
          </cell>
        </row>
        <row r="2375">
          <cell r="B2375" t="str">
            <v>F-2026-03-362</v>
          </cell>
          <cell r="C2375" t="str">
            <v>BDB-000057</v>
          </cell>
          <cell r="D2375" t="str">
            <v>PVN-000925</v>
          </cell>
          <cell r="E2375" t="str">
            <v>OrthoLite Ultra YELLOW/13-0858TPX Flat Sheet 0.085D 25+/-4 Asker C 1.1M 2M 5mm</v>
          </cell>
          <cell r="F2375">
            <v>11</v>
          </cell>
        </row>
        <row r="2376">
          <cell r="B2376" t="str">
            <v>F-2026-03-279</v>
          </cell>
          <cell r="C2376" t="str">
            <v>BDB-000235</v>
          </cell>
          <cell r="D2376" t="str">
            <v>PVN-003576</v>
          </cell>
          <cell r="E2376" t="str">
            <v>OrthoLite X-55-Hybrid FOSSIL/17-0909TPX Hybrid Flat Sheet 0.16D 25+/-4 Asker C 1.1M 1.7M 12mm</v>
          </cell>
          <cell r="F2376">
            <v>3</v>
          </cell>
        </row>
        <row r="2377">
          <cell r="B2377" t="str">
            <v>OIN-2026.03.07-02</v>
          </cell>
          <cell r="C2377" t="str">
            <v>BDB-000356</v>
          </cell>
          <cell r="D2377" t="str">
            <v>PVN-004232</v>
          </cell>
          <cell r="E2377" t="str">
            <v>[116-12300] Eco Lite 15+/-4 Asker C 0.11D Lime Green 14-0452 Tpx 1.10M X 2.00M 47mm</v>
          </cell>
          <cell r="F2377">
            <v>4</v>
          </cell>
        </row>
        <row r="2378">
          <cell r="B2378" t="str">
            <v>OIN-2026.03.17-02</v>
          </cell>
          <cell r="C2378" t="str">
            <v>BDB-000102</v>
          </cell>
          <cell r="D2378" t="str">
            <v>PVN-003821</v>
          </cell>
          <cell r="E2378" t="str">
            <v>[118-467] Eco Lite Hybrid 35+/-4 Asker C 0.13D Lime Green 14-0452 Tpx 1.10M X 2.00M 47mm</v>
          </cell>
          <cell r="F2378">
            <v>3</v>
          </cell>
        </row>
        <row r="2379">
          <cell r="B2379" t="str">
            <v>F-2026-03-237</v>
          </cell>
          <cell r="C2379" t="str">
            <v>BDB-000235</v>
          </cell>
          <cell r="D2379" t="str">
            <v>PVN-003576</v>
          </cell>
          <cell r="E2379" t="str">
            <v>OrthoLite X-55-Hybrid FOSSIL/17-0909TPX Hybrid Flat Sheet 0.16D 25+/-4 Asker C 1.1M 1.7M 12mm</v>
          </cell>
          <cell r="F2379">
            <v>40</v>
          </cell>
        </row>
        <row r="2380">
          <cell r="B2380" t="str">
            <v>F-2026-02-310</v>
          </cell>
          <cell r="C2380" t="str">
            <v>BDB-000129</v>
          </cell>
          <cell r="D2380" t="str">
            <v>PVN-001550</v>
          </cell>
          <cell r="E2380" t="str">
            <v>OrthoLite Regular-Nike AIR BLUE/16-4134TPX 0.11D 25+/-4 Asker C 1.1M 1.7M 2mm</v>
          </cell>
          <cell r="F2380">
            <v>36</v>
          </cell>
        </row>
        <row r="2381">
          <cell r="B2381" t="str">
            <v>F-2026-03-291</v>
          </cell>
          <cell r="C2381" t="str">
            <v>BDB-000317</v>
          </cell>
          <cell r="D2381" t="str">
            <v>PVN-004293</v>
          </cell>
          <cell r="E2381" t="str">
            <v>OrthoLite Regular NEUTRAL GRAY/17-4402TPX Flat Sheet 0.13D 15+/-4 Asker C 1.1M 2M 22mm</v>
          </cell>
          <cell r="F2381">
            <v>17</v>
          </cell>
        </row>
        <row r="2382">
          <cell r="B2382" t="str">
            <v>F-2026-03-305</v>
          </cell>
          <cell r="C2382" t="str">
            <v>BDB-000123</v>
          </cell>
          <cell r="D2382" t="str">
            <v>PVN-002539</v>
          </cell>
          <cell r="E2382" t="str">
            <v>OrthoLite Ultra-Hybrid SEEDPEARL/12-0703TPX Hybrid Flat Sheet 0.085D 25+/-4 Asker C 1.1M 2M 5mm</v>
          </cell>
          <cell r="F2382">
            <v>3</v>
          </cell>
        </row>
        <row r="2383">
          <cell r="B2383" t="str">
            <v>F-2026-02-301</v>
          </cell>
          <cell r="C2383" t="str">
            <v>BDB-000125</v>
          </cell>
          <cell r="D2383" t="str">
            <v>PVN-002413</v>
          </cell>
          <cell r="E2383" t="str">
            <v>OrthoLite Regular-Nike AIR BLUE/16-4134TPX 0.11D 25+/-4 Asker C 1.1M 2M 4.2mm</v>
          </cell>
          <cell r="F2383">
            <v>60</v>
          </cell>
        </row>
        <row r="2384">
          <cell r="B2384" t="str">
            <v>F-2026-02-231</v>
          </cell>
          <cell r="C2384" t="str">
            <v>BDB-000123</v>
          </cell>
          <cell r="D2384" t="str">
            <v>PVN-003299</v>
          </cell>
          <cell r="E2384" t="str">
            <v>OrthoLite Ultra-Hybrid SEEDPEARL/12-0703TPX Hybrid 0.085D 25+/-4 Asker C 1.1M 2M 3mm</v>
          </cell>
          <cell r="F2384">
            <v>153</v>
          </cell>
        </row>
        <row r="2385">
          <cell r="B2385" t="str">
            <v>F-2026-02-106</v>
          </cell>
          <cell r="C2385" t="str">
            <v>BDB-000123</v>
          </cell>
          <cell r="D2385" t="str">
            <v>PVN-003298</v>
          </cell>
          <cell r="E2385" t="str">
            <v>OrthoLite Ultra-Hybrid SEEDPEARL/12-0703TPX Hybrid 0.085D 25+/-4 Asker C 1.1M 2M 4mm</v>
          </cell>
          <cell r="F2385">
            <v>198</v>
          </cell>
        </row>
        <row r="2386">
          <cell r="B2386" t="str">
            <v>F-2026-01-513</v>
          </cell>
          <cell r="C2386" t="str">
            <v>BDB-000113</v>
          </cell>
          <cell r="D2386" t="str">
            <v>PVN-003414</v>
          </cell>
          <cell r="E2386" t="str">
            <v>OrthoLite Regular-Hybrid SEEDPEARL/12-0703TPX Hybrid Flat Sheet 0.11D 25+/-4 Asker C 1.1M 2M 12mm</v>
          </cell>
          <cell r="F2386">
            <v>119</v>
          </cell>
        </row>
        <row r="2387">
          <cell r="B2387" t="str">
            <v>F-2026-03-265</v>
          </cell>
          <cell r="C2387" t="str">
            <v>BDB-000083</v>
          </cell>
          <cell r="D2387" t="str">
            <v>PVN-000930</v>
          </cell>
          <cell r="E2387" t="str">
            <v>OrthoLite Eco LT 300C(ADIDAS BLUEBIRD) Flat Sheet 0.11D 25+/-4 Asker C 1.1M 2M 3mm</v>
          </cell>
          <cell r="F2387">
            <v>6</v>
          </cell>
        </row>
        <row r="2388">
          <cell r="B2388" t="str">
            <v>F-2026-02-193</v>
          </cell>
          <cell r="C2388" t="str">
            <v>BDB-000123</v>
          </cell>
          <cell r="D2388" t="str">
            <v>PVN-003298</v>
          </cell>
          <cell r="E2388" t="str">
            <v>OrthoLite Ultra-Hybrid SEEDPEARL/12-0703TPX Hybrid 0.085D 25+/-4 Asker C 1.1M 2M 4mm</v>
          </cell>
          <cell r="F2388">
            <v>49</v>
          </cell>
        </row>
        <row r="2389">
          <cell r="B2389" t="str">
            <v>F-2026-03-320</v>
          </cell>
          <cell r="C2389" t="str">
            <v>BDB-000117</v>
          </cell>
          <cell r="D2389" t="str">
            <v>PVN-003234</v>
          </cell>
          <cell r="E2389" t="str">
            <v>OrthoLite X-35-Hybrid SEEDPEARL/12-0703TPX Hybrid Flat Sheet 0.145D 25+/-4 Asker C 1.1M 2M 5.5mm</v>
          </cell>
          <cell r="F2389">
            <v>3</v>
          </cell>
        </row>
        <row r="2390">
          <cell r="B2390" t="str">
            <v>F-2026-03-182</v>
          </cell>
          <cell r="C2390" t="str">
            <v>BDB-000347</v>
          </cell>
          <cell r="D2390" t="str">
            <v>PVN-004193</v>
          </cell>
          <cell r="E2390" t="str">
            <v>OrthoLite X-55-Hybrid SEEDPEARL/12-0703TPX Hybrid Flat Sheet 0.16D 25+/-4 Asker C 1.1M 2M 11mm</v>
          </cell>
          <cell r="F2390">
            <v>8</v>
          </cell>
        </row>
        <row r="2391">
          <cell r="B2391" t="str">
            <v>F-2026-03-173</v>
          </cell>
          <cell r="C2391" t="str">
            <v>BDB-000229</v>
          </cell>
          <cell r="D2391" t="str">
            <v>PVN-003692</v>
          </cell>
          <cell r="E2391" t="str">
            <v>OrthoLite Ultra-Hybrid SEEDPEARL/12-0703TPX Hybrid Flat Sheet 0.095D 33+/-4 Asker C 1.1M 2M 15.5mm</v>
          </cell>
          <cell r="F2391">
            <v>8</v>
          </cell>
        </row>
        <row r="2392">
          <cell r="B2392" t="str">
            <v>F-2026-01-487</v>
          </cell>
          <cell r="C2392" t="str">
            <v>BDB-000011</v>
          </cell>
          <cell r="D2392" t="str">
            <v>PVN-000258</v>
          </cell>
          <cell r="E2392" t="str">
            <v>OrthoLite Regular AIR BLUE/16-4134TPX Flat Sheet 0.13D 35+/-4 Asker C 1.1M 2M 2.5mm</v>
          </cell>
          <cell r="F2392">
            <v>5</v>
          </cell>
        </row>
        <row r="2393">
          <cell r="B2393" t="str">
            <v>F-2026-02-321</v>
          </cell>
          <cell r="C2393" t="str">
            <v>BDB-000157</v>
          </cell>
          <cell r="D2393" t="str">
            <v>PVN-003573</v>
          </cell>
          <cell r="E2393" t="str">
            <v>OrthoLite X-35-Hybrid-Nike SEEDPEARL/12-0703TPX Hybrid 0.145D 25+/-4 Asker C 1.1M 2M 4.2mm</v>
          </cell>
          <cell r="F2393">
            <v>4</v>
          </cell>
        </row>
        <row r="2394">
          <cell r="B2394" t="str">
            <v>F-2026-03-187</v>
          </cell>
          <cell r="C2394" t="str">
            <v>BDB-000039</v>
          </cell>
          <cell r="D2394" t="str">
            <v>PVN-002019</v>
          </cell>
          <cell r="E2394" t="str">
            <v>OrthoLite Regular NEUTRAL GRAY/17-4402TPX 0.11D 25+/-4 Asker C 1.1M 2M 13mm</v>
          </cell>
          <cell r="F2394">
            <v>3</v>
          </cell>
        </row>
        <row r="2395">
          <cell r="B2395" t="str">
            <v>F-2026-03-265</v>
          </cell>
          <cell r="C2395" t="str">
            <v>BDB-000083</v>
          </cell>
          <cell r="D2395" t="str">
            <v>PVN-000930</v>
          </cell>
          <cell r="E2395" t="str">
            <v>OrthoLite Eco LT 300C(ADIDAS BLUEBIRD) Flat Sheet 0.11D 25+/-4 Asker C 1.1M 2M 3mm</v>
          </cell>
          <cell r="F2395">
            <v>2</v>
          </cell>
        </row>
        <row r="2396">
          <cell r="B2396" t="str">
            <v>F-2026-01-513</v>
          </cell>
          <cell r="C2396" t="str">
            <v>BDB-000113</v>
          </cell>
          <cell r="D2396" t="str">
            <v>PVN-003414</v>
          </cell>
          <cell r="E2396" t="str">
            <v>OrthoLite Regular-Hybrid SEEDPEARL/12-0703TPX Hybrid Flat Sheet 0.11D 25+/-4 Asker C 1.1M 2M 12mm</v>
          </cell>
          <cell r="F2396">
            <v>116</v>
          </cell>
        </row>
        <row r="2397">
          <cell r="B2397" t="str">
            <v>F-2026-01-390</v>
          </cell>
          <cell r="C2397" t="str">
            <v>BDB-000161</v>
          </cell>
          <cell r="D2397" t="str">
            <v>PVN-001560</v>
          </cell>
          <cell r="E2397" t="str">
            <v>OrthoLite Ultra-Nike FOSSIL/17-0909TPX 0.085D 25+/-4 Asker C 1.1M 2M 4mm</v>
          </cell>
          <cell r="F2397">
            <v>3</v>
          </cell>
        </row>
        <row r="2398">
          <cell r="B2398" t="str">
            <v>F-2026-01-339</v>
          </cell>
          <cell r="C2398" t="str">
            <v>BDB-000123</v>
          </cell>
          <cell r="D2398" t="str">
            <v>PVN-003298</v>
          </cell>
          <cell r="E2398" t="str">
            <v>OrthoLite Ultra-Hybrid SEEDPEARL/12-0703TPX Hybrid 0.085D 25+/-4 Asker C 1.1M 2M 4mm</v>
          </cell>
          <cell r="F2398">
            <v>49</v>
          </cell>
        </row>
        <row r="2399">
          <cell r="B2399" t="str">
            <v>F-2026-03-362</v>
          </cell>
          <cell r="C2399" t="str">
            <v>BDB-000057</v>
          </cell>
          <cell r="D2399" t="str">
            <v>PVN-000925</v>
          </cell>
          <cell r="E2399" t="str">
            <v>OrthoLite Ultra YELLOW/13-0858TPX Flat Sheet 0.085D 25+/-4 Asker C 1.1M 2M 5mm</v>
          </cell>
          <cell r="F2399">
            <v>7</v>
          </cell>
        </row>
        <row r="2400">
          <cell r="B2400" t="str">
            <v>F-2026-03-382</v>
          </cell>
          <cell r="C2400" t="str">
            <v>BDB-000235</v>
          </cell>
          <cell r="D2400" t="str">
            <v>PVN-003576</v>
          </cell>
          <cell r="E2400" t="str">
            <v>OrthoLite X-55-Hybrid FOSSIL/17-0909TPX Hybrid Flat Sheet 0.16D 25+/-4 Asker C 1.1M 1.7M 12mm</v>
          </cell>
          <cell r="F2400">
            <v>58</v>
          </cell>
        </row>
        <row r="2401">
          <cell r="B2401" t="str">
            <v>S-2026-03-104</v>
          </cell>
          <cell r="C2401" t="str">
            <v>BDB-000057</v>
          </cell>
          <cell r="D2401" t="str">
            <v>PVN-000926</v>
          </cell>
          <cell r="E2401" t="str">
            <v>OrthoLite Ultra YELLOW/13-0858TPX 0.085D 25+/-4 Asker C 1.1M 2M 6mm</v>
          </cell>
          <cell r="F2401">
            <v>2</v>
          </cell>
        </row>
        <row r="2402">
          <cell r="B2402" t="str">
            <v>S-2026-03-100</v>
          </cell>
          <cell r="C2402" t="str">
            <v>BDB-000011</v>
          </cell>
          <cell r="D2402" t="str">
            <v>PVN-000128</v>
          </cell>
          <cell r="E2402" t="str">
            <v>OrthoLite Regular AIR BLUE/16-4134TPX 0.13D 35+/-4 Asker C 1.1M 2M 6mm</v>
          </cell>
          <cell r="F2402">
            <v>1</v>
          </cell>
        </row>
        <row r="2403">
          <cell r="B2403" t="str">
            <v>S-2026-03-117</v>
          </cell>
          <cell r="C2403" t="str">
            <v>BDB-000097</v>
          </cell>
          <cell r="D2403" t="str">
            <v>PVN-003671</v>
          </cell>
          <cell r="E2403" t="str">
            <v>OrthoLite Eco LT-Hybrid SEEDPEARL/12-0703TPX Hybrid Flat Sheet 0.11D 25+/-4 Asker C 1.1M 2M 13mm</v>
          </cell>
          <cell r="F2403">
            <v>2</v>
          </cell>
        </row>
        <row r="2404">
          <cell r="B2404" t="str">
            <v>S-2026-03-118</v>
          </cell>
          <cell r="C2404" t="str">
            <v>BDB-000097</v>
          </cell>
          <cell r="D2404" t="str">
            <v>PVN-002478</v>
          </cell>
          <cell r="E2404" t="str">
            <v>OrthoLite Eco LT-Hybrid SEEDPEARL/12-0703TPX Hybrid 0.11D 25+/-4 Asker C 1.1M 2M 4mm</v>
          </cell>
          <cell r="F2404">
            <v>2</v>
          </cell>
        </row>
        <row r="2405">
          <cell r="B2405" t="str">
            <v>S-2026-03-111</v>
          </cell>
          <cell r="C2405" t="str">
            <v>BDB-000325</v>
          </cell>
          <cell r="D2405" t="str">
            <v>PVN-004127</v>
          </cell>
          <cell r="E2405" t="str">
            <v>OrthoLite X-40 TRUE BLUE/19-4057TPX Flat Sheet 0.16D 35+/-4 Asker C 1.1M 2M 13.5mm</v>
          </cell>
          <cell r="F2405">
            <v>12</v>
          </cell>
        </row>
        <row r="2406">
          <cell r="B2406" t="str">
            <v>F-2026-03-395-1</v>
          </cell>
          <cell r="C2406" t="str">
            <v>BDB-000113</v>
          </cell>
          <cell r="D2406" t="str">
            <v>PVN-002465</v>
          </cell>
          <cell r="E2406" t="str">
            <v>OrthoLite Regular-Hybrid SEEDPEARL/12-0703TPX Hybrid Flat Sheet 0.11D 25+/-4 Asker C 1.1M 2M 5mm</v>
          </cell>
          <cell r="F2406">
            <v>4</v>
          </cell>
        </row>
        <row r="2407">
          <cell r="B2407" t="str">
            <v>F-2026-03-325</v>
          </cell>
          <cell r="C2407" t="str">
            <v>BDB-000262</v>
          </cell>
          <cell r="D2407" t="str">
            <v>PVN-003816</v>
          </cell>
          <cell r="E2407" t="str">
            <v>OrthoLite Ultra-Hybrid SEEDPEARL/12-0703TPX Hybrid Flat Sheet 0.085D 78-90 Asker F 1.1M 2M 2.5mm</v>
          </cell>
          <cell r="F2407">
            <v>3</v>
          </cell>
        </row>
        <row r="2408">
          <cell r="B2408" t="str">
            <v>F-2026-02-374-1</v>
          </cell>
          <cell r="C2408" t="str">
            <v>BDB-000347</v>
          </cell>
          <cell r="D2408" t="str">
            <v>PVN-004192</v>
          </cell>
          <cell r="E2408" t="str">
            <v>OrthoLite X-55-Hybrid SEEDPEARL/12-0703TPX Hybrid 0.16D 25+/-4 Asker C 1.1M 2M 12mm</v>
          </cell>
          <cell r="F2408">
            <v>91</v>
          </cell>
        </row>
        <row r="2409">
          <cell r="B2409" t="str">
            <v>F-2026-03-264</v>
          </cell>
          <cell r="C2409" t="str">
            <v>BDB-000057</v>
          </cell>
          <cell r="D2409" t="str">
            <v>PVN-000925</v>
          </cell>
          <cell r="E2409" t="str">
            <v>OrthoLite Ultra YELLOW/13-0858TPX Flat Sheet 0.085D 25+/-4 Asker C 1.1M 2M 5mm</v>
          </cell>
          <cell r="F2409">
            <v>2</v>
          </cell>
        </row>
        <row r="2410">
          <cell r="B2410" t="str">
            <v>F-2026-02-190</v>
          </cell>
          <cell r="C2410" t="str">
            <v>BDB-000123</v>
          </cell>
          <cell r="D2410" t="str">
            <v>PVN-002973</v>
          </cell>
          <cell r="E2410" t="str">
            <v>OrthoLite Ultra-Hybrid SEEDPEARL/12-0703TPX Hybrid 0.085D 25+/-4 Asker C 1.1M 2M 4.5mm</v>
          </cell>
          <cell r="F2410">
            <v>49</v>
          </cell>
        </row>
        <row r="2411">
          <cell r="B2411" t="str">
            <v>F-2026-02-251</v>
          </cell>
          <cell r="C2411" t="str">
            <v>BDB-000348</v>
          </cell>
          <cell r="D2411" t="str">
            <v>PVN-004195</v>
          </cell>
          <cell r="E2411" t="str">
            <v>OrthoLite IMPERIAL SEEDPEARL/12-0703TPX Flat Sheet 0.22D 25+/-4 Asker C 1.1M 1.47M 4mm</v>
          </cell>
          <cell r="F2411">
            <v>86</v>
          </cell>
        </row>
        <row r="2412">
          <cell r="B2412" t="str">
            <v>OIN-2026.03.17-01</v>
          </cell>
          <cell r="C2412" t="str">
            <v>BDB-000097</v>
          </cell>
          <cell r="D2412" t="str">
            <v>PVN-003977</v>
          </cell>
          <cell r="E2412" t="str">
            <v>[116-3829] Eco Lite Hybrid 25+/-4 Asker C 0.11D Seedpearl 12-0703 Tpx 1.10M X 2.00M 47mm</v>
          </cell>
          <cell r="F2412">
            <v>2</v>
          </cell>
        </row>
        <row r="2413">
          <cell r="B2413" t="str">
            <v>OIN-2026.03.03-03</v>
          </cell>
          <cell r="C2413" t="str">
            <v>BDB-000364</v>
          </cell>
          <cell r="D2413" t="str">
            <v>PVN-004262</v>
          </cell>
          <cell r="E2413" t="str">
            <v>[116-12921] Ultra Hybrid 15+/-4 Asker C 0.085D Neutral Grey 17-4402 Tpx 1.10M X 2.00M 47mm</v>
          </cell>
          <cell r="F2413">
            <v>3</v>
          </cell>
        </row>
        <row r="2414">
          <cell r="B2414" t="str">
            <v>OIN-2026.03.18-04</v>
          </cell>
          <cell r="C2414" t="str">
            <v>BDB-000020</v>
          </cell>
          <cell r="D2414" t="str">
            <v>PVN-004180</v>
          </cell>
          <cell r="E2414" t="str">
            <v>[116-013] Regular 35+/-4 Asker C 0.13D Red 19-1764 Tpx 1.10M X 2.00M 12.5mm</v>
          </cell>
          <cell r="F2414">
            <v>1</v>
          </cell>
        </row>
        <row r="2415">
          <cell r="B2415" t="str">
            <v>F-2026-01-513</v>
          </cell>
          <cell r="C2415" t="str">
            <v>BDB-000113</v>
          </cell>
          <cell r="D2415" t="str">
            <v>PVN-003414</v>
          </cell>
          <cell r="E2415" t="str">
            <v>OrthoLite Regular-Hybrid SEEDPEARL/12-0703TPX Hybrid Flat Sheet 0.11D 25+/-4 Asker C 1.1M 2M 12mm</v>
          </cell>
          <cell r="F2415">
            <v>6</v>
          </cell>
        </row>
        <row r="2416">
          <cell r="B2416" t="str">
            <v>F-2026-02-106</v>
          </cell>
          <cell r="C2416" t="str">
            <v>BDB-000123</v>
          </cell>
          <cell r="D2416" t="str">
            <v>PVN-003298</v>
          </cell>
          <cell r="E2416" t="str">
            <v>OrthoLite Ultra-Hybrid SEEDPEARL/12-0703TPX Hybrid 0.085D 25+/-4 Asker C 1.1M 2M 4mm</v>
          </cell>
          <cell r="F2416">
            <v>14</v>
          </cell>
        </row>
        <row r="2417">
          <cell r="B2417" t="str">
            <v>F-2026-02-193</v>
          </cell>
          <cell r="C2417" t="str">
            <v>BDB-000123</v>
          </cell>
          <cell r="D2417" t="str">
            <v>PVN-003298</v>
          </cell>
          <cell r="E2417" t="str">
            <v>OrthoLite Ultra-Hybrid SEEDPEARL/12-0703TPX Hybrid 0.085D 25+/-4 Asker C 1.1M 2M 4mm</v>
          </cell>
          <cell r="F2417">
            <v>151</v>
          </cell>
        </row>
        <row r="2418">
          <cell r="B2418" t="str">
            <v>F-2026-02-109</v>
          </cell>
          <cell r="C2418" t="str">
            <v>BDB-000097</v>
          </cell>
          <cell r="D2418" t="str">
            <v>PVN-002478</v>
          </cell>
          <cell r="E2418" t="str">
            <v>OrthoLite Eco LT-Hybrid SEEDPEARL/12-0703TPX Hybrid 0.11D 25+/-4 Asker C 1.1M 2M 4mm</v>
          </cell>
          <cell r="F2418">
            <v>103</v>
          </cell>
        </row>
        <row r="2419">
          <cell r="B2419" t="str">
            <v>F-2026-03-519</v>
          </cell>
          <cell r="C2419" t="str">
            <v>BDB-000057</v>
          </cell>
          <cell r="D2419" t="str">
            <v>PVN-000825</v>
          </cell>
          <cell r="E2419" t="str">
            <v>OrthoLite Ultra YELLOW/13-0858TPX Flat Sheet 0.085D 25+/-4 Asker C 1.1M 2M 12mm</v>
          </cell>
          <cell r="F2419">
            <v>1</v>
          </cell>
        </row>
        <row r="2420">
          <cell r="B2420" t="str">
            <v>F-2026-03-243</v>
          </cell>
          <cell r="C2420" t="str">
            <v>BDB-000084</v>
          </cell>
          <cell r="D2420" t="str">
            <v>PVN-001111</v>
          </cell>
          <cell r="E2420" t="str">
            <v>OrthoLite Eco LT YELLOW/13-0858TPX 0.11D 25+/-4 Asker C 1.1M 2M 4mm</v>
          </cell>
          <cell r="F2420">
            <v>1</v>
          </cell>
        </row>
        <row r="2421">
          <cell r="B2421" t="str">
            <v>F-2026-01-391</v>
          </cell>
          <cell r="C2421" t="str">
            <v>BDB-000161</v>
          </cell>
          <cell r="D2421" t="str">
            <v>PVN-001560</v>
          </cell>
          <cell r="E2421" t="str">
            <v>OrthoLite Ultra-Nike FOSSIL/17-0909TPX 0.085D 25+/-4 Asker C 1.1M 2M 4mm</v>
          </cell>
          <cell r="F2421">
            <v>29</v>
          </cell>
        </row>
        <row r="2422">
          <cell r="B2422" t="str">
            <v>F-2026-02-322</v>
          </cell>
          <cell r="C2422" t="str">
            <v>BDB-000157</v>
          </cell>
          <cell r="D2422" t="str">
            <v>PVN-003573</v>
          </cell>
          <cell r="E2422" t="str">
            <v>OrthoLite X-35-Hybrid-Nike SEEDPEARL/12-0703TPX Hybrid 0.145D 25+/-4 Asker C 1.1M 2M 4.2mm</v>
          </cell>
          <cell r="F2422">
            <v>91</v>
          </cell>
        </row>
        <row r="2423">
          <cell r="B2423" t="str">
            <v>F-2026-03-515</v>
          </cell>
          <cell r="C2423" t="str">
            <v>BDB-000229</v>
          </cell>
          <cell r="D2423" t="str">
            <v>PVN-003692</v>
          </cell>
          <cell r="E2423" t="str">
            <v>OrthoLite Ultra-Hybrid SEEDPEARL/12-0703TPX Hybrid Flat Sheet 0.095D 33+/-4 Asker C 1.1M 2M 15.5mm</v>
          </cell>
          <cell r="F2423">
            <v>48</v>
          </cell>
        </row>
        <row r="2424">
          <cell r="B2424" t="str">
            <v>F-2026-03-426</v>
          </cell>
          <cell r="C2424" t="str">
            <v>BDB-000229</v>
          </cell>
          <cell r="D2424" t="str">
            <v>PVN-003692</v>
          </cell>
          <cell r="E2424" t="str">
            <v>OrthoLite Ultra-Hybrid SEEDPEARL/12-0703TPX Hybrid Flat Sheet 0.095D 33+/-4 Asker C 1.1M 2M 15.5mm</v>
          </cell>
          <cell r="F2424">
            <v>21</v>
          </cell>
        </row>
        <row r="2425">
          <cell r="B2425" t="str">
            <v>F-2026-02-292</v>
          </cell>
          <cell r="C2425" t="str">
            <v>BDB-000164</v>
          </cell>
          <cell r="D2425" t="str">
            <v>PVN-001618</v>
          </cell>
          <cell r="E2425" t="str">
            <v>OrthoLite Ultra-Nike GREY/17-1501TPX 0.085D 25+/-4 Asker C 1.1M 2M 4mm</v>
          </cell>
          <cell r="F2425">
            <v>15</v>
          </cell>
        </row>
        <row r="2426">
          <cell r="B2426" t="str">
            <v>F-2026-03-509</v>
          </cell>
          <cell r="C2426" t="str">
            <v>BDB-000008</v>
          </cell>
          <cell r="D2426" t="str">
            <v>PVN-000412</v>
          </cell>
          <cell r="E2426" t="str">
            <v>OrthoLite Regular LIME GREEN/14-0452TPX Flat Sheet 0.11D 25+/-4 Asker C 1.1M 2M 5mm</v>
          </cell>
          <cell r="F2426">
            <v>5</v>
          </cell>
        </row>
        <row r="2427">
          <cell r="B2427" t="str">
            <v>F-2026-03-534</v>
          </cell>
          <cell r="C2427" t="str">
            <v>BDB-000317</v>
          </cell>
          <cell r="D2427" t="str">
            <v>PVN-004076</v>
          </cell>
          <cell r="E2427" t="str">
            <v>OrthoLite Regular NEUTRAL GRAY/17-4402TPX Flat Sheet 0.13D 15+/-4 Asker C 1.1M 2M 24mm</v>
          </cell>
          <cell r="F2427">
            <v>1</v>
          </cell>
        </row>
        <row r="2428">
          <cell r="B2428" t="str">
            <v>F-2026-03-410</v>
          </cell>
          <cell r="C2428" t="str">
            <v>BDB-000113</v>
          </cell>
          <cell r="D2428" t="str">
            <v>PVN-002515</v>
          </cell>
          <cell r="E2428" t="str">
            <v>OrthoLite Regular-Hybrid SEEDPEARL/12-0703TPX Hybrid Flat Sheet 0.11D 25+/-4 Asker C 1.1M 2M 11mm</v>
          </cell>
          <cell r="F2428">
            <v>1</v>
          </cell>
        </row>
        <row r="2429">
          <cell r="B2429" t="str">
            <v>F-2026-03-345</v>
          </cell>
          <cell r="C2429" t="str">
            <v>BDB-000363</v>
          </cell>
          <cell r="D2429" t="str">
            <v>PVN-004260</v>
          </cell>
          <cell r="E2429" t="str">
            <v>OrthoLite HybridPlus-Recycled MINT GREEN/11-4805TPX Hybrid Flat Sheet 0.12D 35+/-4 Asker C 1.1M 2M 5.5mm</v>
          </cell>
          <cell r="F2429">
            <v>7</v>
          </cell>
        </row>
        <row r="2430">
          <cell r="B2430" t="str">
            <v>F-2026-03-532</v>
          </cell>
          <cell r="C2430" t="str">
            <v>BDB-000212</v>
          </cell>
          <cell r="D2430" t="str">
            <v>PVN-003460</v>
          </cell>
          <cell r="E2430" t="str">
            <v>OrthoLite X-25-Hybrid SEEDPEARL/12-0703TPX Hybrid Flat Sheet 0.12D 20+/-4 Asker C 1.1M 2M 5.5mm</v>
          </cell>
          <cell r="F2430">
            <v>1</v>
          </cell>
        </row>
        <row r="2431">
          <cell r="B2431" t="str">
            <v>F-2026-03-516</v>
          </cell>
          <cell r="C2431" t="str">
            <v>BDB-000212</v>
          </cell>
          <cell r="D2431" t="str">
            <v>PVN-003764</v>
          </cell>
          <cell r="E2431" t="str">
            <v>OrthoLite X-25-Hybrid SEEDPEARL/12-0703TPX Hybrid Flat Sheet 0.12D 20+/-4 Asker C 1.1M 2M 5mm</v>
          </cell>
          <cell r="F2431">
            <v>1</v>
          </cell>
        </row>
        <row r="2432">
          <cell r="B2432" t="str">
            <v>F-2026-03-508</v>
          </cell>
          <cell r="C2432" t="str">
            <v>BDB-000213</v>
          </cell>
          <cell r="D2432" t="str">
            <v>PVN-003752</v>
          </cell>
          <cell r="E2432" t="str">
            <v>OrthoLite X-25-Hybrid SEEDPEARL/12-0703TPX Hybrid Flat Sheet 0.12D 20+/-4 Asker C 1.1M 1.47M 4.5mm</v>
          </cell>
          <cell r="F2432">
            <v>5</v>
          </cell>
        </row>
        <row r="2433">
          <cell r="B2433" t="str">
            <v>F-2026-03-244</v>
          </cell>
          <cell r="C2433" t="str">
            <v>BDB-000058</v>
          </cell>
          <cell r="D2433" t="str">
            <v>PVN-001277</v>
          </cell>
          <cell r="E2433" t="str">
            <v>OrthoLite Ultra GREEN/16-5932TPX Flat Sheet 0.085D 25+/-4 Asker C 1.1M 2M 4mm</v>
          </cell>
          <cell r="F2433">
            <v>45</v>
          </cell>
        </row>
        <row r="2434">
          <cell r="B2434" t="str">
            <v>F-2026-02-195</v>
          </cell>
          <cell r="C2434" t="str">
            <v>BDB-000123</v>
          </cell>
          <cell r="D2434" t="str">
            <v>PVN-003298</v>
          </cell>
          <cell r="E2434" t="str">
            <v>OrthoLite Ultra-Hybrid SEEDPEARL/12-0703TPX Hybrid 0.085D 25+/-4 Asker C 1.1M 2M 4mm</v>
          </cell>
          <cell r="F2434">
            <v>200</v>
          </cell>
        </row>
        <row r="2435">
          <cell r="B2435" t="str">
            <v>F-2026-03-275</v>
          </cell>
          <cell r="C2435" t="str">
            <v>BDB-000273</v>
          </cell>
          <cell r="D2435" t="str">
            <v>PVN-004138</v>
          </cell>
          <cell r="E2435" t="str">
            <v>OrthoLite X-40-Hybrid SEEDPEARL/12-0703TPX Hybrid Flat Sheet 0.16D 25+/-4 Asker C 1.1M 2M 5.5mm</v>
          </cell>
          <cell r="F2435">
            <v>3</v>
          </cell>
        </row>
        <row r="2436">
          <cell r="B2436" t="str">
            <v>F-2026-03-271</v>
          </cell>
          <cell r="C2436" t="str">
            <v>BDB-000346</v>
          </cell>
          <cell r="D2436" t="str">
            <v>PVN-004188</v>
          </cell>
          <cell r="E2436" t="str">
            <v>OrthoLite Float NEUTRAL GRAY/17-4402TPX Flat Sheet 0.12D 21+/-4 Asker C 1.1M 1.47M 5.5mm</v>
          </cell>
          <cell r="F2436">
            <v>2</v>
          </cell>
        </row>
        <row r="2437">
          <cell r="B2437" t="str">
            <v>F-2026-03-350</v>
          </cell>
          <cell r="C2437" t="str">
            <v>BDB-000076</v>
          </cell>
          <cell r="D2437" t="str">
            <v>PVN-004091</v>
          </cell>
          <cell r="E2437" t="str">
            <v>OrthoLite X-25 BILLIARD/16-5427TPX Flat Sheet 0.12D 20+/-4 Asker C 1.1M 2M 3.5mm</v>
          </cell>
          <cell r="F2437">
            <v>8</v>
          </cell>
        </row>
        <row r="2438">
          <cell r="B2438" t="str">
            <v>F-2026-02-246</v>
          </cell>
          <cell r="C2438" t="str">
            <v>BDB-000076</v>
          </cell>
          <cell r="D2438" t="str">
            <v>PVN-003448</v>
          </cell>
          <cell r="E2438" t="str">
            <v>OrthoLite X-25 BILLIARD/16-5427TPX 0.12D 20+/-4 Asker C 1.1M 2M 6.2mm</v>
          </cell>
          <cell r="F2438">
            <v>23</v>
          </cell>
        </row>
        <row r="2439">
          <cell r="B2439" t="str">
            <v>F-2026-03-512</v>
          </cell>
          <cell r="C2439" t="str">
            <v>BDB-000076</v>
          </cell>
          <cell r="D2439" t="str">
            <v>PVN-003494</v>
          </cell>
          <cell r="E2439" t="str">
            <v>OrthoLite X-25 BILLIARD/16-5427TPX Flat Sheet 0.12D 20+/-4 Asker C 1.1M 2M 5.5mm</v>
          </cell>
          <cell r="F2439">
            <v>7</v>
          </cell>
        </row>
        <row r="2440">
          <cell r="B2440" t="str">
            <v>F-2026-03-317</v>
          </cell>
          <cell r="C2440" t="str">
            <v>BDB-000209</v>
          </cell>
          <cell r="D2440" t="str">
            <v>PVN-003461</v>
          </cell>
          <cell r="E2440" t="str">
            <v>OrthoLite HybridPlus-Recycled MINT GREEN/11-4805TPX Hybrid Flat Sheet 0.12D 25+/-4 Asker C 1.1M 2M 11mm</v>
          </cell>
          <cell r="F2440">
            <v>10</v>
          </cell>
        </row>
        <row r="2441">
          <cell r="B2441" t="str">
            <v>F-2026-03-524</v>
          </cell>
          <cell r="C2441" t="str">
            <v>BDB-000209</v>
          </cell>
          <cell r="D2441" t="str">
            <v>PVN-003550</v>
          </cell>
          <cell r="E2441" t="str">
            <v>OrthoLite HybridPlus-Recycled MINT GREEN/11-4805TPX Hybrid Flat Sheet 0.12D 25+/-4 Asker C 1.1M 2M 6mm</v>
          </cell>
          <cell r="F2441">
            <v>61</v>
          </cell>
        </row>
        <row r="2442">
          <cell r="B2442" t="str">
            <v>F-2026-03-343</v>
          </cell>
          <cell r="C2442" t="str">
            <v>BDB-000346</v>
          </cell>
          <cell r="D2442" t="str">
            <v>PVN-004188</v>
          </cell>
          <cell r="E2442" t="str">
            <v>OrthoLite Float NEUTRAL GRAY/17-4402TPX Flat Sheet 0.12D 21+/-4 Asker C 1.1M 1.47M 5.5mm</v>
          </cell>
          <cell r="F2442">
            <v>1</v>
          </cell>
        </row>
        <row r="2443">
          <cell r="B2443" t="str">
            <v>F-2026-03-165</v>
          </cell>
          <cell r="C2443" t="str">
            <v>BDB-000113</v>
          </cell>
          <cell r="D2443" t="str">
            <v>PVN-003414</v>
          </cell>
          <cell r="E2443" t="str">
            <v>OrthoLite Regular-Hybrid SEEDPEARL/12-0703TPX Hybrid Flat Sheet 0.11D 25+/-4 Asker C 1.1M 2M 12mm</v>
          </cell>
          <cell r="F2443">
            <v>65</v>
          </cell>
        </row>
        <row r="2444">
          <cell r="B2444" t="str">
            <v>S-2026-03-136</v>
          </cell>
          <cell r="C2444" t="str">
            <v>BDB-000010</v>
          </cell>
          <cell r="D2444" t="str">
            <v>PVN-000101</v>
          </cell>
          <cell r="E2444" t="str">
            <v>OrthoLite Regular AIR BLUE/16-4134TPX Flat Sheet 0.11D 25+/-4 Asker C 1.1M 2M 3mm</v>
          </cell>
          <cell r="F2444">
            <v>2</v>
          </cell>
        </row>
        <row r="2445">
          <cell r="B2445" t="str">
            <v>S-2026-03-137</v>
          </cell>
          <cell r="C2445" t="str">
            <v>BDB-000123</v>
          </cell>
          <cell r="D2445" t="str">
            <v>PVN-003298</v>
          </cell>
          <cell r="E2445" t="str">
            <v>OrthoLite Ultra-Hybrid SEEDPEARL/12-0703TPX Hybrid Flat Sheet 0.085D 25+/-4 Asker C 1.1M 2M 4mm</v>
          </cell>
          <cell r="F2445">
            <v>12</v>
          </cell>
        </row>
        <row r="2446">
          <cell r="B2446" t="str">
            <v>F-2026-03-324</v>
          </cell>
          <cell r="C2446" t="str">
            <v>BDB-000156</v>
          </cell>
          <cell r="D2446" t="str">
            <v>PVN-003243</v>
          </cell>
          <cell r="E2446" t="str">
            <v>OrthoLite X-35-Hybrid-Nike AMAZON/18-6024TPX Hybrid Flat Sheet 0.145D 25+/-4 Asker C 1.1M 2M 5.2mm</v>
          </cell>
          <cell r="F2446">
            <v>3</v>
          </cell>
        </row>
        <row r="2447">
          <cell r="B2447" t="str">
            <v>F-2026-03-282</v>
          </cell>
          <cell r="C2447" t="str">
            <v>BDB-000313</v>
          </cell>
          <cell r="D2447" t="str">
            <v>PVN-004061</v>
          </cell>
          <cell r="E2447" t="str">
            <v>OrthoLite X-55 RED/19-1764TPX Flat Sheet 0.16D 25+/-4 Asker C 1.1M 1.47M 18mm</v>
          </cell>
          <cell r="F2447">
            <v>3</v>
          </cell>
        </row>
        <row r="2448">
          <cell r="B2448" t="str">
            <v>F-2026-01-503</v>
          </cell>
          <cell r="C2448" t="str">
            <v>BDB-000113</v>
          </cell>
          <cell r="D2448" t="str">
            <v>PVN-002501</v>
          </cell>
          <cell r="E2448" t="str">
            <v>OrthoLite Regular-Hybrid SEEDPEARL/12-0703TPX Hybrid Flat Sheet 0.11D 25+/-4 Asker C 1.1M 2M 2mm</v>
          </cell>
          <cell r="F2448">
            <v>15</v>
          </cell>
        </row>
        <row r="2449">
          <cell r="B2449" t="str">
            <v>F-2026-02-284-1</v>
          </cell>
          <cell r="C2449" t="str">
            <v>BDB-000162</v>
          </cell>
          <cell r="D2449" t="str">
            <v>PVN-001566</v>
          </cell>
          <cell r="E2449" t="str">
            <v>OrthoLite Ultra-Nike SEEDPEARL/12-0703TPX 0.085D 25+/-4 Asker C 1.1M 2M 4mm</v>
          </cell>
          <cell r="F2449">
            <v>9</v>
          </cell>
        </row>
        <row r="2450">
          <cell r="B2450" t="str">
            <v>F-2026-02-284-1</v>
          </cell>
          <cell r="C2450" t="str">
            <v>BDB-000162</v>
          </cell>
          <cell r="D2450" t="str">
            <v>PVN-001566</v>
          </cell>
          <cell r="E2450" t="str">
            <v>OrthoLite Ultra-Nike SEEDPEARL/12-0703TPX 0.085D 25+/-4 Asker C 1.1M 2M 4mm</v>
          </cell>
          <cell r="F2450">
            <v>3</v>
          </cell>
        </row>
        <row r="2451">
          <cell r="B2451" t="str">
            <v>F-2026-03-319</v>
          </cell>
          <cell r="C2451" t="str">
            <v>BDB-000218</v>
          </cell>
          <cell r="D2451" t="str">
            <v>PVN-003488</v>
          </cell>
          <cell r="E2451" t="str">
            <v>OrthoLite Ultra-Nike SEEDPEARL/12-0703TPX Flat Sheet 0.085D 5-10 Asker C 1.1M 2M 4mm</v>
          </cell>
          <cell r="F2451">
            <v>10</v>
          </cell>
        </row>
        <row r="2452">
          <cell r="B2452" t="str">
            <v>F-2026-03-276</v>
          </cell>
          <cell r="C2452" t="str">
            <v>BDB-000218</v>
          </cell>
          <cell r="D2452" t="str">
            <v>PVN-003488</v>
          </cell>
          <cell r="E2452" t="str">
            <v>OrthoLite Ultra-Nike SEEDPEARL/12-0703TPX Flat Sheet 0.085D 5-10 Asker C 1.1M 2M 4mm</v>
          </cell>
          <cell r="F2452">
            <v>4</v>
          </cell>
        </row>
        <row r="2453">
          <cell r="B2453" t="str">
            <v>F-2026-03-336</v>
          </cell>
          <cell r="C2453" t="str">
            <v>BDB-000321</v>
          </cell>
          <cell r="D2453" t="str">
            <v>PVN-004105</v>
          </cell>
          <cell r="E2453" t="str">
            <v>OrthoLite Float BLUE ATOLL/16-4535TPX Flat Sheet 0.12D 21+/-4 Asker C 1.1M 2M 4mm</v>
          </cell>
          <cell r="F2453">
            <v>1</v>
          </cell>
        </row>
        <row r="2454">
          <cell r="B2454" t="str">
            <v>F-2026-02-194</v>
          </cell>
          <cell r="C2454" t="str">
            <v>BDB-000123</v>
          </cell>
          <cell r="D2454" t="str">
            <v>PVN-003298</v>
          </cell>
          <cell r="E2454" t="str">
            <v>OrthoLite Ultra-Hybrid SEEDPEARL/12-0703TPX Hybrid 0.085D 25+/-4 Asker C 1.1M 2M 4mm</v>
          </cell>
          <cell r="F2454">
            <v>200</v>
          </cell>
        </row>
        <row r="2455">
          <cell r="B2455" t="str">
            <v>F-2026-03-316</v>
          </cell>
          <cell r="C2455" t="str">
            <v>BDB-000339</v>
          </cell>
          <cell r="D2455" t="str">
            <v>PVN-004178</v>
          </cell>
          <cell r="E2455" t="str">
            <v>OrthoLite Float NEUTRAL GRAY/17-4402TPX Flat Sheet 0.12D 21+/-4 Asker C 1.1M 2M 5.5mm</v>
          </cell>
          <cell r="F2455">
            <v>34</v>
          </cell>
        </row>
        <row r="2456">
          <cell r="B2456" t="str">
            <v>F-2026-03-393</v>
          </cell>
          <cell r="C2456" t="str">
            <v>BDB-000234</v>
          </cell>
          <cell r="D2456" t="str">
            <v>PVN-003581</v>
          </cell>
          <cell r="E2456" t="str">
            <v>OrthoLite X-30-Hybrid BROWN SUGAR/17-1134TPX Hybrid Flat Sheet 0.13D 25+/-4 Asker C 1.1M 2M 12mm</v>
          </cell>
          <cell r="F2456">
            <v>87</v>
          </cell>
        </row>
        <row r="2457">
          <cell r="B2457" t="str">
            <v>F-2026-03-312</v>
          </cell>
          <cell r="C2457" t="str">
            <v>BDB-000162</v>
          </cell>
          <cell r="D2457" t="str">
            <v>PVN-001566</v>
          </cell>
          <cell r="E2457" t="str">
            <v>OrthoLite Ultra-Nike SEEDPEARL/12-0703TPX Flat Sheet 0.085D 25+/-4 Asker C 1.1M 2M 4mm</v>
          </cell>
          <cell r="F2457">
            <v>58</v>
          </cell>
        </row>
        <row r="2458">
          <cell r="B2458" t="str">
            <v>F-2026-03-341</v>
          </cell>
          <cell r="C2458" t="str">
            <v>BDB-000162</v>
          </cell>
          <cell r="D2458" t="str">
            <v>PVN-001566</v>
          </cell>
          <cell r="E2458" t="str">
            <v>OrthoLite Ultra-Nike SEEDPEARL/12-0703TPX Flat Sheet 0.085D 25+/-4 Asker C 1.1M 2M 4mm</v>
          </cell>
          <cell r="F2458">
            <v>7</v>
          </cell>
        </row>
        <row r="2459">
          <cell r="B2459" t="str">
            <v>F-2026-02-373-2</v>
          </cell>
          <cell r="C2459" t="str">
            <v>BDB-000209</v>
          </cell>
          <cell r="D2459" t="str">
            <v>PVN-003462</v>
          </cell>
          <cell r="E2459" t="str">
            <v>OrthoLite HybridPlus-Recycled MINT GREEN/11-4805TPX Hybrid 0.12D 25+/-4 Asker C 1.1M 2M 12mm</v>
          </cell>
          <cell r="F2459">
            <v>46</v>
          </cell>
        </row>
        <row r="2460">
          <cell r="B2460" t="str">
            <v>F-2026-03-51</v>
          </cell>
          <cell r="C2460" t="str">
            <v>BDB-000200</v>
          </cell>
          <cell r="D2460" t="str">
            <v>PVN-003420</v>
          </cell>
          <cell r="E2460" t="str">
            <v>OrthoLite Ultra SEEDPEARL/12-0703TPX Flat Sheet 0.085D 78-90 Asker F 1.1M 2M 6mm</v>
          </cell>
          <cell r="F2460">
            <v>24</v>
          </cell>
        </row>
        <row r="2461">
          <cell r="B2461" t="str">
            <v>F-2026-03-504</v>
          </cell>
          <cell r="C2461" t="str">
            <v>BDB-000200</v>
          </cell>
          <cell r="D2461" t="str">
            <v>PVN-003420</v>
          </cell>
          <cell r="E2461" t="str">
            <v>OrthoLite Ultra SEEDPEARL/12-0703TPX Flat Sheet 0.085D 78-90 Asker F 1.1M 2M 6mm</v>
          </cell>
          <cell r="F2461">
            <v>17</v>
          </cell>
        </row>
        <row r="2462">
          <cell r="B2462" t="str">
            <v>F-2026-03-346</v>
          </cell>
          <cell r="C2462" t="str">
            <v>BDB-000273</v>
          </cell>
          <cell r="D2462" t="str">
            <v>PVN-004138</v>
          </cell>
          <cell r="E2462" t="str">
            <v>OrthoLite X-40-Hybrid SEEDPEARL/12-0703TPX Hybrid Flat Sheet 0.16D 25+/-4 Asker C 1.1M 2M 5.5mm</v>
          </cell>
          <cell r="F2462">
            <v>55</v>
          </cell>
        </row>
        <row r="2463">
          <cell r="B2463" t="str">
            <v>F-2026-02-293</v>
          </cell>
          <cell r="C2463" t="str">
            <v>BDB-000164</v>
          </cell>
          <cell r="D2463" t="str">
            <v>PVN-001618</v>
          </cell>
          <cell r="E2463" t="str">
            <v>OrthoLite Ultra-Nike GREY/17-1501TPX 0.085D 25+/-4 Asker C 1.1M 2M 4mm</v>
          </cell>
          <cell r="F2463">
            <v>15</v>
          </cell>
        </row>
        <row r="2464">
          <cell r="B2464" t="str">
            <v>F-2026-02-319</v>
          </cell>
          <cell r="C2464" t="str">
            <v>BDB-000175</v>
          </cell>
          <cell r="D2464" t="str">
            <v>PVN-002875</v>
          </cell>
          <cell r="E2464" t="str">
            <v>OrthoLite Ultra-Hybrid-Nike SEEDPEARL/12-0703TPX Hybrid 0.085D 25+/-4 Asker C 1.1M 2M 3mm</v>
          </cell>
          <cell r="F2464">
            <v>17</v>
          </cell>
        </row>
        <row r="2465">
          <cell r="B2465" t="str">
            <v>F-2026-03-353</v>
          </cell>
          <cell r="C2465" t="str">
            <v>BDB-000077</v>
          </cell>
          <cell r="D2465" t="str">
            <v>PVN-004147</v>
          </cell>
          <cell r="E2465" t="str">
            <v>OrthoLite X-25 SEEDPEARL/12-0703TPX Flat Sheet 0.12D 20+/-4 Asker C 1.1M 2M 5.5mm</v>
          </cell>
          <cell r="F2465">
            <v>6</v>
          </cell>
        </row>
        <row r="2466">
          <cell r="B2466" t="str">
            <v>F-2026-03-505</v>
          </cell>
          <cell r="C2466" t="str">
            <v>BDB-000113</v>
          </cell>
          <cell r="D2466" t="str">
            <v>PVN-002699</v>
          </cell>
          <cell r="E2466" t="str">
            <v>OrthoLite Regular-Hybrid SEEDPEARL/12-0703TPX Hybrid Flat Sheet 0.11D 25+/-4 Asker C 1.1M 2M 4.5mm</v>
          </cell>
          <cell r="F2466">
            <v>9</v>
          </cell>
        </row>
        <row r="2467">
          <cell r="B2467" t="str">
            <v>F-2026-03-511</v>
          </cell>
          <cell r="C2467" t="str">
            <v>BDB-000314</v>
          </cell>
          <cell r="D2467" t="str">
            <v>PVN-004066</v>
          </cell>
          <cell r="E2467" t="str">
            <v>OrthoLite Regular NEUTRAL GRAY/17-4402TPX Flat Sheet 0.16D 51+/-4 Asker C 1.1M 1.7M 9.5mm</v>
          </cell>
          <cell r="F2467">
            <v>2</v>
          </cell>
        </row>
        <row r="2468">
          <cell r="B2468" t="str">
            <v>F-2026-03-514</v>
          </cell>
          <cell r="C2468" t="str">
            <v>BDB-000077</v>
          </cell>
          <cell r="D2468" t="str">
            <v>PVN-004147</v>
          </cell>
          <cell r="E2468" t="str">
            <v>OrthoLite X-25 SEEDPEARL/12-0703TPX Flat Sheet 0.12D 20+/-4 Asker C 1.1M 2M 5.5mm</v>
          </cell>
          <cell r="F2468">
            <v>1</v>
          </cell>
        </row>
        <row r="2469">
          <cell r="B2469" t="str">
            <v>F-2026-03-398</v>
          </cell>
          <cell r="C2469" t="str">
            <v>BDB-000016</v>
          </cell>
          <cell r="D2469" t="str">
            <v>PVN-000458</v>
          </cell>
          <cell r="E2469" t="str">
            <v>OrthoLite Regular GREEN/16-5932TPX Flat Sheet 0.13D 35+/-4 Asker C 1.1M 2M 3mm</v>
          </cell>
          <cell r="F2469">
            <v>6</v>
          </cell>
        </row>
        <row r="2470">
          <cell r="B2470" t="str">
            <v>F-2025-10-254</v>
          </cell>
          <cell r="C2470" t="str">
            <v>BDB-000161</v>
          </cell>
          <cell r="D2470" t="str">
            <v>PVN-001560</v>
          </cell>
          <cell r="E2470" t="str">
            <v>OrthoLite Ultra-Nike FOSSIL/17-0909TPX 0.085D 25+/-4 Asker C 1.1M 2M 4mm</v>
          </cell>
          <cell r="F2470">
            <v>29</v>
          </cell>
        </row>
        <row r="2471">
          <cell r="B2471" t="str">
            <v>F-2026-03-339</v>
          </cell>
          <cell r="C2471" t="str">
            <v>BDB-000058</v>
          </cell>
          <cell r="D2471" t="str">
            <v>PVN-001277</v>
          </cell>
          <cell r="E2471" t="str">
            <v>OrthoLite Ultra GREEN/16-5932TPX Flat Sheet 0.085D 25+/-4 Asker C 1.1M 2M 4mm</v>
          </cell>
          <cell r="F2471">
            <v>6</v>
          </cell>
        </row>
        <row r="2472">
          <cell r="B2472" t="str">
            <v>F-2026-03-348</v>
          </cell>
          <cell r="C2472" t="str">
            <v>BDB-000229</v>
          </cell>
          <cell r="D2472" t="str">
            <v>PVN-003878</v>
          </cell>
          <cell r="E2472" t="str">
            <v>OrthoLite Ultra-Hybrid SEEDPEARL/12-0703TPX Hybrid Flat Sheet 0.095D 33+/-4 Asker C 1.1M 2M 4mm</v>
          </cell>
          <cell r="F2472">
            <v>1</v>
          </cell>
        </row>
        <row r="2473">
          <cell r="B2473" t="str">
            <v>S-2026-03-139</v>
          </cell>
          <cell r="C2473" t="str">
            <v>BDB-000123</v>
          </cell>
          <cell r="D2473" t="str">
            <v>PVN-003299</v>
          </cell>
          <cell r="E2473" t="str">
            <v>OrthoLite Ultra-Hybrid SEEDPEARL/12-0703TPX Hybrid Flat Sheet 0.085D 25+/-4 Asker C 1.1M 2M 3mm</v>
          </cell>
          <cell r="F2473">
            <v>5</v>
          </cell>
        </row>
        <row r="2474">
          <cell r="B2474" t="str">
            <v>S-2026-03-99</v>
          </cell>
          <cell r="C2474" t="str">
            <v>BDB-000051</v>
          </cell>
          <cell r="D2474" t="str">
            <v>PVN-003450</v>
          </cell>
          <cell r="E2474" t="str">
            <v>OrthoLite X-40 TRUE BLUE/19-4057TPX Flat Sheet 0.16D 25+/-4 Asker C 1.1M 1.7M 6mm</v>
          </cell>
          <cell r="F2474">
            <v>2</v>
          </cell>
        </row>
        <row r="2475">
          <cell r="B2475" t="str">
            <v>F-2026-02-310</v>
          </cell>
          <cell r="C2475" t="str">
            <v>BDB-000129</v>
          </cell>
          <cell r="D2475" t="str">
            <v>PVN-001550</v>
          </cell>
          <cell r="E2475" t="str">
            <v>OrthoLite Regular-Nike AIR BLUE/16-4134TPX 0.11D 25+/-4 Asker C 1.1M 1.7M 2mm</v>
          </cell>
          <cell r="F2475">
            <v>3</v>
          </cell>
        </row>
        <row r="2476">
          <cell r="B2476" t="str">
            <v>F-2026-03-312</v>
          </cell>
          <cell r="C2476" t="str">
            <v>BDB-000162</v>
          </cell>
          <cell r="D2476" t="str">
            <v>PVN-001566</v>
          </cell>
          <cell r="E2476" t="str">
            <v>OrthoLite Ultra-Nike SEEDPEARL/12-0703TPX Flat Sheet 0.085D 25+/-4 Asker C 1.1M 2M 4mm</v>
          </cell>
          <cell r="F2476">
            <v>4</v>
          </cell>
        </row>
        <row r="2477">
          <cell r="B2477" t="str">
            <v>F-2026-03-343</v>
          </cell>
          <cell r="C2477" t="str">
            <v>BDB-000346</v>
          </cell>
          <cell r="D2477" t="str">
            <v>PVN-004188</v>
          </cell>
          <cell r="E2477" t="str">
            <v>OrthoLite Float NEUTRAL GRAY/17-4402TPX Flat Sheet 0.12D 21+/-4 Asker C 1.1M 1.47M 5.5mm</v>
          </cell>
          <cell r="F2477">
            <v>1</v>
          </cell>
        </row>
        <row r="2478">
          <cell r="B2478" t="str">
            <v>F-2026-03-51</v>
          </cell>
          <cell r="C2478" t="str">
            <v>BDB-000200</v>
          </cell>
          <cell r="D2478" t="str">
            <v>PVN-003420</v>
          </cell>
          <cell r="E2478" t="str">
            <v>OrthoLite Ultra SEEDPEARL/12-0703TPX Flat Sheet 0.085D 78-90 Asker F 1.1M 2M 6mm</v>
          </cell>
          <cell r="F2478">
            <v>1</v>
          </cell>
        </row>
        <row r="2479">
          <cell r="B2479" t="str">
            <v>F-2026-02-373-2</v>
          </cell>
          <cell r="C2479" t="str">
            <v>BDB-000209</v>
          </cell>
          <cell r="D2479" t="str">
            <v>PVN-003462</v>
          </cell>
          <cell r="E2479" t="str">
            <v>OrthoLite HybridPlus-Recycled MINT GREEN/11-4805TPX Hybrid 0.12D 25+/-4 Asker C 1.1M 2M 12mm</v>
          </cell>
          <cell r="F2479">
            <v>6</v>
          </cell>
        </row>
        <row r="2480">
          <cell r="B2480" t="str">
            <v>OIN-2026.03.09-01</v>
          </cell>
          <cell r="C2480" t="str">
            <v>BDB-000123</v>
          </cell>
          <cell r="D2480" t="str">
            <v>PVN-003784</v>
          </cell>
          <cell r="E2480" t="str">
            <v>[116-311] Ultra Hybrid 25+/-4 Asker C 0.085D Seedpearl 12-0703 Tpx 1.10M X 2.00M 47mm</v>
          </cell>
          <cell r="F2480">
            <v>25</v>
          </cell>
        </row>
        <row r="2481">
          <cell r="B2481" t="str">
            <v>F-2026-03-165</v>
          </cell>
          <cell r="C2481" t="str">
            <v>BDB-000113</v>
          </cell>
          <cell r="D2481" t="str">
            <v>PVN-003414</v>
          </cell>
          <cell r="E2481" t="str">
            <v>OrthoLite Regular-Hybrid SEEDPEARL/12-0703TPX Hybrid Flat Sheet 0.11D 25+/-4 Asker C 1.1M 2M 12mm</v>
          </cell>
          <cell r="F2481">
            <v>11</v>
          </cell>
        </row>
        <row r="2482">
          <cell r="B2482" t="str">
            <v>F-2026-03-340</v>
          </cell>
          <cell r="C2482" t="str">
            <v>BDB-000353</v>
          </cell>
          <cell r="D2482" t="str">
            <v>PVN-004219</v>
          </cell>
          <cell r="E2482" t="str">
            <v>OrthoLite Regular SEEDPEARL/12-0703TPX Flat Sheet 0.13D 35+/-4 Asker C 1.1M 1.47M 4mm</v>
          </cell>
          <cell r="F2482">
            <v>8</v>
          </cell>
        </row>
        <row r="2483">
          <cell r="B2483" t="str">
            <v>F-2026-03-535</v>
          </cell>
          <cell r="C2483" t="str">
            <v>BDB-000126</v>
          </cell>
          <cell r="D2483" t="str">
            <v>PVN-002325</v>
          </cell>
          <cell r="E2483" t="str">
            <v>OrthoLite Regular-Nike RED/19-1764TPX Flat Sheet 0.11D 25+/-4 Asker C 1.1M 2M 5.2mm</v>
          </cell>
          <cell r="F2483">
            <v>4</v>
          </cell>
        </row>
        <row r="2484">
          <cell r="B2484" t="str">
            <v>F-2026-03-407</v>
          </cell>
          <cell r="C2484" t="str">
            <v>BDB-000126</v>
          </cell>
          <cell r="D2484" t="str">
            <v>PVN-002325</v>
          </cell>
          <cell r="E2484" t="str">
            <v>OrthoLite Regular-Nike RED/19-1764TPX Flat Sheet 0.11D 25+/-4 Asker C 1.1M 2M 5.2mm</v>
          </cell>
          <cell r="F2484">
            <v>1</v>
          </cell>
        </row>
        <row r="2485">
          <cell r="B2485" t="str">
            <v>F-2026-03-322</v>
          </cell>
          <cell r="C2485" t="str">
            <v>BDB-000125</v>
          </cell>
          <cell r="D2485" t="str">
            <v>PVN-002413</v>
          </cell>
          <cell r="E2485" t="str">
            <v>OrthoLite Regular-Nike AIR BLUE/16-4134TPX Flat Sheet 0.11D 25+/-4 Asker C 1.1M 2M 4.2mm</v>
          </cell>
          <cell r="F2485">
            <v>106</v>
          </cell>
        </row>
        <row r="2486">
          <cell r="B2486" t="str">
            <v>F-2026-02-251</v>
          </cell>
          <cell r="C2486" t="str">
            <v>BDB-000348</v>
          </cell>
          <cell r="D2486" t="str">
            <v>PVN-004195</v>
          </cell>
          <cell r="E2486" t="str">
            <v>OrthoLite IMPERIAL SEEDPEARL/12-0703TPX Flat Sheet 0.22D 25+/-4 Asker C 1.1M 1.47M 4mm</v>
          </cell>
          <cell r="F2486">
            <v>5</v>
          </cell>
        </row>
        <row r="2487">
          <cell r="B2487" t="str">
            <v>F-2026-03-460</v>
          </cell>
          <cell r="C2487" t="str">
            <v>BDB-000157</v>
          </cell>
          <cell r="D2487" t="str">
            <v>PVN-003244</v>
          </cell>
          <cell r="E2487" t="str">
            <v>OrthoLite X-35-Hybrid-Nike SEEDPEARL/12-0703TPX Hybrid 0.145D 25+/-4 Asker C 1.1M 2M 5.2mm</v>
          </cell>
          <cell r="F2487">
            <v>20</v>
          </cell>
        </row>
        <row r="2488">
          <cell r="B2488" t="str">
            <v>F-2026-03-404</v>
          </cell>
          <cell r="C2488" t="str">
            <v>BDB-000162</v>
          </cell>
          <cell r="D2488" t="str">
            <v>PVN-001566</v>
          </cell>
          <cell r="E2488" t="str">
            <v>OrthoLite Ultra-Nike SEEDPEARL/12-0703TPX Flat Sheet 0.085D 25+/-4 Asker C 1.1M 2M 4mm</v>
          </cell>
          <cell r="F2488">
            <v>37</v>
          </cell>
        </row>
        <row r="2489">
          <cell r="B2489" t="str">
            <v>F-2026-02-177</v>
          </cell>
          <cell r="C2489" t="str">
            <v>BDB-000209</v>
          </cell>
          <cell r="D2489" t="str">
            <v>PVN-003537</v>
          </cell>
          <cell r="E2489" t="str">
            <v>OrthoLite HybridPlus-Recycled MINT GREEN/11-4805TPX Hybrid 0.12D 25+/-4 Asker C 1.1M 2M 4.5mm</v>
          </cell>
          <cell r="F2489">
            <v>156</v>
          </cell>
        </row>
        <row r="2490">
          <cell r="B2490" t="str">
            <v>F-2026-03-547</v>
          </cell>
          <cell r="C2490" t="str">
            <v>BDB-000180</v>
          </cell>
          <cell r="D2490" t="str">
            <v>PVN-003236</v>
          </cell>
          <cell r="E2490" t="str">
            <v>OrthoLite Eco LT-Hybrid-Converse SEEDPEARL/12-0703TPX Hybrid 0.13D 25+/-4 Asker C 1.1M 2M 5mm</v>
          </cell>
          <cell r="F2490">
            <v>21</v>
          </cell>
        </row>
        <row r="2491">
          <cell r="B2491" t="str">
            <v>F-2026-03-548</v>
          </cell>
          <cell r="C2491" t="str">
            <v>BDB-000181</v>
          </cell>
          <cell r="D2491" t="str">
            <v>PVN-003238</v>
          </cell>
          <cell r="E2491" t="str">
            <v>OrthoLite Eco LT-Hybrid-Converse SEEDPEARL/12-0703TPX Hybrid 0.11D 25+/-4 Asker C 1.1M 2M 5mm</v>
          </cell>
          <cell r="F2491">
            <v>8</v>
          </cell>
        </row>
        <row r="2492">
          <cell r="B2492" t="str">
            <v>F-2026-03-408</v>
          </cell>
          <cell r="C2492" t="str">
            <v>BDB-000125</v>
          </cell>
          <cell r="D2492" t="str">
            <v>PVN-002413</v>
          </cell>
          <cell r="E2492" t="str">
            <v>OrthoLite Regular-Nike AIR BLUE/16-4134TPX Flat Sheet 0.11D 25+/-4 Asker C 1.1M 2M 4.2mm</v>
          </cell>
          <cell r="F2492">
            <v>20</v>
          </cell>
        </row>
        <row r="2493">
          <cell r="B2493" t="str">
            <v>F-2026-03-414</v>
          </cell>
          <cell r="C2493" t="str">
            <v>BDB-000057</v>
          </cell>
          <cell r="D2493" t="str">
            <v>PVN-001126</v>
          </cell>
          <cell r="E2493" t="str">
            <v>OrthoLite Ultra YELLOW/13-0858TPX Flat Sheet 0.085D 25+/-4 Asker C 1.1M 2M 11mm</v>
          </cell>
          <cell r="F2493">
            <v>1</v>
          </cell>
        </row>
        <row r="2494">
          <cell r="B2494" t="str">
            <v>F-2026-03-402</v>
          </cell>
          <cell r="C2494" t="str">
            <v>BDB-000057</v>
          </cell>
          <cell r="D2494" t="str">
            <v>PVN-001236</v>
          </cell>
          <cell r="E2494" t="str">
            <v>OrthoLite Ultra YELLOW/13-0858TPX 0.085D 25+/-4 Asker C 1.1M 2M 3.5mm</v>
          </cell>
          <cell r="F2494">
            <v>1</v>
          </cell>
        </row>
        <row r="2495">
          <cell r="B2495" t="str">
            <v>F-2026-03-525</v>
          </cell>
          <cell r="C2495" t="str">
            <v>BDB-000057</v>
          </cell>
          <cell r="D2495" t="str">
            <v>PVN-000925</v>
          </cell>
          <cell r="E2495" t="str">
            <v>OrthoLite Ultra YELLOW/13-0858TPX Flat Sheet 0.085D 25+/-4 Asker C 1.1M 2M 5mm</v>
          </cell>
          <cell r="F2495">
            <v>16</v>
          </cell>
        </row>
        <row r="2496">
          <cell r="B2496" t="str">
            <v>F-2026-03-498</v>
          </cell>
          <cell r="C2496" t="str">
            <v>BDB-000057</v>
          </cell>
          <cell r="D2496" t="str">
            <v>PVN-000849</v>
          </cell>
          <cell r="E2496" t="str">
            <v>OrthoLite Ultra YELLOW/13-0858TPX Flat Sheet 0.085D 25+/-4 Asker C 1.1M 2M 8mm</v>
          </cell>
          <cell r="F2496">
            <v>1</v>
          </cell>
        </row>
        <row r="2497">
          <cell r="B2497" t="str">
            <v>F-2026-03-473</v>
          </cell>
          <cell r="C2497" t="str">
            <v>BDB-000131</v>
          </cell>
          <cell r="D2497" t="str">
            <v>PVN-001565</v>
          </cell>
          <cell r="E2497" t="str">
            <v>OrthoLite Regular-Nike AIR BLUE/16-4134TPX 0.11D 15+/-4 Asker C 1.1M 2M 4mm</v>
          </cell>
          <cell r="F2497">
            <v>29</v>
          </cell>
        </row>
        <row r="2498">
          <cell r="B2498" t="str">
            <v>F-2026-03-403</v>
          </cell>
          <cell r="C2498" t="str">
            <v>BDB-000129</v>
          </cell>
          <cell r="D2498" t="str">
            <v>PVN-001550</v>
          </cell>
          <cell r="E2498" t="str">
            <v>OrthoLite Regular-Nike AIR BLUE/16-4134TPX Flat Sheet 0.11D 25+/-4 Asker C 1.1M 1.7M 2mm</v>
          </cell>
          <cell r="F2498">
            <v>3</v>
          </cell>
        </row>
        <row r="2499">
          <cell r="B2499" t="str">
            <v>F-2026-03-391</v>
          </cell>
          <cell r="C2499" t="str">
            <v>BDB-000113</v>
          </cell>
          <cell r="D2499" t="str">
            <v>PVN-003414</v>
          </cell>
          <cell r="E2499" t="str">
            <v>OrthoLite Regular-Hybrid SEEDPEARL/12-0703TPX Hybrid Flat Sheet 0.11D 25+/-4 Asker C 1.1M 2M 12mm</v>
          </cell>
          <cell r="F2499">
            <v>218</v>
          </cell>
        </row>
        <row r="2500">
          <cell r="B2500" t="str">
            <v>F-2026-03-530</v>
          </cell>
          <cell r="C2500" t="str">
            <v>BDB-000130</v>
          </cell>
          <cell r="D2500" t="str">
            <v>PVN-001585</v>
          </cell>
          <cell r="E2500" t="str">
            <v>OrthoLite Regular-Nike AIR BLUE/16-4134TPX Flat Sheet 0.13D 35+/-4 Asker C 1.1M 2M 6mm</v>
          </cell>
          <cell r="F2500">
            <v>52</v>
          </cell>
        </row>
        <row r="2501">
          <cell r="B2501" t="str">
            <v>F-2026-03-549</v>
          </cell>
          <cell r="C2501" t="str">
            <v>BDB-000226</v>
          </cell>
          <cell r="D2501" t="str">
            <v>PVN-003517</v>
          </cell>
          <cell r="E2501" t="str">
            <v>OrthoLite Regular GREY/17-1501TPX Flat Sheet 0.16D 51+/-4 Asker C 1.1M 1.7M 12mm</v>
          </cell>
          <cell r="F2501">
            <v>22</v>
          </cell>
        </row>
        <row r="2502">
          <cell r="B2502" t="str">
            <v>F-2026-02-292</v>
          </cell>
          <cell r="C2502" t="str">
            <v>BDB-000164</v>
          </cell>
          <cell r="D2502" t="str">
            <v>PVN-001618</v>
          </cell>
          <cell r="E2502" t="str">
            <v>OrthoLite Ultra-Nike GREY/17-1501TPX 0.085D 25+/-4 Asker C 1.1M 2M 4mm</v>
          </cell>
          <cell r="F2502">
            <v>2</v>
          </cell>
        </row>
        <row r="2503">
          <cell r="B2503" t="str">
            <v>F-2026-03-515</v>
          </cell>
          <cell r="C2503" t="str">
            <v>BDB-000229</v>
          </cell>
          <cell r="D2503" t="str">
            <v>PVN-003692</v>
          </cell>
          <cell r="E2503" t="str">
            <v>OrthoLite Ultra-Hybrid SEEDPEARL/12-0703TPX Hybrid Flat Sheet 0.095D 33+/-4 Asker C 1.1M 2M 15.5mm</v>
          </cell>
          <cell r="F2503">
            <v>12</v>
          </cell>
        </row>
        <row r="2504">
          <cell r="B2504" t="str">
            <v>F-2026-01-391</v>
          </cell>
          <cell r="C2504" t="str">
            <v>BDB-000161</v>
          </cell>
          <cell r="D2504" t="str">
            <v>PVN-001560</v>
          </cell>
          <cell r="E2504" t="str">
            <v>OrthoLite Ultra-Nike FOSSIL/17-0909TPX 0.085D 25+/-4 Asker C 1.1M 2M 4mm</v>
          </cell>
          <cell r="F2504">
            <v>5</v>
          </cell>
        </row>
        <row r="2505">
          <cell r="B2505" t="str">
            <v>F-2026-03-355</v>
          </cell>
          <cell r="C2505" t="str">
            <v>BDB-000319</v>
          </cell>
          <cell r="D2505" t="str">
            <v>PVN-004081</v>
          </cell>
          <cell r="E2505" t="str">
            <v>OrthoLite X-40-Hybrid-Nike SEEDPEARL/12-0703TPX Hybrid Flat Sheet 0.16D 25+/-4 Asker C 1.1M 2M 6mm</v>
          </cell>
          <cell r="F2505">
            <v>7</v>
          </cell>
        </row>
        <row r="2506">
          <cell r="B2506" t="str">
            <v>F-2026-03-405</v>
          </cell>
          <cell r="C2506" t="str">
            <v>BDB-000336</v>
          </cell>
          <cell r="D2506" t="str">
            <v>PVN-004168</v>
          </cell>
          <cell r="E2506" t="str">
            <v>OrthoLite X-40-Nike SEEDPEARL/12-0703TPX Flat Sheet 0.16D 35+/-4 Asker C 1.1M 2M 4.5mm</v>
          </cell>
          <cell r="F2506">
            <v>2</v>
          </cell>
        </row>
        <row r="2507">
          <cell r="B2507" t="str">
            <v>F-2026-02-109</v>
          </cell>
          <cell r="C2507" t="str">
            <v>BDB-000097</v>
          </cell>
          <cell r="D2507" t="str">
            <v>PVN-002478</v>
          </cell>
          <cell r="E2507" t="str">
            <v>OrthoLite Eco LT-Hybrid SEEDPEARL/12-0703TPX Hybrid 0.11D 25+/-4 Asker C 1.1M 2M 4mm</v>
          </cell>
          <cell r="F2507">
            <v>4</v>
          </cell>
        </row>
        <row r="2508">
          <cell r="B2508" t="str">
            <v>F-2026-02-303</v>
          </cell>
          <cell r="C2508" t="str">
            <v>BDB-000161</v>
          </cell>
          <cell r="D2508" t="str">
            <v>PVN-001560</v>
          </cell>
          <cell r="E2508" t="str">
            <v>OrthoLite Ultra-Nike FOSSIL/17-0909TPX 0.085D 25+/-4 Asker C 1.1M 2M 4mm</v>
          </cell>
          <cell r="F2508">
            <v>29</v>
          </cell>
        </row>
        <row r="2509">
          <cell r="B2509" t="str">
            <v>F-2026-03-528</v>
          </cell>
          <cell r="C2509" t="str">
            <v>BDB-000076</v>
          </cell>
          <cell r="D2509" t="str">
            <v>PVN-004075</v>
          </cell>
          <cell r="E2509" t="str">
            <v>OrthoLite X-25 BILLIARD/16-5427TPX Flat Sheet 0.12D 20+/-4 Asker C 1.1M 2M 17mm</v>
          </cell>
          <cell r="F2509">
            <v>4</v>
          </cell>
        </row>
        <row r="2510">
          <cell r="B2510" t="str">
            <v>F-2026-03-520</v>
          </cell>
          <cell r="C2510" t="str">
            <v>BDB-000076</v>
          </cell>
          <cell r="D2510" t="str">
            <v>PVN-004119</v>
          </cell>
          <cell r="E2510" t="str">
            <v>OrthoLite X-25 BILLIARD/16-5427TPX Flat Sheet 0.12D 20+/-4 Asker C 1.1M 2M 6.5mm</v>
          </cell>
          <cell r="F2510">
            <v>4</v>
          </cell>
        </row>
        <row r="2511">
          <cell r="B2511" t="str">
            <v>F-2026-03-607</v>
          </cell>
          <cell r="C2511" t="str">
            <v>BDB-000113</v>
          </cell>
          <cell r="D2511" t="str">
            <v>PVN-002699</v>
          </cell>
          <cell r="E2511" t="str">
            <v>OrthoLite Regular-Hybrid SEEDPEARL/12-0703TPX Hybrid Flat Sheet 0.11D 25+/-4 Asker C 1.1M 2M 4.5mm</v>
          </cell>
          <cell r="F2511">
            <v>6</v>
          </cell>
        </row>
        <row r="2512">
          <cell r="B2512" t="str">
            <v>F-2026-03-311</v>
          </cell>
          <cell r="C2512" t="str">
            <v>BDB-000129</v>
          </cell>
          <cell r="D2512" t="str">
            <v>PVN-001550</v>
          </cell>
          <cell r="E2512" t="str">
            <v>OrthoLite Regular-Nike AIR BLUE/16-4134TPX Flat Sheet 0.11D 25+/-4 Asker C 1.1M 1.7M 2mm</v>
          </cell>
          <cell r="F2512">
            <v>24</v>
          </cell>
        </row>
        <row r="2513">
          <cell r="B2513" t="str">
            <v>F-2026-03-481</v>
          </cell>
          <cell r="C2513" t="str">
            <v>BDB-000218</v>
          </cell>
          <cell r="D2513" t="str">
            <v>PVN-003488</v>
          </cell>
          <cell r="E2513" t="str">
            <v>OrthoLite Ultra-Nike SEEDPEARL/12-0703TPX 0.085D 5-10 Asker C 1.1M 2M 4mm</v>
          </cell>
          <cell r="F2513">
            <v>15</v>
          </cell>
        </row>
        <row r="2514">
          <cell r="B2514" t="str">
            <v>F-2026-03-401</v>
          </cell>
          <cell r="C2514" t="str">
            <v>BDB-000348</v>
          </cell>
          <cell r="D2514" t="str">
            <v>PVN-004210</v>
          </cell>
          <cell r="E2514" t="str">
            <v>OrthoLite IMPERIAL SEEDPEARL/12-0703TPX Flat Sheet 0.22D 25+/-4 Asker C 1.1M 1.47M 5mm</v>
          </cell>
          <cell r="F2514">
            <v>6</v>
          </cell>
        </row>
        <row r="2515">
          <cell r="B2515" t="str">
            <v>F-2026-02-256</v>
          </cell>
          <cell r="C2515" t="str">
            <v>BDB-000348</v>
          </cell>
          <cell r="D2515" t="str">
            <v>PVN-004210</v>
          </cell>
          <cell r="E2515" t="str">
            <v>OrthoLite IMPERIAL SEEDPEARL/12-0703TPX Flat Sheet 0.22D 25+/-4 Asker C 1.1M 1.47M 5mm</v>
          </cell>
          <cell r="F2515">
            <v>83</v>
          </cell>
        </row>
        <row r="2516">
          <cell r="B2516" t="str">
            <v>S-2026-04-02</v>
          </cell>
          <cell r="C2516" t="str">
            <v>BDB-000382</v>
          </cell>
          <cell r="D2516" t="str">
            <v>PVN-004363</v>
          </cell>
          <cell r="E2516" t="str">
            <v>OrthoLite Regular FOSSIL/17-0909TPX Flat Sheet 0.16D 51+/-4 Asker C 1.1M 1.7M 9.5mm</v>
          </cell>
          <cell r="F2516">
            <v>1</v>
          </cell>
        </row>
        <row r="2517">
          <cell r="B2517" t="str">
            <v>F-2026-03-400</v>
          </cell>
          <cell r="C2517" t="str">
            <v>BDB-000305</v>
          </cell>
          <cell r="D2517" t="str">
            <v>PVN-004000</v>
          </cell>
          <cell r="E2517" t="str">
            <v>OrthoLite X-35-Nike YELLOW/13-0858TPX Flat Sheet 0.145D 25+/-4 Asker C 1.1M 2M 5.5mm</v>
          </cell>
          <cell r="F2517">
            <v>2</v>
          </cell>
        </row>
        <row r="2518">
          <cell r="B2518" t="str">
            <v>F-2026-03-417</v>
          </cell>
          <cell r="C2518" t="str">
            <v>BDB-000353</v>
          </cell>
          <cell r="D2518" t="str">
            <v>PVN-004350</v>
          </cell>
          <cell r="E2518" t="str">
            <v>OrthoLite Regular SEEDPEARL/12-0703TPX Flat Sheet 0.13D 35+/-4 Asker C 1.1M 1.47M 13mm</v>
          </cell>
          <cell r="F2518">
            <v>3</v>
          </cell>
        </row>
        <row r="2519">
          <cell r="B2519" t="str">
            <v>F-2026-03-399</v>
          </cell>
          <cell r="C2519" t="str">
            <v>BDB-000123</v>
          </cell>
          <cell r="D2519" t="str">
            <v>PVN-003300</v>
          </cell>
          <cell r="E2519" t="str">
            <v>OrthoLite Ultra-Hybrid SEEDPEARL/12-0703TPX Hybrid Flat Sheet 0.085D 25+/-4 Asker C 1.1M 2M 2mm</v>
          </cell>
          <cell r="F2519">
            <v>2</v>
          </cell>
        </row>
        <row r="2520">
          <cell r="B2520" t="str">
            <v>F-2026-03-406</v>
          </cell>
          <cell r="C2520" t="str">
            <v>BDB-000123</v>
          </cell>
          <cell r="D2520" t="str">
            <v>PVN-002539</v>
          </cell>
          <cell r="E2520" t="str">
            <v>OrthoLite Ultra-Hybrid SEEDPEARL/12-0703TPX Hybrid Flat Sheet 0.085D 25+/-4 Asker C 1.1M 2M 5mm</v>
          </cell>
          <cell r="F2520">
            <v>1</v>
          </cell>
        </row>
        <row r="2521">
          <cell r="B2521" t="str">
            <v>F-2026-03-411</v>
          </cell>
          <cell r="C2521" t="str">
            <v>BDB-000156</v>
          </cell>
          <cell r="D2521" t="str">
            <v>PVN-003243</v>
          </cell>
          <cell r="E2521" t="str">
            <v>OrthoLite X-35-Hybrid-Nike AMAZON/18-6024TPX Hybrid Flat Sheet 0.145D 25+/-4 Asker C 1.1M 2M 5.2mm</v>
          </cell>
          <cell r="F2521">
            <v>1</v>
          </cell>
        </row>
        <row r="2522">
          <cell r="B2522" t="str">
            <v>F-2026-03-418</v>
          </cell>
          <cell r="C2522" t="str">
            <v>BDB-000339</v>
          </cell>
          <cell r="D2522" t="str">
            <v>PVN-004178</v>
          </cell>
          <cell r="E2522" t="str">
            <v>OrthoLite Float NEUTRAL GRAY/17-4402TPX Flat Sheet 0.12D 21+/-4 Asker C 1.1M 2M 5.5mm</v>
          </cell>
          <cell r="F2522">
            <v>2</v>
          </cell>
        </row>
        <row r="2523">
          <cell r="B2523" t="str">
            <v>F-2026-02-191</v>
          </cell>
          <cell r="C2523" t="str">
            <v>BDB-000123</v>
          </cell>
          <cell r="D2523" t="str">
            <v>PVN-002973</v>
          </cell>
          <cell r="E2523" t="str">
            <v>OrthoLite Ultra-Hybrid SEEDPEARL/12-0703TPX Hybrid 0.085D 25+/-4 Asker C 1.1M 2M 4.5mm</v>
          </cell>
          <cell r="F2523">
            <v>49</v>
          </cell>
        </row>
        <row r="2524">
          <cell r="B2524" t="str">
            <v>S-2026-04-04</v>
          </cell>
          <cell r="C2524" t="str">
            <v>BDB-000349</v>
          </cell>
          <cell r="D2524" t="str">
            <v>PVN-004352</v>
          </cell>
          <cell r="E2524" t="str">
            <v>OrthoLite Ultra GREEN/16-5932TPX Flat Sheet 0.085D 15+/-4 Asker C 1.1M 2M 11mm</v>
          </cell>
          <cell r="F2524">
            <v>2</v>
          </cell>
        </row>
        <row r="2525">
          <cell r="B2525" t="str">
            <v>F-2026-03-527</v>
          </cell>
          <cell r="C2525" t="str">
            <v>BDB-000076</v>
          </cell>
          <cell r="D2525" t="str">
            <v>PVN-004072</v>
          </cell>
          <cell r="E2525" t="str">
            <v>OrthoLite X-25 BILLIARD/16-5427TPX Flat Sheet 0.12D 20+/-4 Asker C 1.1M 2M 20mm</v>
          </cell>
          <cell r="F2525">
            <v>10</v>
          </cell>
        </row>
        <row r="2526">
          <cell r="B2526" t="str">
            <v>F-2026-03-389</v>
          </cell>
          <cell r="C2526" t="str">
            <v>BDB-000052</v>
          </cell>
          <cell r="D2526" t="str">
            <v>PVN-003603</v>
          </cell>
          <cell r="E2526" t="str">
            <v>OrthoLite X-40 TRUE BLUE/19-4057TPX Flat Sheet 0.16D 25+/-4 Asker C 1.1M 1.47M 12mm</v>
          </cell>
          <cell r="F2526">
            <v>35</v>
          </cell>
        </row>
        <row r="2527">
          <cell r="B2527" t="str">
            <v>F-2026-02-213</v>
          </cell>
          <cell r="C2527" t="str">
            <v>BDB-000123</v>
          </cell>
          <cell r="D2527" t="str">
            <v>PVN-003298</v>
          </cell>
          <cell r="E2527" t="str">
            <v>OrthoLite Ultra-Hybrid SEEDPEARL/12-0703TPX Hybrid 0.085D 25+/-4 Asker C 1.1M 2M 4mm</v>
          </cell>
          <cell r="F2527">
            <v>200</v>
          </cell>
        </row>
        <row r="2528">
          <cell r="B2528" t="str">
            <v>F-2026-03-319</v>
          </cell>
          <cell r="C2528" t="str">
            <v>BDB-000218</v>
          </cell>
          <cell r="D2528" t="str">
            <v>PVN-003488</v>
          </cell>
          <cell r="E2528" t="str">
            <v>OrthoLite Ultra-Nike SEEDPEARL/12-0703TPX Flat Sheet 0.085D 5-10 Asker C 1.1M 2M 4mm</v>
          </cell>
          <cell r="F2528">
            <v>2</v>
          </cell>
        </row>
        <row r="2529">
          <cell r="B2529" t="str">
            <v>F-2026-02-212</v>
          </cell>
          <cell r="C2529" t="str">
            <v>BDB-000123</v>
          </cell>
          <cell r="D2529" t="str">
            <v>PVN-003298</v>
          </cell>
          <cell r="E2529" t="str">
            <v>OrthoLite Ultra-Hybrid SEEDPEARL/12-0703TPX Hybrid 0.085D 25+/-4 Asker C 1.1M 2M 4mm</v>
          </cell>
          <cell r="F2529">
            <v>200</v>
          </cell>
        </row>
        <row r="2530">
          <cell r="B2530" t="str">
            <v>F-2026-03-485</v>
          </cell>
          <cell r="C2530" t="str">
            <v>BDB-000175</v>
          </cell>
          <cell r="D2530" t="str">
            <v>PVN-002875</v>
          </cell>
          <cell r="E2530" t="str">
            <v>OrthoLite Ultra-Hybrid-Nike SEEDPEARL/12-0703TPX Hybrid 0.085D 25+/-4 Asker C 1.1M 2M 3mm</v>
          </cell>
          <cell r="F2530">
            <v>22</v>
          </cell>
        </row>
        <row r="2531">
          <cell r="B2531" t="str">
            <v>F-2026-03-500</v>
          </cell>
          <cell r="C2531" t="str">
            <v>BDB-000011</v>
          </cell>
          <cell r="D2531" t="str">
            <v>PVN-000127</v>
          </cell>
          <cell r="E2531" t="str">
            <v>OrthoLite Regular AIR BLUE/16-4134TPX Flat Sheet 0.13D 35+/-4 Asker C 1.1M 2M 5mm</v>
          </cell>
          <cell r="F2531">
            <v>18</v>
          </cell>
        </row>
        <row r="2532">
          <cell r="B2532" t="str">
            <v>F-2026-03-523</v>
          </cell>
          <cell r="C2532" t="str">
            <v>BDB-000154</v>
          </cell>
          <cell r="D2532" t="str">
            <v>PVN-003347</v>
          </cell>
          <cell r="E2532" t="str">
            <v>OrthoLite X-40-Nike TRUE BLUE/19-4057TPX Flat Sheet 0.16D 35+/-4 Asker C 1.1M 1.7M 4mm</v>
          </cell>
          <cell r="F2532">
            <v>3</v>
          </cell>
        </row>
        <row r="2533">
          <cell r="B2533" t="str">
            <v>F-2026-03-428</v>
          </cell>
          <cell r="C2533" t="str">
            <v>BDB-000154</v>
          </cell>
          <cell r="D2533" t="str">
            <v>PVN-003347</v>
          </cell>
          <cell r="E2533" t="str">
            <v>OrthoLite X-40-Nike TRUE BLUE/19-4057TPX Flat Sheet 0.16D 35+/-4 Asker C 1.1M 1.7M 4mm</v>
          </cell>
          <cell r="F2533">
            <v>1</v>
          </cell>
        </row>
        <row r="2534">
          <cell r="B2534" t="str">
            <v>F-2026-03-577</v>
          </cell>
          <cell r="C2534" t="str">
            <v>BDB-000113</v>
          </cell>
          <cell r="D2534" t="str">
            <v>PVN-003601</v>
          </cell>
          <cell r="E2534" t="str">
            <v>OrthoLite Regular-Hybrid SEEDPEARL/12-0703TPX Hybrid Flat Sheet 0.11D 25+/-4 Asker C 1.1M 2M 20mm</v>
          </cell>
          <cell r="F2534">
            <v>17</v>
          </cell>
        </row>
        <row r="2535">
          <cell r="B2535" t="str">
            <v>F-2026-02-319</v>
          </cell>
          <cell r="C2535" t="str">
            <v>BDB-000175</v>
          </cell>
          <cell r="D2535" t="str">
            <v>PVN-002875</v>
          </cell>
          <cell r="E2535" t="str">
            <v>OrthoLite Ultra-Hybrid-Nike SEEDPEARL/12-0703TPX Hybrid 0.085D 25+/-4 Asker C 1.1M 2M 3mm</v>
          </cell>
          <cell r="F2535">
            <v>4</v>
          </cell>
        </row>
        <row r="2536">
          <cell r="B2536" t="str">
            <v>F-2026-02-319</v>
          </cell>
          <cell r="C2536" t="str">
            <v>BDB-000175</v>
          </cell>
          <cell r="D2536" t="str">
            <v>PVN-002875</v>
          </cell>
          <cell r="E2536" t="str">
            <v>OrthoLite Ultra-Hybrid-Nike SEEDPEARL/12-0703TPX Hybrid 0.085D 25+/-4 Asker C 1.1M 2M 3mm</v>
          </cell>
          <cell r="F2536">
            <v>6</v>
          </cell>
        </row>
        <row r="2537">
          <cell r="B2537" t="str">
            <v>F-2026-02-177</v>
          </cell>
          <cell r="C2537" t="str">
            <v>BDB-000209</v>
          </cell>
          <cell r="D2537" t="str">
            <v>PVN-003537</v>
          </cell>
          <cell r="E2537" t="str">
            <v>OrthoLite HybridPlus-Recycled MINT GREEN/11-4805TPX Hybrid 0.12D 25+/-4 Asker C 1.1M 2M 4.5mm</v>
          </cell>
          <cell r="F2537">
            <v>16</v>
          </cell>
        </row>
        <row r="2538">
          <cell r="B2538" t="str">
            <v>F-2026-02-293</v>
          </cell>
          <cell r="C2538" t="str">
            <v>BDB-000164</v>
          </cell>
          <cell r="D2538" t="str">
            <v>PVN-001618</v>
          </cell>
          <cell r="E2538" t="str">
            <v>OrthoLite Ultra-Nike GREY/17-1501TPX 0.085D 25+/-4 Asker C 1.1M 2M 4mm</v>
          </cell>
          <cell r="F2538">
            <v>2</v>
          </cell>
        </row>
        <row r="2539">
          <cell r="B2539" t="str">
            <v>F-2026-03-404</v>
          </cell>
          <cell r="C2539" t="str">
            <v>BDB-000162</v>
          </cell>
          <cell r="D2539" t="str">
            <v>PVN-001566</v>
          </cell>
          <cell r="E2539" t="str">
            <v>OrthoLite Ultra-Nike SEEDPEARL/12-0703TPX Flat Sheet 0.085D 25+/-4 Asker C 1.1M 2M 4mm</v>
          </cell>
          <cell r="F2539">
            <v>2</v>
          </cell>
        </row>
        <row r="2540">
          <cell r="B2540" t="str">
            <v>F-2026-03-522</v>
          </cell>
          <cell r="C2540" t="str">
            <v>BDB-000373</v>
          </cell>
          <cell r="D2540" t="str">
            <v>PVN-004315</v>
          </cell>
          <cell r="E2540" t="str">
            <v>OrthoLite X-25-Nike BILLIARD/16-5427TPX Flat Sheet 0.12D 20+/-4 Asker C 1.1M 2M 5mm</v>
          </cell>
          <cell r="F2540">
            <v>35</v>
          </cell>
        </row>
        <row r="2541">
          <cell r="B2541" t="str">
            <v>F-2026-03-422</v>
          </cell>
          <cell r="C2541" t="str">
            <v>BDB-000255</v>
          </cell>
          <cell r="D2541" t="str">
            <v>PVN-003730</v>
          </cell>
          <cell r="E2541" t="str">
            <v>OrthoLite Regular GREY/17-1501TPX Flat Sheet 0.15D 45+/-4 Asker C 1.1M 1.7M 2mm</v>
          </cell>
          <cell r="F2541">
            <v>3</v>
          </cell>
        </row>
        <row r="2542">
          <cell r="B2542" t="str">
            <v>F-2026-03-424</v>
          </cell>
          <cell r="C2542" t="str">
            <v>BDB-000282</v>
          </cell>
          <cell r="D2542" t="str">
            <v>PVN-003834</v>
          </cell>
          <cell r="E2542" t="str">
            <v>OrthoLite X-40-Hybrid SEEDPEARL/12-0703TPX Hybrid Flat Sheet 0.16D 35+/-4 Asker C 1.1M 2M 12.5mm</v>
          </cell>
          <cell r="F2542">
            <v>4</v>
          </cell>
        </row>
        <row r="2543">
          <cell r="B2543" t="str">
            <v>F-2026-03-559</v>
          </cell>
          <cell r="C2543" t="str">
            <v>BDB-000117</v>
          </cell>
          <cell r="D2543" t="str">
            <v>PVN-002899</v>
          </cell>
          <cell r="E2543" t="str">
            <v>OrthoLite X-35-Hybrid SEEDPEARL/12-0703TPX Hybrid 0.145D 25+/-4 Asker C 1.1M 2M 4mm</v>
          </cell>
          <cell r="F2543">
            <v>36</v>
          </cell>
        </row>
        <row r="2544">
          <cell r="B2544" t="str">
            <v>F-2026-03-571</v>
          </cell>
          <cell r="C2544" t="str">
            <v>BDB-000217</v>
          </cell>
          <cell r="D2544" t="str">
            <v>PVN-003733</v>
          </cell>
          <cell r="E2544" t="str">
            <v>OrthoLite X-40-Hybrid SEEDPEARL/12-0703TPX Hybrid Flat Sheet 0.16D 35+/-4 Asker C 1.1M 1.7M 12.5mm</v>
          </cell>
          <cell r="F2544">
            <v>1</v>
          </cell>
        </row>
        <row r="2545">
          <cell r="B2545" t="str">
            <v>F-2026-03-423</v>
          </cell>
          <cell r="C2545" t="str">
            <v>BDB-000217</v>
          </cell>
          <cell r="D2545" t="str">
            <v>PVN-003733</v>
          </cell>
          <cell r="E2545" t="str">
            <v>OrthoLite X-40-Hybrid SEEDPEARL/12-0703TPX Hybrid Flat Sheet 0.16D 35+/-4 Asker C 1.1M 1.7M 12.5mm</v>
          </cell>
          <cell r="F2545">
            <v>11</v>
          </cell>
        </row>
        <row r="2546">
          <cell r="B2546" t="str">
            <v>F-2026-03-396</v>
          </cell>
          <cell r="C2546" t="str">
            <v>BDB-000113</v>
          </cell>
          <cell r="D2546" t="str">
            <v>PVN-002465</v>
          </cell>
          <cell r="E2546" t="str">
            <v>OrthoLite Regular-Hybrid SEEDPEARL/12-0703TPX Hybrid Flat Sheet 0.11D 25+/-4 Asker C 1.1M 2M 5mm</v>
          </cell>
          <cell r="F2546">
            <v>108</v>
          </cell>
        </row>
        <row r="2547">
          <cell r="B2547" t="str">
            <v>F-2026-03-421</v>
          </cell>
          <cell r="C2547" t="str">
            <v>BDB-000181</v>
          </cell>
          <cell r="D2547" t="str">
            <v>PVN-003238</v>
          </cell>
          <cell r="E2547" t="str">
            <v>OrthoLite Eco LT-Hybrid-Converse SEEDPEARL/12-0703TPX Hybrid Flat Sheet 0.11D 25+/-4 Asker C 1.1M 2M 5mm</v>
          </cell>
          <cell r="F2547">
            <v>4</v>
          </cell>
        </row>
        <row r="2548">
          <cell r="B2548" t="str">
            <v>F-2026-02-323</v>
          </cell>
          <cell r="C2548" t="str">
            <v>BDB-000157</v>
          </cell>
          <cell r="D2548" t="str">
            <v>PVN-003573</v>
          </cell>
          <cell r="E2548" t="str">
            <v>OrthoLite X-35-Hybrid-Nike SEEDPEARL/12-0703TPX Hybrid 0.145D 25+/-4 Asker C 1.1M 2M 4.2mm</v>
          </cell>
          <cell r="F2548">
            <v>91</v>
          </cell>
        </row>
        <row r="2549">
          <cell r="B2549" t="str">
            <v>F-2026-03-267</v>
          </cell>
          <cell r="C2549" t="str">
            <v>BDB-000348</v>
          </cell>
          <cell r="D2549" t="str">
            <v>PVN-004210</v>
          </cell>
          <cell r="E2549" t="str">
            <v>OrthoLite IMPERIAL SEEDPEARL/12-0703TPX Flat Sheet 0.22D 25+/-4 Asker C 1.1M 1.47M 5mm</v>
          </cell>
          <cell r="F2549">
            <v>8</v>
          </cell>
        </row>
        <row r="2550">
          <cell r="B2550" t="str">
            <v>F-2026-03-501</v>
          </cell>
          <cell r="C2550" t="str">
            <v>BDB-000058</v>
          </cell>
          <cell r="D2550" t="str">
            <v>PVN-001277</v>
          </cell>
          <cell r="E2550" t="str">
            <v>OrthoLite Ultra GREEN/16-5932TPX Flat Sheet 0.085D 25+/-4 Asker C 1.1M 2M 4mm</v>
          </cell>
          <cell r="F2550">
            <v>13</v>
          </cell>
        </row>
        <row r="2551">
          <cell r="B2551" t="str">
            <v>F-2026-03-247</v>
          </cell>
          <cell r="C2551" t="str">
            <v>BDB-000348</v>
          </cell>
          <cell r="D2551" t="str">
            <v>PVN-004210</v>
          </cell>
          <cell r="E2551" t="str">
            <v>OrthoLite IMPERIAL SEEDPEARL/12-0703TPX Flat Sheet 0.22D 25+/-4 Asker C 1.1M 1.47M 5mm</v>
          </cell>
          <cell r="F2551">
            <v>9</v>
          </cell>
        </row>
        <row r="2552">
          <cell r="B2552" t="str">
            <v>F-2026-03-419</v>
          </cell>
          <cell r="C2552" t="str">
            <v>BDB-000336</v>
          </cell>
          <cell r="D2552" t="str">
            <v>PVN-004168</v>
          </cell>
          <cell r="E2552" t="str">
            <v>OrthoLite X-40-Nike SEEDPEARL/12-0703TPX Flat Sheet 0.16D 35+/-4 Asker C 1.1M 2M 4.5mm</v>
          </cell>
          <cell r="F2552">
            <v>9</v>
          </cell>
        </row>
        <row r="2553">
          <cell r="B2553" t="str">
            <v>F-2026-03-393</v>
          </cell>
          <cell r="C2553" t="str">
            <v>BDB-000234</v>
          </cell>
          <cell r="D2553" t="str">
            <v>PVN-003581</v>
          </cell>
          <cell r="E2553" t="str">
            <v>OrthoLite X-30-Hybrid BROWN SUGAR/17-1134TPX Hybrid Flat Sheet 0.13D 25+/-4 Asker C 1.1M 2M 12mm</v>
          </cell>
          <cell r="F2553">
            <v>9</v>
          </cell>
        </row>
        <row r="2554">
          <cell r="B2554" t="str">
            <v>F-2026-03-420</v>
          </cell>
          <cell r="C2554" t="str">
            <v>BDB-000123</v>
          </cell>
          <cell r="D2554" t="str">
            <v>PVN-002539</v>
          </cell>
          <cell r="E2554" t="str">
            <v>OrthoLite Ultra-Hybrid SEEDPEARL/12-0703TPX Hybrid Flat Sheet 0.085D 25+/-4 Asker C 1.1M 2M 5mm</v>
          </cell>
          <cell r="F2554">
            <v>7</v>
          </cell>
        </row>
        <row r="2555">
          <cell r="B2555" t="str">
            <v>F-2026-03-346</v>
          </cell>
          <cell r="C2555" t="str">
            <v>BDB-000273</v>
          </cell>
          <cell r="D2555" t="str">
            <v>PVN-004138</v>
          </cell>
          <cell r="E2555" t="str">
            <v>OrthoLite X-40-Hybrid SEEDPEARL/12-0703TPX Hybrid Flat Sheet 0.16D 25+/-4 Asker C 1.1M 2M 5.5mm</v>
          </cell>
          <cell r="F2555">
            <v>6</v>
          </cell>
        </row>
        <row r="2556">
          <cell r="B2556" t="str">
            <v>F-2026-02-306</v>
          </cell>
          <cell r="C2556" t="str">
            <v>BDB-000259</v>
          </cell>
          <cell r="D2556" t="str">
            <v>PVN-003684</v>
          </cell>
          <cell r="E2556" t="str">
            <v>OrthoLite Nike PP002 GLACIER GRAY/14-4102TPX Flat Sheet 0.145D 25+/-4 asker C 1.1M 2M 4.2mm</v>
          </cell>
          <cell r="F2556">
            <v>76</v>
          </cell>
        </row>
        <row r="2557">
          <cell r="B2557" t="str">
            <v>F-2026-03-537</v>
          </cell>
          <cell r="C2557" t="str">
            <v>BDB-000113</v>
          </cell>
          <cell r="D2557" t="str">
            <v>PVN-003601</v>
          </cell>
          <cell r="E2557" t="str">
            <v>OrthoLite Regular-Hybrid SEEDPEARL/12-0703TPX Hybrid Flat Sheet 0.11D 25+/-4 Asker C 1.1M 2M 20mm</v>
          </cell>
          <cell r="F2557">
            <v>19</v>
          </cell>
        </row>
        <row r="2558">
          <cell r="B2558" t="str">
            <v>F-2026-03-615</v>
          </cell>
          <cell r="C2558" t="str">
            <v>BDB-000113</v>
          </cell>
          <cell r="D2558" t="str">
            <v>PVN-003601</v>
          </cell>
          <cell r="E2558" t="str">
            <v>OrthoLite Regular-Hybrid SEEDPEARL/12-0703TPX Hybrid Flat Sheet 0.11D 25+/-4 Asker C 1.1M 2M 20mm</v>
          </cell>
          <cell r="F2558">
            <v>35</v>
          </cell>
        </row>
        <row r="2559">
          <cell r="B2559" t="str">
            <v>F-2026-03-363</v>
          </cell>
          <cell r="C2559" t="str">
            <v>BDB-000057</v>
          </cell>
          <cell r="D2559" t="str">
            <v>PVN-000925</v>
          </cell>
          <cell r="E2559" t="str">
            <v>OrthoLite Ultra YELLOW/13-0858TPX Flat Sheet 0.085D 25+/-4 Asker C 1.1M 2M 5mm</v>
          </cell>
          <cell r="F2559">
            <v>17</v>
          </cell>
        </row>
        <row r="2560">
          <cell r="B2560" t="str">
            <v>F-2026-03-391</v>
          </cell>
          <cell r="C2560" t="str">
            <v>BDB-000113</v>
          </cell>
          <cell r="D2560" t="str">
            <v>PVN-003414</v>
          </cell>
          <cell r="E2560" t="str">
            <v>OrthoLite Regular-Hybrid SEEDPEARL/12-0703TPX Hybrid Flat Sheet 0.11D 25+/-4 Asker C 1.1M 2M 12mm</v>
          </cell>
          <cell r="F2560">
            <v>16</v>
          </cell>
        </row>
        <row r="2561">
          <cell r="B2561" t="str">
            <v>F-2026-03-538</v>
          </cell>
          <cell r="C2561" t="str">
            <v>BDB-000113</v>
          </cell>
          <cell r="D2561" t="str">
            <v>PVN-003796</v>
          </cell>
          <cell r="E2561" t="str">
            <v>OrthoLite Regular-Hybrid SEEDPEARL/12-0703TPX Hybrid Flat Sheet 0.11D 25+/-4 Asker C 1.1M 2M 3.5mm</v>
          </cell>
          <cell r="F2561">
            <v>6</v>
          </cell>
        </row>
        <row r="2562">
          <cell r="B2562" t="str">
            <v>S-2026-03-99</v>
          </cell>
          <cell r="C2562" t="str">
            <v>BDB-000051</v>
          </cell>
          <cell r="D2562" t="str">
            <v>PVN-003450</v>
          </cell>
          <cell r="E2562" t="str">
            <v>OrthoLite X-40 TRUE BLUE/19-4057TPX Flat Sheet 0.16D 25+/-4 Asker C 1.1M 1.7M 6mm</v>
          </cell>
          <cell r="F2562">
            <v>1</v>
          </cell>
        </row>
        <row r="2563">
          <cell r="B2563" t="str">
            <v>F-2026-03-230</v>
          </cell>
          <cell r="C2563" t="str">
            <v>BDB-000101</v>
          </cell>
          <cell r="D2563" t="str">
            <v>PVN-003628</v>
          </cell>
          <cell r="E2563" t="str">
            <v>OrthoLite Eco LT-Hybrid FOSSIL/17-0909TPX Hybrid Flat Sheet 0.13D 35+/-4 Asker C 1.1M 2M 2.5mm</v>
          </cell>
          <cell r="F2563">
            <v>3</v>
          </cell>
        </row>
        <row r="2564">
          <cell r="B2564" t="str">
            <v>F-2026-03-513</v>
          </cell>
          <cell r="C2564" t="str">
            <v>BDB-000052</v>
          </cell>
          <cell r="D2564" t="str">
            <v>PVN-003603</v>
          </cell>
          <cell r="E2564" t="str">
            <v>OrthoLite X-40 TRUE BLUE/19-4057TPX Flat Sheet 0.16D 25+/-4 Asker C 1.1M 1.47M 12mm</v>
          </cell>
          <cell r="F2564">
            <v>72</v>
          </cell>
        </row>
        <row r="2565">
          <cell r="B2565" t="str">
            <v>F-2026-03-611</v>
          </cell>
          <cell r="C2565" t="str">
            <v>BDB-000317</v>
          </cell>
          <cell r="D2565" t="str">
            <v>PVN-004076</v>
          </cell>
          <cell r="E2565" t="str">
            <v>OrthoLite Regular NEUTRAL GRAY/17-4402TPX Flat Sheet 0.13D 15+/-4 Asker C 1.1M 2M 24mm</v>
          </cell>
          <cell r="F2565">
            <v>21</v>
          </cell>
        </row>
        <row r="2566">
          <cell r="B2566" t="str">
            <v>F-2026-02-286</v>
          </cell>
          <cell r="C2566" t="str">
            <v>BDB-000175</v>
          </cell>
          <cell r="D2566" t="str">
            <v>PVN-002966</v>
          </cell>
          <cell r="E2566" t="str">
            <v>OrthoLite Ultra-Hybrid-Nike SEEDPEARL/12-0703TPX Hybrid 0.085D 25+/-4 Asker C 1.1M 2M 4mm</v>
          </cell>
          <cell r="F2566">
            <v>100</v>
          </cell>
        </row>
        <row r="2567">
          <cell r="B2567" t="str">
            <v>F-2026-03-572</v>
          </cell>
          <cell r="C2567" t="str">
            <v>BDB-000282</v>
          </cell>
          <cell r="D2567" t="str">
            <v>PVN-003834</v>
          </cell>
          <cell r="E2567" t="str">
            <v>OrthoLite X-40-Hybrid SEEDPEARL/12-0703TPX Hybrid Flat Sheet 0.16D 35+/-4 Asker C 1.1M 2M 12.5mm</v>
          </cell>
          <cell r="F2567">
            <v>1</v>
          </cell>
        </row>
        <row r="2568">
          <cell r="B2568" t="str">
            <v>F-2026-03-499</v>
          </cell>
          <cell r="C2568" t="str">
            <v>BDB-000264</v>
          </cell>
          <cell r="D2568" t="str">
            <v>PVN-003881</v>
          </cell>
          <cell r="E2568" t="str">
            <v>OrthoLite Ultra YELLOW/13-0858TPX Flat Sheet 0.085D 25+/-4 Asker C 1.1M 1.47M 5mm</v>
          </cell>
          <cell r="F2568">
            <v>5</v>
          </cell>
        </row>
        <row r="2569">
          <cell r="B2569" t="str">
            <v>F-2026-03-579</v>
          </cell>
          <cell r="C2569" t="str">
            <v>BDB-000117</v>
          </cell>
          <cell r="D2569" t="str">
            <v>PVN-003148</v>
          </cell>
          <cell r="E2569" t="str">
            <v>OrthoLite X-35-Hybrid SEEDPEARL/12-0703TPX Hybrid Flat Sheet 0.145D 25+/-4 Asker C 1.1M 2M 4.5mm</v>
          </cell>
          <cell r="F2569">
            <v>7</v>
          </cell>
        </row>
        <row r="2570">
          <cell r="B2570" t="str">
            <v>F-2026-03-612</v>
          </cell>
          <cell r="C2570" t="str">
            <v>BDB-000325</v>
          </cell>
          <cell r="D2570" t="str">
            <v>PVN-004115</v>
          </cell>
          <cell r="E2570" t="str">
            <v>OrthoLite X-40 TRUE BLUE/19-4057TPX Flat Sheet 0.16D 35+/-4 Asker C 1.1M 2M 4mm</v>
          </cell>
          <cell r="F2570">
            <v>6</v>
          </cell>
        </row>
        <row r="2571">
          <cell r="B2571" t="str">
            <v>F-2026-03-506</v>
          </cell>
          <cell r="C2571" t="str">
            <v>BDB-000180</v>
          </cell>
          <cell r="D2571" t="str">
            <v>PVN-003236</v>
          </cell>
          <cell r="E2571" t="str">
            <v>OrthoLite Eco LT-Hybrid-Converse SEEDPEARL/12-0703TPX Hybrid Flat Sheet 0.13D 25+/-4 Asker C 1.1M 2M 5mm</v>
          </cell>
          <cell r="F2571">
            <v>18</v>
          </cell>
        </row>
        <row r="2572">
          <cell r="B2572" t="str">
            <v>F-2026-03-373</v>
          </cell>
          <cell r="C2572" t="str">
            <v>BDB-000113</v>
          </cell>
          <cell r="D2572" t="str">
            <v>PVN-003414</v>
          </cell>
          <cell r="E2572" t="str">
            <v>OrthoLite Regular-Hybrid SEEDPEARL/12-0703TPX Hybrid Flat Sheet 0.11D 25+/-4 Asker C 1.1M 2M 12mm</v>
          </cell>
          <cell r="F2572">
            <v>235</v>
          </cell>
        </row>
        <row r="2573">
          <cell r="B2573" t="str">
            <v>F-2026-02-212</v>
          </cell>
          <cell r="C2573" t="str">
            <v>BDB-000123</v>
          </cell>
          <cell r="D2573" t="str">
            <v>PVN-003298</v>
          </cell>
          <cell r="E2573" t="str">
            <v>OrthoLite Ultra-Hybrid SEEDPEARL/12-0703TPX Hybrid 0.085D 25+/-4 Asker C 1.1M 2M 4mm</v>
          </cell>
          <cell r="F2573">
            <v>23</v>
          </cell>
        </row>
        <row r="2574">
          <cell r="B2574" t="str">
            <v>F-2026-03-582</v>
          </cell>
          <cell r="C2574" t="str">
            <v>BDB-000158</v>
          </cell>
          <cell r="D2574" t="str">
            <v>PVN-001554</v>
          </cell>
          <cell r="E2574" t="str">
            <v>OrthoLite Ultra-Nike YELLOW/13-0858TPX Flat Sheet 0.085D 15+/-4 Asker C 1.1M 2M 3mm</v>
          </cell>
          <cell r="F2574">
            <v>5</v>
          </cell>
        </row>
        <row r="2575">
          <cell r="B2575" t="str">
            <v>F-2026-03-481</v>
          </cell>
          <cell r="C2575" t="str">
            <v>BDB-000218</v>
          </cell>
          <cell r="D2575" t="str">
            <v>PVN-003488</v>
          </cell>
          <cell r="E2575" t="str">
            <v>OrthoLite Ultra-Nike SEEDPEARL/12-0703TPX 0.085D 5-10 Asker C 1.1M 2M 4mm</v>
          </cell>
          <cell r="F2575">
            <v>2</v>
          </cell>
        </row>
        <row r="2576">
          <cell r="B2576" t="str">
            <v>S-2026-03-125</v>
          </cell>
          <cell r="C2576" t="str">
            <v>BDB-000375</v>
          </cell>
          <cell r="D2576" t="str">
            <v>PVN-004319</v>
          </cell>
          <cell r="E2576" t="str">
            <v>OrthoLite X-25-Nike SEEDPEARL/12-0703TPX Flat Sheet 0.12D 20+/-4 Asker C 1.1M 2M 4mm</v>
          </cell>
          <cell r="F2576">
            <v>2</v>
          </cell>
        </row>
        <row r="2577">
          <cell r="B2577" t="str">
            <v>S-2026-03-114</v>
          </cell>
          <cell r="C2577" t="str">
            <v>BDB-000019</v>
          </cell>
          <cell r="D2577" t="str">
            <v>PVN-004355</v>
          </cell>
          <cell r="E2577" t="str">
            <v>OrthoLite Regular RED/19-1764TPX Flat Sheet 0.11D 25+/-4 Asker C 1.1M 2M 7.5mm</v>
          </cell>
          <cell r="F2577">
            <v>1</v>
          </cell>
        </row>
        <row r="2578">
          <cell r="B2578" t="str">
            <v>S-2026-03-113</v>
          </cell>
          <cell r="C2578" t="str">
            <v>BDB-000003</v>
          </cell>
          <cell r="D2578" t="str">
            <v>PVN-004354</v>
          </cell>
          <cell r="E2578" t="str">
            <v>OrthoLite Regular YELLOW/13-0858TPX Flat Sheet 0.11D 25+/-4 Asker C 1.1M 2M 7.5mm</v>
          </cell>
          <cell r="F2578">
            <v>1</v>
          </cell>
        </row>
        <row r="2579">
          <cell r="B2579" t="str">
            <v>S-2026-03-131</v>
          </cell>
          <cell r="C2579" t="str">
            <v>BDB-000316</v>
          </cell>
          <cell r="D2579" t="str">
            <v>PVN-004358</v>
          </cell>
          <cell r="E2579" t="str">
            <v>OrthoLite Float BILLIARD/16-5427TPX Flat Sheet 0.12D 21+/-4 Asker C 1.1M 2M 8mm</v>
          </cell>
          <cell r="F2579">
            <v>5</v>
          </cell>
        </row>
        <row r="2580">
          <cell r="B2580" t="str">
            <v>F-2026-03-425</v>
          </cell>
          <cell r="C2580" t="str">
            <v>BDB-000313</v>
          </cell>
          <cell r="D2580" t="str">
            <v>PVN-004061</v>
          </cell>
          <cell r="E2580" t="str">
            <v>OrthoLite X-55 RED/19-1764TPX Flat Sheet 0.16D 25+/-4 Asker C 1.1M 1.47M 18mm</v>
          </cell>
          <cell r="F2580">
            <v>3</v>
          </cell>
        </row>
        <row r="2581">
          <cell r="B2581" t="str">
            <v>F-2026-03-397</v>
          </cell>
          <cell r="C2581" t="str">
            <v>BDB-000067</v>
          </cell>
          <cell r="D2581" t="str">
            <v>PVN-004301</v>
          </cell>
          <cell r="E2581" t="str">
            <v>OrthoLite Ultra SEEDPEARL/12-0703TPX 0.085D 25+/-4 Asker C 1.1M 2M 2mm</v>
          </cell>
          <cell r="F2581">
            <v>3</v>
          </cell>
        </row>
        <row r="2582">
          <cell r="B2582" t="str">
            <v>F-2026-03-502</v>
          </cell>
          <cell r="C2582" t="str">
            <v>BDB-000123</v>
          </cell>
          <cell r="D2582" t="str">
            <v>PVN-003300</v>
          </cell>
          <cell r="E2582" t="str">
            <v>OrthoLite Ultra-Hybrid SEEDPEARL/12-0703TPX Hybrid Flat Sheet 0.085D 25+/-4 Asker C 1.1M 2M 2mm</v>
          </cell>
          <cell r="F2582">
            <v>7</v>
          </cell>
        </row>
        <row r="2583">
          <cell r="B2583" t="str">
            <v>F-2026-03-415</v>
          </cell>
          <cell r="C2583" t="str">
            <v>BDB-000266</v>
          </cell>
          <cell r="D2583" t="str">
            <v>PVN-003732</v>
          </cell>
          <cell r="E2583" t="str">
            <v>OrthoLite Regular BLACK/19-4007TPX Flat Sheet 0.15D 45+/-4 Asker C 1.1M 1.7M 2mm</v>
          </cell>
          <cell r="F2583">
            <v>2</v>
          </cell>
        </row>
        <row r="2584">
          <cell r="B2584" t="str">
            <v>F-2026-03-560</v>
          </cell>
          <cell r="C2584" t="str">
            <v>BDB-000123</v>
          </cell>
          <cell r="D2584" t="str">
            <v>PVN-003300</v>
          </cell>
          <cell r="E2584" t="str">
            <v>OrthoLite Ultra-Hybrid SEEDPEARL/12-0703TPX Hybrid Flat Sheet 0.085D 25+/-4 Asker C 1.1M 2M 2mm</v>
          </cell>
          <cell r="F2584">
            <v>2</v>
          </cell>
        </row>
        <row r="2585">
          <cell r="B2585" t="str">
            <v>F-2026-03-349</v>
          </cell>
          <cell r="C2585" t="str">
            <v>BDB-000355</v>
          </cell>
          <cell r="D2585" t="str">
            <v>PVN-004231</v>
          </cell>
          <cell r="E2585" t="str">
            <v>OrthoLite HybridPlus-Recycled CASTLEROCK/18-0201TPX Hybrid Flat Sheet 0.12D 25+/-4 Asker C 1.1M 2M 4.5mm</v>
          </cell>
          <cell r="F2585">
            <v>57</v>
          </cell>
        </row>
        <row r="2586">
          <cell r="B2586" t="str">
            <v>F-2026-03-412</v>
          </cell>
          <cell r="C2586" t="str">
            <v>BDB-000046</v>
          </cell>
          <cell r="D2586" t="str">
            <v>PVN-000448</v>
          </cell>
          <cell r="E2586" t="str">
            <v>OrthoLite Regular RED/19-1764TPX Flat Sheet 0.13D 35+/-4 Asker C 1.1M 1.47M 4mm</v>
          </cell>
          <cell r="F2586">
            <v>2</v>
          </cell>
        </row>
        <row r="2587">
          <cell r="B2587" t="str">
            <v>F-2026-03-427</v>
          </cell>
          <cell r="C2587" t="str">
            <v>BDB-000188</v>
          </cell>
          <cell r="D2587" t="str">
            <v>PVN-003479</v>
          </cell>
          <cell r="E2587" t="str">
            <v>OrthoLite Ultra-Hybrid SEEDPEARL/12-0703TPX Hybrid Flat Sheet 0.085D 25+/-4 Asker C 1.1M 1.47M 4mm</v>
          </cell>
          <cell r="F2587">
            <v>16</v>
          </cell>
        </row>
        <row r="2588">
          <cell r="B2588" t="str">
            <v>S-2026-03-132</v>
          </cell>
          <cell r="C2588" t="str">
            <v>BDB-000181</v>
          </cell>
          <cell r="D2588" t="str">
            <v>PVN-003238</v>
          </cell>
          <cell r="E2588" t="str">
            <v>OrthoLite Eco LT-Hybrid-Converse SEEDPEARL/12-0703TPX Hybrid Flat Sheet 0.11D 25+/-4 Asker C 1.1M 2M 5mm</v>
          </cell>
          <cell r="F2588">
            <v>4</v>
          </cell>
        </row>
        <row r="2589">
          <cell r="B2589" t="str">
            <v>S-2026-04-03</v>
          </cell>
          <cell r="C2589" t="str">
            <v>BDB-000348</v>
          </cell>
          <cell r="D2589" t="str">
            <v>PVN-004195</v>
          </cell>
          <cell r="E2589" t="str">
            <v>OrthoLite IMPERIAL SEEDPEARL/12-0703TPX Flat Sheet 0.22D 25+/-4 Asker C 1.1M 1.47M 4mm</v>
          </cell>
          <cell r="F2589">
            <v>3</v>
          </cell>
        </row>
        <row r="2590">
          <cell r="B2590" t="str">
            <v>F-2026-03-531</v>
          </cell>
          <cell r="C2590" t="str">
            <v>BDB-000076</v>
          </cell>
          <cell r="D2590" t="str">
            <v>PVN-003448</v>
          </cell>
          <cell r="E2590" t="str">
            <v>OrthoLite X-25 BILLIARD/16-5427TPX Flat Sheet 0.12D 20+/-4 Asker C 1.1M 2M 6.2mm</v>
          </cell>
          <cell r="F2590">
            <v>1</v>
          </cell>
        </row>
        <row r="2591">
          <cell r="B2591" t="str">
            <v>OIN-2026.03.27-04</v>
          </cell>
          <cell r="C2591" t="str">
            <v>BDB-000076</v>
          </cell>
          <cell r="D2591" t="str">
            <v>PVN-003911</v>
          </cell>
          <cell r="E2591" t="str">
            <v>[116-1516] X 25 20+/-4 Asker C 0.12D Billiard 1.10M X 2.00M 47mm</v>
          </cell>
          <cell r="F2591">
            <v>4</v>
          </cell>
        </row>
        <row r="2592">
          <cell r="B2592" t="str">
            <v>OIN-2026.03.27-01</v>
          </cell>
          <cell r="C2592" t="str">
            <v>BDB-000060</v>
          </cell>
          <cell r="D2592" t="str">
            <v>PVN-003782</v>
          </cell>
          <cell r="E2592" t="str">
            <v>[116-446] Ultra 25+/-4 Asker C 0.085D Burnt Sienna 17-1544 Tpx 1.10M X 2.00M 47mm</v>
          </cell>
          <cell r="F2592">
            <v>5</v>
          </cell>
        </row>
        <row r="2593">
          <cell r="B2593" t="str">
            <v>OIN-2026.03.28-02</v>
          </cell>
          <cell r="C2593" t="str">
            <v>BDB-000060</v>
          </cell>
          <cell r="D2593" t="str">
            <v>PVN-003782</v>
          </cell>
          <cell r="E2593" t="str">
            <v>[116-446] Ultra 25+/-4 Asker C 0.085D Burnt Sienna 17-1544 Tpx 1.10M X 2.00M 47mm</v>
          </cell>
          <cell r="F2593">
            <v>5</v>
          </cell>
        </row>
        <row r="2594">
          <cell r="B2594" t="str">
            <v>F-2026-03-361-1</v>
          </cell>
          <cell r="C2594" t="str">
            <v>BDB-000008</v>
          </cell>
          <cell r="D2594" t="str">
            <v>PVN-000505</v>
          </cell>
          <cell r="E2594" t="str">
            <v>OrthoLite Regular LIME GREEN/14-0452TPX Flat Sheet 0.11D 25+/-4 Asker C 1.1M 2M 12mm</v>
          </cell>
          <cell r="F2594">
            <v>18</v>
          </cell>
        </row>
        <row r="2595">
          <cell r="B2595" t="str">
            <v>F-2026-02-196</v>
          </cell>
          <cell r="C2595" t="str">
            <v>BDB-000123</v>
          </cell>
          <cell r="D2595" t="str">
            <v>PVN-003298</v>
          </cell>
          <cell r="E2595" t="str">
            <v>OrthoLite Ultra-Hybrid SEEDPEARL/12-0703TPX Hybrid 0.085D 25+/-4 Asker C 1.1M 2M 4mm</v>
          </cell>
          <cell r="F2595">
            <v>49</v>
          </cell>
        </row>
        <row r="2596">
          <cell r="B2596" t="str">
            <v>F-2026-03-394</v>
          </cell>
          <cell r="C2596" t="str">
            <v>BDB-000234</v>
          </cell>
          <cell r="D2596" t="str">
            <v>PVN-003581</v>
          </cell>
          <cell r="E2596" t="str">
            <v>OrthoLite X-30-Hybrid BROWN SUGAR/17-1134TPX Hybrid Flat Sheet 0.13D 25+/-4 Asker C 1.1M 2M 12mm</v>
          </cell>
          <cell r="F2596">
            <v>28</v>
          </cell>
        </row>
        <row r="2597">
          <cell r="B2597" t="str">
            <v>F-2026-02-229</v>
          </cell>
          <cell r="C2597" t="str">
            <v>BDB-000123</v>
          </cell>
          <cell r="D2597" t="str">
            <v>PVN-003299</v>
          </cell>
          <cell r="E2597" t="str">
            <v>OrthoLite Ultra-Hybrid SEEDPEARL/12-0703TPX Hybrid 0.085D 25+/-4 Asker C 1.1M 2M 3mm</v>
          </cell>
          <cell r="F2597">
            <v>153</v>
          </cell>
        </row>
        <row r="2598">
          <cell r="B2598" t="str">
            <v>F-2026-03-510</v>
          </cell>
          <cell r="C2598" t="str">
            <v>BDB-000262</v>
          </cell>
          <cell r="D2598" t="str">
            <v>PVN-003816</v>
          </cell>
          <cell r="E2598" t="str">
            <v>OrthoLite Ultra-Hybrid SEEDPEARL/12-0703TPX Hybrid Flat Sheet 0.085D 78-90 Asker F 1.1M 2M 2.5mm</v>
          </cell>
          <cell r="F2598">
            <v>2</v>
          </cell>
        </row>
        <row r="2599">
          <cell r="B2599" t="str">
            <v>F-2026-03-563</v>
          </cell>
          <cell r="C2599" t="str">
            <v>BDB-000077</v>
          </cell>
          <cell r="D2599" t="str">
            <v>PVN-003478</v>
          </cell>
          <cell r="E2599" t="str">
            <v>Ortholite X-25 SEEDPEARL/12-0703TPX Flat Sheet 0.12D 20+/-4 Asker C 1.1M 2M 4mm</v>
          </cell>
          <cell r="F2599">
            <v>4</v>
          </cell>
        </row>
        <row r="2600">
          <cell r="B2600" t="str">
            <v>F-2026-03-429</v>
          </cell>
          <cell r="C2600" t="str">
            <v>BDB-000339</v>
          </cell>
          <cell r="D2600" t="str">
            <v>PVN-004223</v>
          </cell>
          <cell r="E2600" t="str">
            <v>OrthoLite Float NEUTRAL GRAY/17-4402TPX Flat Sheet 0.12D 21+/-4 Asker C 1.1M 2M 5mm</v>
          </cell>
          <cell r="F2600">
            <v>5</v>
          </cell>
        </row>
        <row r="2601">
          <cell r="B2601" t="str">
            <v>F-2026-03-526</v>
          </cell>
          <cell r="C2601" t="str">
            <v>BDB-000275</v>
          </cell>
          <cell r="D2601" t="str">
            <v>PVN-003797</v>
          </cell>
          <cell r="E2601" t="str">
            <v>OrthoLite Regular RED/19-1764TPX Flat Sheet 0.15D 45+/-4 Asker C 1.1M 1.7M 3mm</v>
          </cell>
          <cell r="F2601">
            <v>3</v>
          </cell>
        </row>
        <row r="2602">
          <cell r="B2602" t="str">
            <v>F-2026-02-323</v>
          </cell>
          <cell r="C2602" t="str">
            <v>BDB-000157</v>
          </cell>
          <cell r="D2602" t="str">
            <v>PVN-003573</v>
          </cell>
          <cell r="E2602" t="str">
            <v>OrthoLite X-35-Hybrid-Nike SEEDPEARL/12-0703TPX Hybrid 0.145D 25+/-4 Asker C 1.1M 2M 4.2mm</v>
          </cell>
          <cell r="F2602">
            <v>4</v>
          </cell>
        </row>
        <row r="2603">
          <cell r="B2603" t="str">
            <v>F-2026-03-536</v>
          </cell>
          <cell r="C2603" t="str">
            <v>BDB-000157</v>
          </cell>
          <cell r="D2603" t="str">
            <v>PVN-003642</v>
          </cell>
          <cell r="E2603" t="str">
            <v>OrthoLite X-35-Hybrid-Nike SEEDPEARL/12-0703TPX Hybrid Flat Sheet 0.145D 25+/-4 Asker C 1.1M 2M 6.2mm</v>
          </cell>
          <cell r="F2603">
            <v>3</v>
          </cell>
        </row>
        <row r="2604">
          <cell r="B2604" t="str">
            <v>F-2026-03-461</v>
          </cell>
          <cell r="C2604" t="str">
            <v>BDB-000157</v>
          </cell>
          <cell r="D2604" t="str">
            <v>PVN-003244</v>
          </cell>
          <cell r="E2604" t="str">
            <v>OrthoLite X-35-Hybrid-Nike SEEDPEARL/12-0703TPX Hybrid 0.145D 25+/-4 Asker C 1.1M 2M 5.2mm</v>
          </cell>
          <cell r="F2604">
            <v>8</v>
          </cell>
        </row>
        <row r="2605">
          <cell r="B2605" t="str">
            <v>F-2026-03-556</v>
          </cell>
          <cell r="C2605" t="str">
            <v>BDB-000084</v>
          </cell>
          <cell r="D2605" t="str">
            <v>PVN-001111</v>
          </cell>
          <cell r="E2605" t="str">
            <v>OrthoLite Eco LT YELLOW/13-0858TPX 0.11D 25+/-4 Asker C 1.1M 2M 4mm</v>
          </cell>
          <cell r="F2605">
            <v>1</v>
          </cell>
        </row>
        <row r="2606">
          <cell r="B2606" t="str">
            <v>OIN-2026.03.27-02</v>
          </cell>
          <cell r="C2606" t="str">
            <v>BDB-000078</v>
          </cell>
          <cell r="D2606" t="str">
            <v>PVN-003912</v>
          </cell>
          <cell r="E2606" t="str">
            <v>[116-1517] X 30 25+/-4 Asker C 0.13D Red 19-1764 Tpx 1.10M X 2.00M 47mm</v>
          </cell>
          <cell r="F2606">
            <v>53</v>
          </cell>
        </row>
        <row r="2607">
          <cell r="B2607" t="str">
            <v>F-2026-03-322</v>
          </cell>
          <cell r="C2607" t="str">
            <v>BDB-000125</v>
          </cell>
          <cell r="D2607" t="str">
            <v>PVN-002413</v>
          </cell>
          <cell r="E2607" t="str">
            <v>OrthoLite Regular-Nike AIR BLUE/16-4134TPX Flat Sheet 0.11D 25+/-4 Asker C 1.1M 2M 4.2mm</v>
          </cell>
          <cell r="F2607">
            <v>3</v>
          </cell>
        </row>
        <row r="2608">
          <cell r="B2608" t="str">
            <v>F-2026-03-617</v>
          </cell>
          <cell r="C2608" t="str">
            <v>BDB-000149</v>
          </cell>
          <cell r="D2608" t="str">
            <v>PVN-002773</v>
          </cell>
          <cell r="E2608" t="str">
            <v>OrthoLite Regular-Hybrid-Nike SEEDPEARL/12-0703TPX Hybrid Flat Sheet 0.11D 25+/-4 Asker C 1.1M 2M 4mm</v>
          </cell>
          <cell r="F2608">
            <v>1</v>
          </cell>
        </row>
        <row r="2609">
          <cell r="B2609" t="str">
            <v>F-2026-03-533</v>
          </cell>
          <cell r="C2609" t="str">
            <v>BDB-000008</v>
          </cell>
          <cell r="D2609" t="str">
            <v>PVN-000505</v>
          </cell>
          <cell r="E2609" t="str">
            <v>OrthoLite Regular LIME GREEN/14-0452TPX Flat Sheet 0.11D 25+/-4 Asker C 1.1M 2M 12mm</v>
          </cell>
          <cell r="F2609">
            <v>14</v>
          </cell>
        </row>
        <row r="2610">
          <cell r="B2610" t="str">
            <v>OIN-2026.03.27-03</v>
          </cell>
          <cell r="C2610" t="str">
            <v>BDB-000020</v>
          </cell>
          <cell r="D2610" t="str">
            <v>PVN-004180</v>
          </cell>
          <cell r="E2610" t="str">
            <v>[116-013] Regular 35+/-4 Asker C 0.13D Red 19-1764 Tpx 1.10M X 2.00M 12.5mm</v>
          </cell>
          <cell r="F2610">
            <v>24</v>
          </cell>
        </row>
        <row r="2611">
          <cell r="B2611" t="str">
            <v>F-2026-03-521</v>
          </cell>
          <cell r="C2611" t="str">
            <v>BDB-000058</v>
          </cell>
          <cell r="D2611" t="str">
            <v>PVN-001319</v>
          </cell>
          <cell r="E2611" t="str">
            <v>OrthoLite Ultra GREEN/16-5932TPX Flat Sheet 0.085D 25+/-4 Asker C 1.1M 2M 5mm</v>
          </cell>
          <cell r="F2611">
            <v>1</v>
          </cell>
        </row>
        <row r="2612">
          <cell r="B2612" t="str">
            <v>F-2026-03-539</v>
          </cell>
          <cell r="C2612" t="str">
            <v>BDB-000117</v>
          </cell>
          <cell r="D2612" t="str">
            <v>PVN-003148</v>
          </cell>
          <cell r="E2612" t="str">
            <v>OrthoLite X-35-Hybrid SEEDPEARL/12-0703TPX Hybrid Flat Sheet 0.145D 25+/-4 Asker C 1.1M 2M 4.5mm</v>
          </cell>
          <cell r="F2612">
            <v>5</v>
          </cell>
        </row>
        <row r="2613">
          <cell r="B2613" t="str">
            <v>F-2026-03-507</v>
          </cell>
          <cell r="C2613" t="str">
            <v>BDB-000181</v>
          </cell>
          <cell r="D2613" t="str">
            <v>PVN-003238</v>
          </cell>
          <cell r="E2613" t="str">
            <v>OrthoLite Eco LT-Hybrid-Converse SEEDPEARL/12-0703TPX Hybrid Flat Sheet 0.11D 25+/-4 Asker C 1.1M 2M 5mm</v>
          </cell>
          <cell r="F2613">
            <v>8</v>
          </cell>
        </row>
        <row r="2614">
          <cell r="B2614" t="str">
            <v>F-2026-03-363</v>
          </cell>
          <cell r="C2614" t="str">
            <v>BDB-000057</v>
          </cell>
          <cell r="D2614" t="str">
            <v>PVN-000925</v>
          </cell>
          <cell r="E2614" t="str">
            <v>OrthoLite Ultra YELLOW/13-0858TPX Flat Sheet 0.085D 25+/-4 Asker C 1.1M 2M 5mm</v>
          </cell>
          <cell r="F2614">
            <v>1</v>
          </cell>
        </row>
        <row r="2615">
          <cell r="B2615" t="str">
            <v>F-2026-02-303</v>
          </cell>
          <cell r="C2615" t="str">
            <v>BDB-000161</v>
          </cell>
          <cell r="D2615" t="str">
            <v>PVN-001560</v>
          </cell>
          <cell r="E2615" t="str">
            <v>OrthoLite Ultra-Nike FOSSIL/17-0909TPX 0.085D 25+/-4 Asker C 1.1M 2M 4mm</v>
          </cell>
          <cell r="F2615">
            <v>10</v>
          </cell>
        </row>
        <row r="2616">
          <cell r="B2616" t="str">
            <v>F-2026-03-403</v>
          </cell>
          <cell r="C2616" t="str">
            <v>BDB-000129</v>
          </cell>
          <cell r="D2616" t="str">
            <v>PVN-001550</v>
          </cell>
          <cell r="E2616" t="str">
            <v>OrthoLite Regular-Nike AIR BLUE/16-4134TPX Flat Sheet 0.11D 25+/-4 Asker C 1.1M 1.7M 2mm</v>
          </cell>
          <cell r="F2616">
            <v>3</v>
          </cell>
        </row>
        <row r="2617">
          <cell r="B2617" t="str">
            <v>S-2026-03-138</v>
          </cell>
          <cell r="C2617" t="str">
            <v>BDB-000083</v>
          </cell>
          <cell r="D2617" t="str">
            <v>PVN-000930</v>
          </cell>
          <cell r="E2617" t="str">
            <v>OrthoLite Eco LT 300C(ADIDAS BLUEBIRD) Flat Sheet 0.11D 25+/-4 Asker C 1.1M 2M 3mm</v>
          </cell>
          <cell r="F2617">
            <v>2</v>
          </cell>
        </row>
        <row r="2618">
          <cell r="B2618" t="str">
            <v>S-2026-03-135</v>
          </cell>
          <cell r="C2618" t="str">
            <v>BDB-000020</v>
          </cell>
          <cell r="D2618" t="str">
            <v>PVN-000023</v>
          </cell>
          <cell r="E2618" t="str">
            <v>OrthoLite Regular RED/19-1764TPX 0.13D 35+/-4 Asker C 1.1M 2M 4mm</v>
          </cell>
          <cell r="F2618">
            <v>1</v>
          </cell>
        </row>
        <row r="2619">
          <cell r="B2619" t="str">
            <v>F-2026-02-284-2</v>
          </cell>
          <cell r="C2619" t="str">
            <v>BDB-000162</v>
          </cell>
          <cell r="D2619" t="str">
            <v>PVN-001566</v>
          </cell>
          <cell r="E2619" t="str">
            <v>OrthoLite Ultra-Nike SEEDPEARL/12-0703TPX 0.085D 25+/-4 Asker C 1.1M 2M 4mm</v>
          </cell>
          <cell r="F2619">
            <v>29</v>
          </cell>
        </row>
        <row r="2620">
          <cell r="B2620" t="str">
            <v>F-2026-03-396</v>
          </cell>
          <cell r="C2620" t="str">
            <v>BDB-000113</v>
          </cell>
          <cell r="D2620" t="str">
            <v>PVN-002465</v>
          </cell>
          <cell r="E2620" t="str">
            <v>OrthoLite Regular-Hybrid SEEDPEARL/12-0703TPX Hybrid Flat Sheet 0.11D 25+/-4 Asker C 1.1M 2M 5mm</v>
          </cell>
          <cell r="F2620">
            <v>6</v>
          </cell>
        </row>
        <row r="2621">
          <cell r="B2621" t="str">
            <v>F-2026-03-315</v>
          </cell>
          <cell r="C2621" t="str">
            <v>BDB-000346</v>
          </cell>
          <cell r="D2621" t="str">
            <v>PVN-004188</v>
          </cell>
          <cell r="E2621" t="str">
            <v>OrthoLite Float NEUTRAL GRAY/17-4402TPX Flat Sheet 0.12D 21+/-4 Asker C 1.1M 1.47M 5.5mm</v>
          </cell>
          <cell r="F2621">
            <v>15</v>
          </cell>
        </row>
        <row r="2622">
          <cell r="B2622" t="str">
            <v>OIN-2026.03.31-02</v>
          </cell>
          <cell r="C2622" t="str">
            <v>BDB-000058</v>
          </cell>
          <cell r="D2622" t="str">
            <v>PVN-003780</v>
          </cell>
          <cell r="E2622" t="str">
            <v>[116-361] Ultra 25+/-4 Asker C 0.085D Green 16-5932 Tpx 1.10M X 2.00M 47mm</v>
          </cell>
          <cell r="F2622">
            <v>33</v>
          </cell>
        </row>
        <row r="2623">
          <cell r="B2623" t="str">
            <v>OIN-2026.04.02-01</v>
          </cell>
          <cell r="C2623" t="str">
            <v>BDB-000058</v>
          </cell>
          <cell r="D2623" t="str">
            <v>PVN-003780</v>
          </cell>
          <cell r="E2623" t="str">
            <v>[116-361] Ultra 25+/-4 Asker C 0.085D Green 16-5932 Tpx 1.10M X 2.00M 47mm</v>
          </cell>
          <cell r="F2623">
            <v>36</v>
          </cell>
        </row>
        <row r="2624">
          <cell r="B2624" t="str">
            <v>F-2026-03-373</v>
          </cell>
          <cell r="C2624" t="str">
            <v>BDB-000113</v>
          </cell>
          <cell r="D2624" t="str">
            <v>PVN-003414</v>
          </cell>
          <cell r="E2624" t="str">
            <v>OrthoLite Regular-Hybrid SEEDPEARL/12-0703TPX Hybrid Flat Sheet 0.11D 25+/-4 Asker C 1.1M 2M 12mm</v>
          </cell>
          <cell r="F2624">
            <v>26</v>
          </cell>
        </row>
        <row r="2625">
          <cell r="B2625" t="str">
            <v>F-2026-04-20</v>
          </cell>
          <cell r="C2625" t="str">
            <v>BDB-000339</v>
          </cell>
          <cell r="D2625" t="str">
            <v>PVN-004178</v>
          </cell>
          <cell r="E2625" t="str">
            <v>OrthoLite Float NEUTRAL GRAY/17-4402TPX Flat Sheet 0.12D 21+/-4 Asker C 1.1M 2M 5.5mm</v>
          </cell>
          <cell r="F2625">
            <v>15</v>
          </cell>
        </row>
        <row r="2626">
          <cell r="B2626" t="str">
            <v>F-2026-03-492</v>
          </cell>
          <cell r="C2626" t="str">
            <v>BDB-000125</v>
          </cell>
          <cell r="D2626" t="str">
            <v>PVN-001579</v>
          </cell>
          <cell r="E2626" t="str">
            <v>OrthoLite Regular-Nike AIR BLUE/16-4134TPX Flat Sheet 0.11D 25+/-4 Asker C 1.1M 2M 4mm</v>
          </cell>
          <cell r="F2626">
            <v>29</v>
          </cell>
        </row>
        <row r="2627">
          <cell r="B2627" t="str">
            <v>F-2026-03-385</v>
          </cell>
          <cell r="C2627" t="str">
            <v>BDB-000234</v>
          </cell>
          <cell r="D2627" t="str">
            <v>PVN-003581</v>
          </cell>
          <cell r="E2627" t="str">
            <v>OrthoLite X-30-Hybrid BROWN SUGAR/17-1134TPX Hybrid Flat Sheet 0.13D 25+/-4 Asker C 1.1M 2M 12mm</v>
          </cell>
          <cell r="F2627">
            <v>87</v>
          </cell>
        </row>
        <row r="2628">
          <cell r="B2628" t="str">
            <v>F-2026-03-417</v>
          </cell>
          <cell r="C2628" t="str">
            <v>BDB-000353</v>
          </cell>
          <cell r="D2628" t="str">
            <v>PVN-004350</v>
          </cell>
          <cell r="E2628" t="str">
            <v>OrthoLite Regular SEEDPEARL/12-0703TPX Flat Sheet 0.13D 35+/-4 Asker C 1.1M 1.47M 13mm</v>
          </cell>
          <cell r="F2628">
            <v>2</v>
          </cell>
        </row>
        <row r="2629">
          <cell r="B2629" t="str">
            <v>F-2026-03-572</v>
          </cell>
          <cell r="C2629" t="str">
            <v>BDB-000282</v>
          </cell>
          <cell r="D2629" t="str">
            <v>PVN-003834</v>
          </cell>
          <cell r="E2629" t="str">
            <v>OrthoLite X-40-Hybrid SEEDPEARL/12-0703TPX Hybrid Flat Sheet 0.16D 35+/-4 Asker C 1.1M 2M 12.5mm</v>
          </cell>
          <cell r="F2629">
            <v>1</v>
          </cell>
        </row>
        <row r="2630">
          <cell r="B2630" t="str">
            <v>F-2026-03-457-2</v>
          </cell>
          <cell r="C2630" t="str">
            <v>BDB-000156</v>
          </cell>
          <cell r="D2630" t="str">
            <v>PVN-003243</v>
          </cell>
          <cell r="E2630" t="str">
            <v>OrthoLite X-35-Hybrid-Nike AMAZON/18-6024TPX Hybrid 0.145D 25+/-4 Asker C 1.1M 2M 5.2mm</v>
          </cell>
          <cell r="F2630">
            <v>17</v>
          </cell>
        </row>
        <row r="2631">
          <cell r="B2631" t="str">
            <v>F-2026-03-292</v>
          </cell>
          <cell r="C2631" t="str">
            <v>BDB-000234</v>
          </cell>
          <cell r="D2631" t="str">
            <v>PVN-003581</v>
          </cell>
          <cell r="E2631" t="str">
            <v>OrthoLite X-30-Hybrid BROWN SUGAR/17-1134TPX Hybrid Flat Sheet 0.13D 25+/-4 Asker C 1.1M 2M 12mm</v>
          </cell>
          <cell r="F2631">
            <v>79</v>
          </cell>
        </row>
        <row r="2632">
          <cell r="B2632" t="str">
            <v>F-2026-03-462-1</v>
          </cell>
          <cell r="C2632" t="str">
            <v>BDB-000259</v>
          </cell>
          <cell r="D2632" t="str">
            <v>PVN-003684</v>
          </cell>
          <cell r="E2632" t="str">
            <v>OrthoLite Nike PP002 GLACIER GRAY/14-4102TPX Flat Sheet 0.145D 25+/-4 asker C 1.1M 2M 4.2mm</v>
          </cell>
          <cell r="F2632">
            <v>31</v>
          </cell>
        </row>
        <row r="2633">
          <cell r="B2633" t="str">
            <v>F-2026-03-616</v>
          </cell>
          <cell r="C2633" t="str">
            <v>BDB-000055</v>
          </cell>
          <cell r="D2633" t="str">
            <v>PVN-003326</v>
          </cell>
          <cell r="E2633" t="str">
            <v>OrthoLite X-40 TRUE BLUE/19-4057TPX Flat Sheet 0.16D 35+/-4 Asker C 1.1M 1.7M 14mm</v>
          </cell>
          <cell r="F2633">
            <v>11</v>
          </cell>
        </row>
        <row r="2634">
          <cell r="B2634" t="str">
            <v>F-2026-04-17</v>
          </cell>
          <cell r="C2634" t="str">
            <v>BDB-000317</v>
          </cell>
          <cell r="D2634" t="str">
            <v>PVN-004076</v>
          </cell>
          <cell r="E2634" t="str">
            <v>OrthoLite Regular NEUTRAL GRAY/17-4402TPX Flat Sheet 0.13D 15+/-4 Asker C 1.1M 2M 24mm</v>
          </cell>
          <cell r="F2634">
            <v>1</v>
          </cell>
        </row>
        <row r="2635">
          <cell r="B2635" t="str">
            <v>F-2026-04-23</v>
          </cell>
          <cell r="C2635" t="str">
            <v>BDB-000055</v>
          </cell>
          <cell r="D2635" t="str">
            <v>PVN-003326</v>
          </cell>
          <cell r="E2635" t="str">
            <v>OrthoLite X-40 TRUE BLUE/19-4057TPX Flat Sheet 0.16D 35+/-4 Asker C 1.1M 1.7M 14mm</v>
          </cell>
          <cell r="F2635">
            <v>2</v>
          </cell>
        </row>
        <row r="2636">
          <cell r="B2636" t="str">
            <v>F-2026-04-53</v>
          </cell>
          <cell r="C2636" t="str">
            <v>BDB-000217</v>
          </cell>
          <cell r="D2636" t="str">
            <v>PVN-003733</v>
          </cell>
          <cell r="E2636" t="str">
            <v>OrthoLite X-40-Hybrid SEEDPEARL/12-0703TPX Hybrid Flat Sheet 0.16D 35+/-4 Asker C 1.1M 1.7M 12.5mm</v>
          </cell>
          <cell r="F2636">
            <v>1</v>
          </cell>
        </row>
        <row r="2637">
          <cell r="B2637" t="str">
            <v>F-2026-04-09</v>
          </cell>
          <cell r="C2637" t="str">
            <v>BDB-000076</v>
          </cell>
          <cell r="D2637" t="str">
            <v>PVN-003448</v>
          </cell>
          <cell r="E2637" t="str">
            <v>OrthoLite X-25 BILLIARD/16-5427TPX Flat Sheet 0.12D 20+/-4 Asker C 1.1M 2M 6.2mm</v>
          </cell>
          <cell r="F2637">
            <v>30</v>
          </cell>
        </row>
        <row r="2638">
          <cell r="B2638" t="str">
            <v>S-2026-03-141</v>
          </cell>
          <cell r="C2638" t="str">
            <v>BDB-000081</v>
          </cell>
          <cell r="D2638" t="str">
            <v>PVN-004361</v>
          </cell>
          <cell r="E2638" t="str">
            <v>OrthoLite X-35 FOSSIL/17-0909TPX Flat Sheet 0.145D 25+/-4 Asker C 1.1M 2M 14mm</v>
          </cell>
          <cell r="F2638">
            <v>2</v>
          </cell>
        </row>
        <row r="2639">
          <cell r="B2639" t="str">
            <v>F-2026-03-522</v>
          </cell>
          <cell r="C2639" t="str">
            <v>BDB-000373</v>
          </cell>
          <cell r="D2639" t="str">
            <v>PVN-004315</v>
          </cell>
          <cell r="E2639" t="str">
            <v>OrthoLite X-25-Nike BILLIARD/16-5427TPX Flat Sheet 0.12D 20+/-4 Asker C 1.1M 2M 5mm</v>
          </cell>
          <cell r="F2639">
            <v>4</v>
          </cell>
        </row>
        <row r="2640">
          <cell r="B2640" t="str">
            <v>OIN-2026.03.27-02</v>
          </cell>
          <cell r="C2640" t="str">
            <v>BDB-000078</v>
          </cell>
          <cell r="D2640" t="str">
            <v>PVN-003912</v>
          </cell>
          <cell r="E2640" t="str">
            <v>[116-1517] X 30 25+/-4 Asker C 0.13D Red 19-1764 Tpx 1.10M X 2.00M 47mm</v>
          </cell>
          <cell r="F2640">
            <v>4</v>
          </cell>
        </row>
        <row r="2641">
          <cell r="B2641" t="str">
            <v>F-2026-03-547</v>
          </cell>
          <cell r="C2641" t="str">
            <v>BDB-000180</v>
          </cell>
          <cell r="D2641" t="str">
            <v>PVN-003236</v>
          </cell>
          <cell r="E2641" t="str">
            <v>OrthoLite Eco LT-Hybrid-Converse SEEDPEARL/12-0703TPX Hybrid 0.13D 25+/-4 Asker C 1.1M 2M 5mm</v>
          </cell>
          <cell r="F2641">
            <v>2</v>
          </cell>
        </row>
        <row r="2642">
          <cell r="B2642" t="str">
            <v>F-2026-04-15</v>
          </cell>
          <cell r="C2642" t="str">
            <v>BDB-000255</v>
          </cell>
          <cell r="D2642" t="str">
            <v>PVN-003730</v>
          </cell>
          <cell r="E2642" t="str">
            <v>OrthoLite Regular GREY/17-1501TPX Flat Sheet 0.15D 45+/-4 Asker C 1.1M 1.7M 2mm</v>
          </cell>
          <cell r="F2642">
            <v>2</v>
          </cell>
        </row>
        <row r="2643">
          <cell r="B2643" t="str">
            <v>F-2026-04-14</v>
          </cell>
          <cell r="C2643" t="str">
            <v>BDB-000181</v>
          </cell>
          <cell r="D2643" t="str">
            <v>PVN-003238</v>
          </cell>
          <cell r="E2643" t="str">
            <v>OrthoLite Eco LT-Hybrid-Converse SEEDPEARL/12-0703TPX Hybrid Flat Sheet 0.11D 25+/-4 Asker C 1.1M 2M 5mm</v>
          </cell>
          <cell r="F2643">
            <v>4</v>
          </cell>
        </row>
        <row r="2644">
          <cell r="B2644" t="str">
            <v>F-2026-03-558</v>
          </cell>
          <cell r="C2644" t="str">
            <v>BDB-000033</v>
          </cell>
          <cell r="D2644" t="str">
            <v>PVN-001471</v>
          </cell>
          <cell r="E2644" t="str">
            <v>OrthoLite Regular SEEDPEARL/12-0703TPX 0.13D 35+/-4 Asker C 1.1M 2M 4mm</v>
          </cell>
          <cell r="F2644">
            <v>1</v>
          </cell>
        </row>
        <row r="2645">
          <cell r="B2645" t="str">
            <v>F-2026-04-29</v>
          </cell>
          <cell r="C2645" t="str">
            <v>BDB-000113</v>
          </cell>
          <cell r="D2645" t="str">
            <v>PVN-002515</v>
          </cell>
          <cell r="E2645" t="str">
            <v>OrthoLite Regular-Hybrid SEEDPEARL/12-0703TPX Hybrid Flat Sheet 0.11D 25+/-4 Asker C 1.1M 2M 11mm</v>
          </cell>
          <cell r="F2645">
            <v>1</v>
          </cell>
        </row>
        <row r="2646">
          <cell r="B2646" t="str">
            <v>F-2026-03-605</v>
          </cell>
          <cell r="C2646" t="str">
            <v>BDB-000123</v>
          </cell>
          <cell r="D2646" t="str">
            <v>PVN-002884</v>
          </cell>
          <cell r="E2646" t="str">
            <v>OrthoLite Ultra-Hybrid SEEDPEARL/12-0703TPX Hybrid Flat Sheet 0.085D 25+/-4 Asker C 1.1M 2M 10mm</v>
          </cell>
          <cell r="F2646">
            <v>8</v>
          </cell>
        </row>
        <row r="2647">
          <cell r="B2647" t="str">
            <v>F-2026-03-600</v>
          </cell>
          <cell r="C2647" t="str">
            <v>BDB-000355</v>
          </cell>
          <cell r="D2647" t="str">
            <v>PVN-004231</v>
          </cell>
          <cell r="E2647" t="str">
            <v>OrthoLite HybridPlus-Recycled CASTLEROCK/18-0201TPX Hybrid 0.12D 25+/-4 Asker C 1.1M 2M 4.5mm</v>
          </cell>
          <cell r="F2647">
            <v>33</v>
          </cell>
        </row>
        <row r="2648">
          <cell r="B2648" t="str">
            <v>F-2026-03-297</v>
          </cell>
          <cell r="C2648" t="str">
            <v>BDB-000113</v>
          </cell>
          <cell r="D2648" t="str">
            <v>PVN-002465</v>
          </cell>
          <cell r="E2648" t="str">
            <v>OrthoLite Regular-Hybrid SEEDPEARL/12-0703TPX Hybrid Flat Sheet 0.11D 25+/-4 Asker C 1.1M 2M 5mm</v>
          </cell>
          <cell r="F2648">
            <v>90</v>
          </cell>
        </row>
        <row r="2649">
          <cell r="B2649" t="str">
            <v>F-2026-03-311</v>
          </cell>
          <cell r="C2649" t="str">
            <v>BDB-000129</v>
          </cell>
          <cell r="D2649" t="str">
            <v>PVN-001550</v>
          </cell>
          <cell r="E2649" t="str">
            <v>OrthoLite Regular-Nike AIR BLUE/16-4134TPX Flat Sheet 0.11D 25+/-4 Asker C 1.1M 1.7M 2mm</v>
          </cell>
          <cell r="F2649">
            <v>5</v>
          </cell>
        </row>
        <row r="2650">
          <cell r="B2650" t="str">
            <v>F-2026-03-357</v>
          </cell>
          <cell r="C2650" t="str">
            <v>BDB-000011</v>
          </cell>
          <cell r="D2650" t="str">
            <v>PVN-000121</v>
          </cell>
          <cell r="E2650" t="str">
            <v>OrthoLite Regular AIR BLUE/16-4134TPX Flat Sheet 0.13D 35+/-4 Asker C 1.1M 2M 12mm</v>
          </cell>
          <cell r="F2650">
            <v>44</v>
          </cell>
        </row>
        <row r="2651">
          <cell r="B2651" t="str">
            <v>F-2026-01-488</v>
          </cell>
          <cell r="C2651" t="str">
            <v>BDB-000011</v>
          </cell>
          <cell r="D2651" t="str">
            <v>PVN-000258</v>
          </cell>
          <cell r="E2651" t="str">
            <v>OrthoLite Regular AIR BLUE/16-4134TPX Flat Sheet 0.13D 35+/-4 Asker C 1.1M 2M 2.5mm</v>
          </cell>
          <cell r="F2651">
            <v>45</v>
          </cell>
        </row>
        <row r="2652">
          <cell r="B2652" t="str">
            <v>F-2026-02-311</v>
          </cell>
          <cell r="C2652" t="str">
            <v>BDB-000129</v>
          </cell>
          <cell r="D2652" t="str">
            <v>PVN-001550</v>
          </cell>
          <cell r="E2652" t="str">
            <v>OrthoLite Regular-Nike AIR BLUE/16-4134TPX 0.11D 25+/-4 Asker C 1.1M 1.7M 2mm</v>
          </cell>
          <cell r="F2652">
            <v>51</v>
          </cell>
        </row>
        <row r="2653">
          <cell r="B2653" t="str">
            <v>F-2026-03-363</v>
          </cell>
          <cell r="C2653" t="str">
            <v>BDB-000057</v>
          </cell>
          <cell r="D2653" t="str">
            <v>PVN-000925</v>
          </cell>
          <cell r="E2653" t="str">
            <v>OrthoLite Ultra YELLOW/13-0858TPX Flat Sheet 0.085D 25+/-4 Asker C 1.1M 2M 5mm</v>
          </cell>
          <cell r="F2653">
            <v>1</v>
          </cell>
        </row>
        <row r="2654">
          <cell r="B2654" t="str">
            <v>F-2026-03-444</v>
          </cell>
          <cell r="C2654" t="str">
            <v>BDB-000125</v>
          </cell>
          <cell r="D2654" t="str">
            <v>PVN-002413</v>
          </cell>
          <cell r="E2654" t="str">
            <v>OrthoLite Regular-Nike AIR BLUE/16-4134TPX 0.11D 25+/-4 Asker C 1.1M 2M 4.2mm</v>
          </cell>
          <cell r="F2654">
            <v>76</v>
          </cell>
        </row>
        <row r="2655">
          <cell r="B2655" t="str">
            <v>F-2026-04-39</v>
          </cell>
          <cell r="C2655" t="str">
            <v>BDB-000200</v>
          </cell>
          <cell r="D2655" t="str">
            <v>PVN-003425</v>
          </cell>
          <cell r="E2655" t="str">
            <v>OrthoLite Ultra SEEDPEARL/12-0703TPX Flat Sheet 0.085D 78-90 Asker F 1.1M 2M 4mm</v>
          </cell>
          <cell r="F2655">
            <v>50</v>
          </cell>
        </row>
        <row r="2656">
          <cell r="B2656" t="str">
            <v>S-2026-04-11</v>
          </cell>
          <cell r="C2656" t="str">
            <v>BDB-000016</v>
          </cell>
          <cell r="D2656" t="str">
            <v>PVN-000179</v>
          </cell>
          <cell r="E2656" t="str">
            <v>OrthoLite Regular GREEN/16-5932TPX Flat Sheet 0.13D 35+/-4 Asker C 1.1M 2M 5mm</v>
          </cell>
          <cell r="F2656">
            <v>1</v>
          </cell>
        </row>
        <row r="2657">
          <cell r="B2657" t="str">
            <v>OIN-2026.03.31-01</v>
          </cell>
          <cell r="C2657" t="str">
            <v>BDB-000356</v>
          </cell>
          <cell r="D2657" t="str">
            <v>PVN-004232</v>
          </cell>
          <cell r="E2657" t="str">
            <v>[116-12300] Eco Lite 15+/-4 Asker C 0.11D Lime Green 14-0452 Tpx 1.10M X 2.00M 47mm</v>
          </cell>
          <cell r="F2657">
            <v>5</v>
          </cell>
        </row>
        <row r="2658">
          <cell r="B2658" t="str">
            <v>OIN-2026.03.28-01</v>
          </cell>
          <cell r="C2658" t="str">
            <v>BDB-000356</v>
          </cell>
          <cell r="D2658" t="str">
            <v>PVN-004232</v>
          </cell>
          <cell r="E2658" t="str">
            <v>[116-12300] Eco Lite 15+/-4 Asker C 0.11D Lime Green 14-0452 Tpx 1.10M X 2.00M 47mm</v>
          </cell>
          <cell r="F2658">
            <v>2</v>
          </cell>
        </row>
        <row r="2659">
          <cell r="B2659" t="str">
            <v>OIN-2026.03.27-05</v>
          </cell>
          <cell r="C2659" t="str">
            <v>BDB-000374</v>
          </cell>
          <cell r="D2659" t="str">
            <v>PVN-004318</v>
          </cell>
          <cell r="E2659" t="str">
            <v>[116-15588] Regular 45+/-4 Asker C 0.15D Fossil 17-0909 Tpx 1.10M X 2.00M 47mm</v>
          </cell>
          <cell r="F2659">
            <v>2</v>
          </cell>
        </row>
        <row r="2660">
          <cell r="B2660" t="str">
            <v>F-2026-03-461</v>
          </cell>
          <cell r="C2660" t="str">
            <v>BDB-000157</v>
          </cell>
          <cell r="D2660" t="str">
            <v>PVN-003244</v>
          </cell>
          <cell r="E2660" t="str">
            <v>OrthoLite X-35-Hybrid-Nike SEEDPEARL/12-0703TPX Hybrid 0.145D 25+/-4 Asker C 1.1M 2M 5.2mm</v>
          </cell>
          <cell r="F2660">
            <v>8</v>
          </cell>
        </row>
        <row r="2661">
          <cell r="B2661" t="str">
            <v>F-2026-03-536</v>
          </cell>
          <cell r="C2661" t="str">
            <v>BDB-000157</v>
          </cell>
          <cell r="D2661" t="str">
            <v>PVN-003642</v>
          </cell>
          <cell r="E2661" t="str">
            <v>OrthoLite X-35-Hybrid-Nike SEEDPEARL/12-0703TPX Hybrid Flat Sheet 0.145D 25+/-4 Asker C 1.1M 2M 6.2mm</v>
          </cell>
          <cell r="F2661">
            <v>3</v>
          </cell>
        </row>
        <row r="2662">
          <cell r="B2662" t="str">
            <v>F-2026-03-457-2</v>
          </cell>
          <cell r="C2662" t="str">
            <v>BDB-000156</v>
          </cell>
          <cell r="D2662" t="str">
            <v>PVN-003243</v>
          </cell>
          <cell r="E2662" t="str">
            <v>OrthoLite X-35-Hybrid-Nike AMAZON/18-6024TPX Hybrid 0.145D 25+/-4 Asker C 1.1M 2M 5.2mm</v>
          </cell>
          <cell r="F2662">
            <v>3</v>
          </cell>
        </row>
        <row r="2663">
          <cell r="B2663" t="str">
            <v>F-2026-03-518</v>
          </cell>
          <cell r="C2663" t="str">
            <v>BDB-000340</v>
          </cell>
          <cell r="D2663" t="str">
            <v>PVN-004177</v>
          </cell>
          <cell r="E2663" t="str">
            <v>OrthoLite Float SEEDPEARL/12-0703TPX Flat Sheet 0.12D 21+/-4 Asker C 1.1M 2M 5.5mm</v>
          </cell>
          <cell r="F2663">
            <v>3</v>
          </cell>
        </row>
        <row r="2664">
          <cell r="B2664" t="str">
            <v>F-2026-03-513</v>
          </cell>
          <cell r="C2664" t="str">
            <v>BDB-000052</v>
          </cell>
          <cell r="D2664" t="str">
            <v>PVN-003603</v>
          </cell>
          <cell r="E2664" t="str">
            <v>OrthoLite X-40 TRUE BLUE/19-4057TPX Flat Sheet 0.16D 25+/-4 Asker C 1.1M 1.47M 12mm</v>
          </cell>
          <cell r="F2664">
            <v>2</v>
          </cell>
        </row>
        <row r="2665">
          <cell r="B2665" t="str">
            <v>F-2026-03-513</v>
          </cell>
          <cell r="C2665" t="str">
            <v>BDB-000052</v>
          </cell>
          <cell r="D2665" t="str">
            <v>PVN-003603</v>
          </cell>
          <cell r="E2665" t="str">
            <v>OrthoLite X-40 TRUE BLUE/19-4057TPX Flat Sheet 0.16D 25+/-4 Asker C 1.1M 1.47M 12mm</v>
          </cell>
          <cell r="F2665">
            <v>5</v>
          </cell>
        </row>
        <row r="2666">
          <cell r="B2666" t="str">
            <v>F-2026-04-03</v>
          </cell>
          <cell r="C2666" t="str">
            <v>BDB-000058</v>
          </cell>
          <cell r="D2666" t="str">
            <v>PVN-001319</v>
          </cell>
          <cell r="E2666" t="str">
            <v>OrthoLite Ultra GREEN/16-5932TPX 0.085D 25+/-4 Asker C 1.1M 2M 5mm</v>
          </cell>
          <cell r="F2666">
            <v>28</v>
          </cell>
        </row>
        <row r="2667">
          <cell r="B2667" t="str">
            <v>F-2026-03-394</v>
          </cell>
          <cell r="C2667" t="str">
            <v>BDB-000234</v>
          </cell>
          <cell r="D2667" t="str">
            <v>PVN-003581</v>
          </cell>
          <cell r="E2667" t="str">
            <v>OrthoLite X-30-Hybrid BROWN SUGAR/17-1134TPX Hybrid Flat Sheet 0.13D 25+/-4 Asker C 1.1M 2M 12mm</v>
          </cell>
          <cell r="F2667">
            <v>5</v>
          </cell>
        </row>
        <row r="2668">
          <cell r="B2668" t="str">
            <v>F-2026-04-07</v>
          </cell>
          <cell r="C2668" t="str">
            <v>BDB-000123</v>
          </cell>
          <cell r="D2668" t="str">
            <v>PVN-003315</v>
          </cell>
          <cell r="E2668" t="str">
            <v>OrthoLite Ultra-Hybrid SEEDPEARL/12-0703TPX Hybrid 0.085D 25+/-4 Asker C 1.1M 2M 3.5mm</v>
          </cell>
          <cell r="F2668">
            <v>2</v>
          </cell>
        </row>
        <row r="2669">
          <cell r="B2669" t="str">
            <v>F-2026-02-196</v>
          </cell>
          <cell r="C2669" t="str">
            <v>BDB-000123</v>
          </cell>
          <cell r="D2669" t="str">
            <v>PVN-003298</v>
          </cell>
          <cell r="E2669" t="str">
            <v>OrthoLite Ultra-Hybrid SEEDPEARL/12-0703TPX Hybrid 0.085D 25+/-4 Asker C 1.1M 2M 4mm</v>
          </cell>
          <cell r="F2669">
            <v>9</v>
          </cell>
        </row>
        <row r="2670">
          <cell r="B2670" t="str">
            <v>F-2026-03-503</v>
          </cell>
          <cell r="C2670" t="str">
            <v>BDB-000051</v>
          </cell>
          <cell r="D2670" t="str">
            <v>PVN-003329</v>
          </cell>
          <cell r="E2670" t="str">
            <v>OrthoLite X-40 TRUE BLUE/19-4057TPX Flat Sheet 0.16D 25+/-4 Asker C 1.1M 1.7M 5.5mm</v>
          </cell>
          <cell r="F2670">
            <v>1</v>
          </cell>
        </row>
        <row r="2671">
          <cell r="B2671" t="str">
            <v>F-2026-03-570</v>
          </cell>
          <cell r="C2671" t="str">
            <v>BDB-000181</v>
          </cell>
          <cell r="D2671" t="str">
            <v>PVN-003238</v>
          </cell>
          <cell r="E2671" t="str">
            <v>OrthoLite Eco LT-Hybrid-Converse SEEDPEARL/12-0703TPX Hybrid Flat Sheet 0.11D 25+/-4 Asker C 1.1M 2M 5mm</v>
          </cell>
          <cell r="F2671">
            <v>10</v>
          </cell>
        </row>
        <row r="2672">
          <cell r="B2672" t="str">
            <v>F-2026-03-557</v>
          </cell>
          <cell r="C2672" t="str">
            <v>BDB-000058</v>
          </cell>
          <cell r="D2672" t="str">
            <v>PVN-001277</v>
          </cell>
          <cell r="E2672" t="str">
            <v>OrthoLite Ultra GREEN/16-5932TPX Flat Sheet 0.085D 25+/-4 Asker C 1.1M 2M 4mm</v>
          </cell>
          <cell r="F2672">
            <v>82</v>
          </cell>
        </row>
        <row r="2673">
          <cell r="B2673" t="str">
            <v>F-2026-04-02</v>
          </cell>
          <cell r="C2673" t="str">
            <v>BDB-000058</v>
          </cell>
          <cell r="D2673" t="str">
            <v>PVN-001277</v>
          </cell>
          <cell r="E2673" t="str">
            <v>OrthoLite Ultra GREEN/16-5932TPX Flat Sheet 0.085D 25+/-4 Asker C 1.1M 2M 4mm</v>
          </cell>
          <cell r="F2673">
            <v>22</v>
          </cell>
        </row>
        <row r="2674">
          <cell r="B2674" t="str">
            <v>F-2026-04-49</v>
          </cell>
          <cell r="C2674" t="str">
            <v>BDB-000058</v>
          </cell>
          <cell r="D2674" t="str">
            <v>PVN-001319</v>
          </cell>
          <cell r="E2674" t="str">
            <v>OrthoLite Ultra GREEN/16-5932TPX Flat Sheet 0.085D 25+/-4 Asker C 1.1M 2M 5mm</v>
          </cell>
          <cell r="F2674">
            <v>7</v>
          </cell>
        </row>
        <row r="2675">
          <cell r="B2675" t="str">
            <v>F-2026-04-34</v>
          </cell>
          <cell r="C2675" t="str">
            <v>BDB-000058</v>
          </cell>
          <cell r="D2675" t="str">
            <v>PVN-001277</v>
          </cell>
          <cell r="E2675" t="str">
            <v>OrthoLite Ultra GREEN/16-5932TPX Flat Sheet 0.085D 25+/-4 Asker C 1.1M 2M 4mm</v>
          </cell>
          <cell r="F2675">
            <v>38</v>
          </cell>
        </row>
        <row r="2676">
          <cell r="B2676" t="str">
            <v>F-2026-02-315</v>
          </cell>
          <cell r="C2676" t="str">
            <v>BDB-000163</v>
          </cell>
          <cell r="D2676" t="str">
            <v>PVN-001556</v>
          </cell>
          <cell r="E2676" t="str">
            <v>OrthoLite Ultra-Nike YELLOW/13-0858TPX 0.085D 25+/-4 Asker C 1.1M 2M 4mm</v>
          </cell>
          <cell r="F2676">
            <v>43</v>
          </cell>
        </row>
        <row r="2677">
          <cell r="B2677" t="str">
            <v>F-2026-03-382</v>
          </cell>
          <cell r="C2677" t="str">
            <v>BDB-000235</v>
          </cell>
          <cell r="D2677" t="str">
            <v>PVN-003576</v>
          </cell>
          <cell r="E2677" t="str">
            <v>OrthoLite X-55-Hybrid FOSSIL/17-0909TPX Hybrid Flat Sheet 0.16D 25+/-4 Asker C 1.1M 1.7M 12mm</v>
          </cell>
          <cell r="F2677">
            <v>11</v>
          </cell>
        </row>
        <row r="2678">
          <cell r="B2678" t="str">
            <v>F-2026-03-526</v>
          </cell>
          <cell r="C2678" t="str">
            <v>BDB-000275</v>
          </cell>
          <cell r="D2678" t="str">
            <v>PVN-003797</v>
          </cell>
          <cell r="E2678" t="str">
            <v>OrthoLite Regular RED/19-1764TPX Flat Sheet 0.15D 45+/-4 Asker C 1.1M 1.7M 3mm</v>
          </cell>
          <cell r="F2678">
            <v>3</v>
          </cell>
        </row>
        <row r="2679">
          <cell r="B2679" t="str">
            <v>F-2026-02-220</v>
          </cell>
          <cell r="C2679" t="str">
            <v>BDB-000123</v>
          </cell>
          <cell r="D2679" t="str">
            <v>PVN-003298</v>
          </cell>
          <cell r="E2679" t="str">
            <v>OrthoLite Ultra-Hybrid SEEDPEARL/12-0703TPX Hybrid 0.085D 25+/-4 Asker C 1.1M 2M 4mm</v>
          </cell>
          <cell r="F2679">
            <v>200</v>
          </cell>
        </row>
        <row r="2680">
          <cell r="B2680" t="str">
            <v>F-2026-03-517</v>
          </cell>
          <cell r="C2680" t="str">
            <v>BDB-000052</v>
          </cell>
          <cell r="D2680" t="str">
            <v>PVN-004308</v>
          </cell>
          <cell r="E2680" t="str">
            <v>OrthoLite X-40 TRUE BLUE/19-4057TPX Flat Sheet 0.16D 25+/-4 Asker C 1.1M 1.47M 3mm</v>
          </cell>
          <cell r="F2680">
            <v>5</v>
          </cell>
        </row>
        <row r="2681">
          <cell r="B2681" t="str">
            <v>F-2026-04-21</v>
          </cell>
          <cell r="C2681" t="str">
            <v>BDB-000229</v>
          </cell>
          <cell r="D2681" t="str">
            <v>PVN-003692</v>
          </cell>
          <cell r="E2681" t="str">
            <v>OrthoLite Ultra-Hybrid SEEDPEARL/12-0703TPX Hybrid Flat Sheet 0.095D 33+/-4 Asker C 1.1M 2M 15.5mm</v>
          </cell>
          <cell r="F2681">
            <v>3</v>
          </cell>
        </row>
        <row r="2682">
          <cell r="B2682" t="str">
            <v>F-2026-03-609</v>
          </cell>
          <cell r="C2682" t="str">
            <v>BDB-000329</v>
          </cell>
          <cell r="D2682" t="str">
            <v>PVN-004140</v>
          </cell>
          <cell r="E2682" t="str">
            <v>OrthoLite Ultra YELLOW/13-0858TPX Flat Sheet 0.095D 33+/-4 Asker C 1.1M 2M 4.5mm</v>
          </cell>
          <cell r="F2682">
            <v>3</v>
          </cell>
        </row>
        <row r="2683">
          <cell r="B2683" t="str">
            <v>F-2026-03-569</v>
          </cell>
          <cell r="C2683" t="str">
            <v>BDB-000329</v>
          </cell>
          <cell r="D2683" t="str">
            <v>PVN-004140</v>
          </cell>
          <cell r="E2683" t="str">
            <v>OrthoLite Ultra YELLOW/13-0858TPX Flat Sheet 0.095D 33+/-4 Asker C 1.1M 2M 4.5mm</v>
          </cell>
          <cell r="F2683">
            <v>5</v>
          </cell>
        </row>
        <row r="2684">
          <cell r="B2684" t="str">
            <v>F-2026-03-606</v>
          </cell>
          <cell r="C2684" t="str">
            <v>BDB-000094</v>
          </cell>
          <cell r="D2684" t="str">
            <v>PVN-004255</v>
          </cell>
          <cell r="E2684" t="str">
            <v>OrthoLite Eco LT 300C(ADIDAS BLUEBIRD) Flat Sheet 0.11D 25+/-4 Asker C 1.1M 1.47M 12mm</v>
          </cell>
          <cell r="F2684">
            <v>8</v>
          </cell>
        </row>
        <row r="2685">
          <cell r="B2685" t="str">
            <v>F-2026-02-229</v>
          </cell>
          <cell r="C2685" t="str">
            <v>BDB-000123</v>
          </cell>
          <cell r="D2685" t="str">
            <v>PVN-003299</v>
          </cell>
          <cell r="E2685" t="str">
            <v>OrthoLite Ultra-Hybrid SEEDPEARL/12-0703TPX Hybrid 0.085D 25+/-4 Asker C 1.1M 2M 3mm</v>
          </cell>
          <cell r="F2685">
            <v>7</v>
          </cell>
        </row>
        <row r="2686">
          <cell r="B2686" t="str">
            <v>S-2026-04-07</v>
          </cell>
          <cell r="C2686" t="str">
            <v>BDB-000051</v>
          </cell>
          <cell r="D2686" t="str">
            <v>PVN-003450</v>
          </cell>
          <cell r="E2686" t="str">
            <v>OrthoLite X-40 TRUE BLUE/19-4057TPX Flat Sheet 0.16D 25+/-4 Asker C 1.1M 1.7M 6mm</v>
          </cell>
          <cell r="F2686">
            <v>3</v>
          </cell>
        </row>
        <row r="2687">
          <cell r="B2687" t="str">
            <v>S-2026-03-146</v>
          </cell>
          <cell r="C2687" t="str">
            <v>BDB-000051</v>
          </cell>
          <cell r="D2687" t="str">
            <v>PVN-003450</v>
          </cell>
          <cell r="E2687" t="str">
            <v>OrthoLite X-40 TRUE BLUE/19-4057TPX Flat Sheet 0.16D 25+/-4 Asker C 1.1M 1.7M 6mm</v>
          </cell>
          <cell r="F2687">
            <v>2</v>
          </cell>
        </row>
        <row r="2688">
          <cell r="B2688" t="str">
            <v>S-2026-03-133</v>
          </cell>
          <cell r="C2688" t="str">
            <v>BDB-000015</v>
          </cell>
          <cell r="D2688" t="str">
            <v>PVN-000110</v>
          </cell>
          <cell r="E2688" t="str">
            <v>OrthoLite Regular AIR BLUE/16-4134TPX Flat Sheet 0.13D 25+/-4 Asker C 1.1M 2M 3mm</v>
          </cell>
          <cell r="F2688">
            <v>1</v>
          </cell>
        </row>
        <row r="2689">
          <cell r="B2689" t="str">
            <v>F-2026-03-583</v>
          </cell>
          <cell r="C2689" t="str">
            <v>BDB-000338</v>
          </cell>
          <cell r="D2689" t="str">
            <v>PVN-004172</v>
          </cell>
          <cell r="E2689" t="str">
            <v>OrthoLite X-35-Hybrid SEEDPEARL/12-0703TPX Hybrid Flat Sheet 0.145D 25+/-4 Asker C 1.1M 1.47M 11mm</v>
          </cell>
          <cell r="F2689">
            <v>11</v>
          </cell>
        </row>
        <row r="2690">
          <cell r="B2690" t="str">
            <v>F-2026-04-28</v>
          </cell>
          <cell r="C2690" t="str">
            <v>BDB-000313</v>
          </cell>
          <cell r="D2690" t="str">
            <v>PVN-004061</v>
          </cell>
          <cell r="E2690" t="str">
            <v>OrthoLite X-55 RED/19-1764TPX Flat Sheet 0.16D 25+/-4 Asker C 1.1M 1.47M 18mm</v>
          </cell>
          <cell r="F2690">
            <v>28</v>
          </cell>
        </row>
        <row r="2691">
          <cell r="B2691" t="str">
            <v>F-2026-02-252</v>
          </cell>
          <cell r="C2691" t="str">
            <v>BDB-000348</v>
          </cell>
          <cell r="D2691" t="str">
            <v>PVN-004195</v>
          </cell>
          <cell r="E2691" t="str">
            <v>OrthoLite IMPERIAL SEEDPEARL/12-0703TPX Flat Sheet 0.22D 25+/-4 Asker C 1.1M 1.47M 4mm</v>
          </cell>
          <cell r="F2691">
            <v>86</v>
          </cell>
        </row>
        <row r="2692">
          <cell r="B2692" t="str">
            <v>F-2026-03-614</v>
          </cell>
          <cell r="C2692" t="str">
            <v>BDB-000321</v>
          </cell>
          <cell r="D2692" t="str">
            <v>PVN-004104</v>
          </cell>
          <cell r="E2692" t="str">
            <v>OrthoLite Float BLUE ATOLL/16-4535TPX Flat Sheet 0.12D 21+/-4 Asker C 1.1M 2M 5mm</v>
          </cell>
          <cell r="F2692">
            <v>4</v>
          </cell>
        </row>
        <row r="2693">
          <cell r="B2693" t="str">
            <v>F-2026-02-110</v>
          </cell>
          <cell r="C2693" t="str">
            <v>BDB-000097</v>
          </cell>
          <cell r="D2693" t="str">
            <v>PVN-002478</v>
          </cell>
          <cell r="E2693" t="str">
            <v>OrthoLite Eco LT-Hybrid SEEDPEARL/12-0703TPX Hybrid 0.11D 25+/-4 Asker C 1.1M 2M 4mm</v>
          </cell>
          <cell r="F2693">
            <v>100</v>
          </cell>
        </row>
        <row r="2694">
          <cell r="B2694" t="str">
            <v>F-2026-03-554</v>
          </cell>
          <cell r="C2694" t="str">
            <v>BDB-000057</v>
          </cell>
          <cell r="D2694" t="str">
            <v>PVN-000981</v>
          </cell>
          <cell r="E2694" t="str">
            <v>OrthoLite Ultra YELLOW/13-0858TPX Flat Sheet 0.085D 25+/-4 Asker C 1.1M 2M 3mm</v>
          </cell>
          <cell r="F2694">
            <v>28</v>
          </cell>
        </row>
        <row r="2695">
          <cell r="B2695" t="str">
            <v>F-2026-03-297</v>
          </cell>
          <cell r="C2695" t="str">
            <v>BDB-000113</v>
          </cell>
          <cell r="D2695" t="str">
            <v>PVN-002465</v>
          </cell>
          <cell r="E2695" t="str">
            <v>OrthoLite Regular-Hybrid SEEDPEARL/12-0703TPX Hybrid Flat Sheet 0.11D 25+/-4 Asker C 1.1M 2M 5mm</v>
          </cell>
          <cell r="F2695">
            <v>4</v>
          </cell>
        </row>
        <row r="2696">
          <cell r="B2696" t="str">
            <v>F-2026-03-580</v>
          </cell>
          <cell r="C2696" t="str">
            <v>BDB-000334</v>
          </cell>
          <cell r="D2696" t="str">
            <v>PVN-004327</v>
          </cell>
          <cell r="E2696" t="str">
            <v>OrthoLite X-55-Hybrid FOSSIL/17-0909TPX Hybrid Flat Sheet 0.16D 25+/-4 Asker C 1.1M 2M 6mm</v>
          </cell>
          <cell r="F2696">
            <v>14</v>
          </cell>
        </row>
        <row r="2697">
          <cell r="B2697" t="str">
            <v>F-2026-04-26</v>
          </cell>
          <cell r="C2697" t="str">
            <v>BDB-000154</v>
          </cell>
          <cell r="D2697" t="str">
            <v>PVN-003347</v>
          </cell>
          <cell r="E2697" t="str">
            <v>OrthoLite X-40-Nike TRUE BLUE/19-4057TPX Flat Sheet 0.16D 35+/-4 Asker C 1.1M 1.7M 4mm</v>
          </cell>
          <cell r="F2697">
            <v>29</v>
          </cell>
        </row>
        <row r="2698">
          <cell r="B2698" t="str">
            <v>S-2026-03-145</v>
          </cell>
          <cell r="C2698" t="str">
            <v>BDB-000367</v>
          </cell>
          <cell r="D2698" t="str">
            <v>PVN-004370</v>
          </cell>
          <cell r="E2698" t="str">
            <v>OrthoLite Ultra LIME GREEN/14-0452TPX Flat Sheet 0.095D 33+/-4 Asker C 1.1M 2M 13mm</v>
          </cell>
          <cell r="F2698">
            <v>1</v>
          </cell>
        </row>
        <row r="2699">
          <cell r="B2699" t="str">
            <v>S-2026-03-130</v>
          </cell>
          <cell r="C2699" t="str">
            <v>BDB-000085</v>
          </cell>
          <cell r="D2699" t="str">
            <v>PVN-004270</v>
          </cell>
          <cell r="E2699" t="str">
            <v>OrthoLite Eco LT GREY/17-1501TPX Flat Sheet 0.11D 25+/-4 Asker C 1.1M 2M 12mm</v>
          </cell>
          <cell r="F2699">
            <v>5</v>
          </cell>
        </row>
        <row r="2700">
          <cell r="B2700" t="str">
            <v>F-2026-03-578</v>
          </cell>
          <cell r="C2700" t="str">
            <v>BDB-000107</v>
          </cell>
          <cell r="D2700" t="str">
            <v>PVN-003482</v>
          </cell>
          <cell r="E2700" t="str">
            <v>OrthoLite Eco LT-Hybrid SEEDPEARL/12-0703TPX Hybrid Flat Sheet 0.11D 25+/-4 Asker C 1.1M 1.47M 4mm</v>
          </cell>
          <cell r="F2700">
            <v>1</v>
          </cell>
        </row>
        <row r="2701">
          <cell r="B2701" t="str">
            <v>F-2026-03-561</v>
          </cell>
          <cell r="C2701" t="str">
            <v>BDB-000123</v>
          </cell>
          <cell r="D2701" t="str">
            <v>PVN-003315</v>
          </cell>
          <cell r="E2701" t="str">
            <v>OrthoLite Ultra-Hybrid SEEDPEARL/12-0703TPX Hybrid 0.085D 25+/-4 Asker C 1.1M 2M 3.5mm</v>
          </cell>
          <cell r="F2701">
            <v>2</v>
          </cell>
        </row>
        <row r="2702">
          <cell r="B2702" t="str">
            <v>F-2026-03-567</v>
          </cell>
          <cell r="C2702" t="str">
            <v>BDB-000123</v>
          </cell>
          <cell r="D2702" t="str">
            <v>PVN-002539</v>
          </cell>
          <cell r="E2702" t="str">
            <v>OrthoLite Ultra-Hybrid SEEDPEARL/12-0703TPX Hybrid Flat Sheet 0.085D 25+/-4 Asker C 1.1M 2M 5mm</v>
          </cell>
          <cell r="F2702">
            <v>6</v>
          </cell>
        </row>
        <row r="2703">
          <cell r="B2703" t="str">
            <v>F-2026-04-11</v>
          </cell>
          <cell r="C2703" t="str">
            <v>BDB-000094</v>
          </cell>
          <cell r="D2703" t="str">
            <v>PVN-004255</v>
          </cell>
          <cell r="E2703" t="str">
            <v>OrthoLite Eco LT 300C(ADIDAS BLUEBIRD) Flat Sheet 0.11D 25+/-4 Asker C 1.1M 1.47M 12mm</v>
          </cell>
          <cell r="F2703">
            <v>20</v>
          </cell>
        </row>
        <row r="2704">
          <cell r="B2704" t="str">
            <v>F-2026-04-04</v>
          </cell>
          <cell r="C2704" t="str">
            <v>BDB-000056</v>
          </cell>
          <cell r="D2704" t="str">
            <v>PVN-001983</v>
          </cell>
          <cell r="E2704" t="str">
            <v>OrthoLite X-40 SEEDPEARL/12-0703TPX Flat Sheet 0.16D 25+/-4 Asker C 1.1M 1.7M 5mm</v>
          </cell>
          <cell r="F2704">
            <v>40</v>
          </cell>
        </row>
        <row r="2705">
          <cell r="B2705" t="str">
            <v>F-2026-03-608</v>
          </cell>
          <cell r="C2705" t="str">
            <v>BDB-000123</v>
          </cell>
          <cell r="D2705" t="str">
            <v>PVN-002539</v>
          </cell>
          <cell r="E2705" t="str">
            <v>OrthoLite Ultra-Hybrid SEEDPEARL/12-0703TPX Hybrid Flat Sheet 0.085D 25+/-4 Asker C 1.1M 2M 5mm</v>
          </cell>
          <cell r="F2705">
            <v>4</v>
          </cell>
        </row>
        <row r="2706">
          <cell r="B2706" t="str">
            <v>F-2026-01-488</v>
          </cell>
          <cell r="C2706" t="str">
            <v>BDB-000011</v>
          </cell>
          <cell r="D2706" t="str">
            <v>PVN-000258</v>
          </cell>
          <cell r="E2706" t="str">
            <v>OrthoLite Regular AIR BLUE/16-4134TPX Flat Sheet 0.13D 35+/-4 Asker C 1.1M 2M 2.5mm</v>
          </cell>
          <cell r="F2706">
            <v>2</v>
          </cell>
        </row>
        <row r="2707">
          <cell r="B2707" t="str">
            <v>F-2026-03-565</v>
          </cell>
          <cell r="C2707" t="str">
            <v>BDB-000008</v>
          </cell>
          <cell r="D2707" t="str">
            <v>PVN-000505</v>
          </cell>
          <cell r="E2707" t="str">
            <v>OrthoLite Regular LIME GREEN/14-0452TPX Flat Sheet 0.11D 25+/-4 Asker C 1.1M 2M 12mm</v>
          </cell>
          <cell r="F2707">
            <v>20</v>
          </cell>
        </row>
        <row r="2708">
          <cell r="B2708" t="str">
            <v>F-2026-03-562</v>
          </cell>
          <cell r="C2708" t="str">
            <v>BDB-000200</v>
          </cell>
          <cell r="D2708" t="str">
            <v>PVN-003425</v>
          </cell>
          <cell r="E2708" t="str">
            <v>OrthoLite Ultra SEEDPEARL/12-0703TPX Flat Sheet 0.085D 78-90 Asker F 1.1M 2M 4mm</v>
          </cell>
          <cell r="F2708">
            <v>5</v>
          </cell>
        </row>
        <row r="2709">
          <cell r="B2709" t="str">
            <v>F-2026-04-19</v>
          </cell>
          <cell r="C2709" t="str">
            <v>BDB-000123</v>
          </cell>
          <cell r="D2709" t="str">
            <v>PVN-002973</v>
          </cell>
          <cell r="E2709" t="str">
            <v>OrthoLite Ultra-Hybrid SEEDPEARL/12-0703TPX Hybrid Flat Sheet 0.085D 25+/-4 Asker C 1.1M 2M 4.5mm</v>
          </cell>
          <cell r="F2709">
            <v>28</v>
          </cell>
        </row>
        <row r="2710">
          <cell r="B2710" t="str">
            <v>F-2026-03-604</v>
          </cell>
          <cell r="C2710" t="str">
            <v>BDB-000346</v>
          </cell>
          <cell r="D2710" t="str">
            <v>PVN-004188</v>
          </cell>
          <cell r="E2710" t="str">
            <v>OrthoLite Float NEUTRAL GRAY/17-4402TPX Flat Sheet 0.12D 21+/-4 Asker C 1.1M 1.47M 5.5mm</v>
          </cell>
          <cell r="F2710">
            <v>1</v>
          </cell>
        </row>
        <row r="2711">
          <cell r="B2711" t="str">
            <v>S-2026-04-08</v>
          </cell>
          <cell r="C2711" t="str">
            <v>BDB-000339</v>
          </cell>
          <cell r="D2711" t="str">
            <v>PVN-004178</v>
          </cell>
          <cell r="E2711" t="str">
            <v>OrthoLite Float NEUTRAL GRAY/17-4402TPX Flat Sheet 0.12D 21+/-4 Asker C 1.1M 2M 5.5mm</v>
          </cell>
          <cell r="F2711">
            <v>2</v>
          </cell>
        </row>
        <row r="2712">
          <cell r="B2712" t="str">
            <v>S-2026-04-05</v>
          </cell>
          <cell r="C2712" t="str">
            <v>BDB-000097</v>
          </cell>
          <cell r="D2712" t="str">
            <v>PVN-002473</v>
          </cell>
          <cell r="E2712" t="str">
            <v>OrthoLite Eco LT-Hybrid SEEDPEARL/12-0703TPX Hybrid 0.11D 25+/-4 Asker C 1.1M 2M 5mm</v>
          </cell>
          <cell r="F2712">
            <v>2</v>
          </cell>
        </row>
        <row r="2713">
          <cell r="B2713" t="str">
            <v>S-2026-04-06</v>
          </cell>
          <cell r="C2713" t="str">
            <v>BDB-000113</v>
          </cell>
          <cell r="D2713" t="str">
            <v>PVN-002688</v>
          </cell>
          <cell r="E2713" t="str">
            <v>OrthoLite Regular-Hybrid SEEDPEARL/12-0703TPX Hybrid 0.11D 25+/-4 Asker C 1.1M 2M 6mm</v>
          </cell>
          <cell r="F2713">
            <v>3</v>
          </cell>
        </row>
        <row r="2714">
          <cell r="B2714" t="str">
            <v>S-2026-03-144</v>
          </cell>
          <cell r="C2714" t="str">
            <v>BDB-000008</v>
          </cell>
          <cell r="D2714" t="str">
            <v>PVN-000412</v>
          </cell>
          <cell r="E2714" t="str">
            <v>OrthoLite Regular LIME GREEN/14-0452TPX Flat Sheet 0.11D 25+/-4 Asker C 1.1M 2M 5mm</v>
          </cell>
          <cell r="F2714">
            <v>1</v>
          </cell>
        </row>
        <row r="2715">
          <cell r="B2715" t="str">
            <v>F-2026-04-39</v>
          </cell>
          <cell r="C2715" t="str">
            <v>BDB-000200</v>
          </cell>
          <cell r="D2715" t="str">
            <v>PVN-003425</v>
          </cell>
          <cell r="E2715" t="str">
            <v>OrthoLite Ultra SEEDPEARL/12-0703TPX Flat Sheet 0.085D 78-90 Asker F 1.1M 2M 4mm</v>
          </cell>
          <cell r="F2715">
            <v>3</v>
          </cell>
        </row>
        <row r="2716">
          <cell r="B2716" t="str">
            <v>BÙ KHO</v>
          </cell>
          <cell r="C2716" t="str">
            <v>BDB-000362</v>
          </cell>
          <cell r="D2716" t="str">
            <v>PVN-004289</v>
          </cell>
          <cell r="E2716" t="str">
            <v>OrthoLite X-60-Hybrid SEEDPEARL/12-0703TPX Hybrid Flat Sheet 0.19D 28+/-4 Asker C 1.1M 1.7M 12mm</v>
          </cell>
          <cell r="F2716">
            <v>7</v>
          </cell>
        </row>
        <row r="2717">
          <cell r="B2717" t="str">
            <v>F-2026-04-32</v>
          </cell>
          <cell r="C2717" t="str">
            <v>BDB-000097</v>
          </cell>
          <cell r="D2717" t="str">
            <v>PVN-002473</v>
          </cell>
          <cell r="E2717" t="str">
            <v>OrthoLite Eco LT-Hybrid SEEDPEARL/12-0703TPX Hybrid Flat Sheet 0.11D 25+/-4 Asker C 1.1M 2M 5mm</v>
          </cell>
          <cell r="F2717">
            <v>11</v>
          </cell>
        </row>
        <row r="2718">
          <cell r="B2718" t="str">
            <v>F-2026-04-25</v>
          </cell>
          <cell r="C2718" t="str">
            <v>BDB-000113</v>
          </cell>
          <cell r="D2718" t="str">
            <v>PVN-003796</v>
          </cell>
          <cell r="E2718" t="str">
            <v>OrthoLite Regular-Hybrid SEEDPEARL/12-0703TPX Hybrid Flat Sheet 0.11D 25+/-4 Asker C 1.1M 2M 3.5mm</v>
          </cell>
          <cell r="F2718">
            <v>1</v>
          </cell>
        </row>
        <row r="2719">
          <cell r="B2719" t="str">
            <v>F-2026-04-05</v>
          </cell>
          <cell r="C2719" t="str">
            <v>BDB-000113</v>
          </cell>
          <cell r="D2719" t="str">
            <v>PVN-002501</v>
          </cell>
          <cell r="E2719" t="str">
            <v>OrthoLite Regular-Hybrid SEEDPEARL/12-0703TPX Hybrid Flat Sheet 0.11D 25+/-4 Asker C 1.1M 2M 2mm</v>
          </cell>
          <cell r="F2719">
            <v>2</v>
          </cell>
        </row>
        <row r="2720">
          <cell r="B2720" t="str">
            <v>F-2026-04-35</v>
          </cell>
          <cell r="C2720" t="str">
            <v>BDB-000113</v>
          </cell>
          <cell r="D2720" t="str">
            <v>PVN-002501</v>
          </cell>
          <cell r="E2720" t="str">
            <v>OrthoLite Regular-Hybrid SEEDPEARL/12-0703TPX Hybrid Flat Sheet 0.11D 25+/-4 Asker C 1.1M 2M 2mm</v>
          </cell>
          <cell r="F2720">
            <v>9</v>
          </cell>
        </row>
        <row r="2721">
          <cell r="B2721" t="str">
            <v>F-2026-03-552</v>
          </cell>
          <cell r="C2721" t="str">
            <v>BDB-000011</v>
          </cell>
          <cell r="D2721" t="str">
            <v>PVN-000127</v>
          </cell>
          <cell r="E2721" t="str">
            <v>OrthoLite Regular AIR BLUE/16-4134TPX Flat Sheet 0.13D 35+/-4 Asker C 1.1M 2M 5mm</v>
          </cell>
          <cell r="F2721">
            <v>14</v>
          </cell>
        </row>
        <row r="2722">
          <cell r="B2722" t="str">
            <v>F-2026-04-33</v>
          </cell>
          <cell r="C2722" t="str">
            <v>BDB-000011</v>
          </cell>
          <cell r="D2722" t="str">
            <v>PVN-000126</v>
          </cell>
          <cell r="E2722" t="str">
            <v>OrthoLite Regular AIR BLUE/16-4134TPX Flat Sheet 0.13D 35+/-4 Asker C 1.1M 2M 4mm</v>
          </cell>
          <cell r="F2722">
            <v>17</v>
          </cell>
        </row>
        <row r="2723">
          <cell r="B2723" t="str">
            <v>F-2026-03-566</v>
          </cell>
          <cell r="C2723" t="str">
            <v>BDB-000011</v>
          </cell>
          <cell r="D2723" t="str">
            <v>PVN-000121</v>
          </cell>
          <cell r="E2723" t="str">
            <v>OrthoLite Regular AIR BLUE/16-4134TPX Flat Sheet 0.13D 35+/-4 Asker C 1.1M 2M 12mm</v>
          </cell>
          <cell r="F2723">
            <v>13</v>
          </cell>
        </row>
        <row r="2724">
          <cell r="B2724" t="str">
            <v>F-2026-04-38</v>
          </cell>
          <cell r="C2724" t="str">
            <v>BDB-000200</v>
          </cell>
          <cell r="D2724" t="str">
            <v>PVN-003418</v>
          </cell>
          <cell r="E2724" t="str">
            <v>OrthoLite Ultra SEEDPEARL/12-0703TPX Flat Sheet 0.085D 78-90 Asker F 1.1M 2M 5mm</v>
          </cell>
          <cell r="F2724">
            <v>5</v>
          </cell>
        </row>
        <row r="2725">
          <cell r="B2725" t="str">
            <v>F-2026-04-08</v>
          </cell>
          <cell r="C2725" t="str">
            <v>BDB-000200</v>
          </cell>
          <cell r="D2725" t="str">
            <v>PVN-003425</v>
          </cell>
          <cell r="E2725" t="str">
            <v>OrthoLite Ultra SEEDPEARL/12-0703TPX Flat Sheet 0.085D 78-90 Asker F 1.1M 2M 4mm</v>
          </cell>
          <cell r="F2725">
            <v>7</v>
          </cell>
        </row>
        <row r="2726">
          <cell r="B2726" t="str">
            <v>F-2026-04-42</v>
          </cell>
          <cell r="C2726" t="str">
            <v>BDB-000039</v>
          </cell>
          <cell r="D2726" t="str">
            <v>PVN-002019</v>
          </cell>
          <cell r="E2726" t="str">
            <v>OrthoLite Regular NEUTRAL GRAY/17-4402TPX Flat Sheet 0.11D 25+/-4 Asker C 1.1M 2M 13mm</v>
          </cell>
          <cell r="F2726">
            <v>13</v>
          </cell>
        </row>
        <row r="2727">
          <cell r="B2727" t="str">
            <v>F-2026-04-46</v>
          </cell>
          <cell r="C2727" t="str">
            <v>BDB-000332</v>
          </cell>
          <cell r="D2727" t="str">
            <v>PVN-004146</v>
          </cell>
          <cell r="E2727" t="str">
            <v>OrthoLite X-25 CASTLEROCK/18-0201TPX Flat Sheet 0.12D 20+/-4 Asker C 1.1M 2M 5.5mm</v>
          </cell>
          <cell r="F2727">
            <v>13</v>
          </cell>
        </row>
        <row r="2728">
          <cell r="B2728" t="str">
            <v>F-2026-04-01</v>
          </cell>
          <cell r="C2728" t="str">
            <v>BDB-000083</v>
          </cell>
          <cell r="D2728" t="str">
            <v>PVN-000930</v>
          </cell>
          <cell r="E2728" t="str">
            <v>OrthoLite Eco LT 300C(ADIDAS BLUEBIRD) Flat Sheet 0.11D 25+/-4 Asker C 1.1M 2M 3mm</v>
          </cell>
          <cell r="F2728">
            <v>7</v>
          </cell>
        </row>
        <row r="2729">
          <cell r="B2729" t="str">
            <v>F-2026-03-553</v>
          </cell>
          <cell r="C2729" t="str">
            <v>BDB-000083</v>
          </cell>
          <cell r="D2729" t="str">
            <v>PVN-000930</v>
          </cell>
          <cell r="E2729" t="str">
            <v>OrthoLite Eco LT 300C(ADIDAS BLUEBIRD) Flat Sheet 0.11D 25+/-4 Asker C 1.1M 2M 3mm</v>
          </cell>
          <cell r="F2729">
            <v>2</v>
          </cell>
        </row>
        <row r="2730">
          <cell r="B2730" t="str">
            <v>F-2026-04-27</v>
          </cell>
          <cell r="C2730" t="str">
            <v>BDB-000334</v>
          </cell>
          <cell r="D2730" t="str">
            <v>PVN-004327</v>
          </cell>
          <cell r="E2730" t="str">
            <v>OrthoLite X-55-Hybrid FOSSIL/17-0909TPX Hybrid Flat Sheet 0.16D 25+/-4 Asker C 1.1M 2M 6mm</v>
          </cell>
          <cell r="F2730">
            <v>2</v>
          </cell>
        </row>
        <row r="2731">
          <cell r="B2731" t="str">
            <v>F-2026-04-41</v>
          </cell>
          <cell r="C2731" t="str">
            <v>BDB-000346</v>
          </cell>
          <cell r="D2731" t="str">
            <v>PVN-004188</v>
          </cell>
          <cell r="E2731" t="str">
            <v>OrthoLite Float NEUTRAL GRAY/17-4402TPX Flat Sheet 0.12D 21+/-4 Asker C 1.1M 1.47M 5.5mm</v>
          </cell>
          <cell r="F2731">
            <v>1</v>
          </cell>
        </row>
        <row r="2732">
          <cell r="B2732" t="str">
            <v>F-2026-04-10</v>
          </cell>
          <cell r="C2732" t="str">
            <v>BDB-000346</v>
          </cell>
          <cell r="D2732" t="str">
            <v>PVN-004188</v>
          </cell>
          <cell r="E2732" t="str">
            <v>OrthoLite Float NEUTRAL GRAY/17-4402TPX Flat Sheet 0.12D 21+/-4 Asker C 1.1M 1.47M 5.5mm</v>
          </cell>
          <cell r="F2732">
            <v>44</v>
          </cell>
        </row>
        <row r="2733">
          <cell r="B2733" t="str">
            <v>F-2026-04-36</v>
          </cell>
          <cell r="C2733" t="str">
            <v>BDB-000113</v>
          </cell>
          <cell r="D2733" t="str">
            <v>PVN-003161</v>
          </cell>
          <cell r="E2733" t="str">
            <v>OrthoLite Regular-Hybrid SEEDPEARL/12-0703TPX Hybrid Flat Sheet 0.11D 25+/-4 Asker C 1.1M 2M 2.5mm</v>
          </cell>
          <cell r="F2733">
            <v>3</v>
          </cell>
        </row>
        <row r="2734">
          <cell r="B2734" t="str">
            <v>F-2026-04-45</v>
          </cell>
          <cell r="C2734" t="str">
            <v>BDB-000113</v>
          </cell>
          <cell r="D2734" t="str">
            <v>PVN-002699</v>
          </cell>
          <cell r="E2734" t="str">
            <v>OrthoLite Regular-Hybrid SEEDPEARL/12-0703TPX Hybrid Flat Sheet 0.11D 25+/-4 Asker C 1.1M 2M 4.5mm</v>
          </cell>
          <cell r="F2734">
            <v>3</v>
          </cell>
        </row>
        <row r="2735">
          <cell r="B2735" t="str">
            <v>F-2026-04-13</v>
          </cell>
          <cell r="C2735" t="str">
            <v>BDB-000054</v>
          </cell>
          <cell r="D2735" t="str">
            <v>PVN-003895</v>
          </cell>
          <cell r="E2735" t="str">
            <v>OrthoLite X-40 RED/19-1764TPX Flat Sheet 0.16D 25+/-4 Asker C 1.1M 1.7M 5mm</v>
          </cell>
          <cell r="F2735">
            <v>8</v>
          </cell>
        </row>
        <row r="2736">
          <cell r="B2736" t="str">
            <v>F-2026-04-18</v>
          </cell>
          <cell r="C2736" t="str">
            <v>BDB-000077</v>
          </cell>
          <cell r="D2736" t="str">
            <v>PVN-004147</v>
          </cell>
          <cell r="E2736" t="str">
            <v>OrthoLite X-25 SEEDPEARL/12-0703TPX Flat Sheet 0.12D 20+/-4 Asker C 1.1M 2M 5.5mm</v>
          </cell>
          <cell r="F2736">
            <v>1</v>
          </cell>
        </row>
        <row r="2737">
          <cell r="B2737" t="str">
            <v>S-2026-03-143</v>
          </cell>
          <cell r="C2737" t="str">
            <v>BDB-000275</v>
          </cell>
          <cell r="D2737" t="str">
            <v>PVN-004362</v>
          </cell>
          <cell r="E2737" t="str">
            <v>OrthoLite Regular RED/19-1764TPX Flat Sheet 0.15D 45+/-4 Asker C 1.1M 1.7M 2mm</v>
          </cell>
          <cell r="F2737">
            <v>1</v>
          </cell>
        </row>
        <row r="2738">
          <cell r="B2738" t="str">
            <v>S-2026-04-01</v>
          </cell>
          <cell r="C2738" t="str">
            <v>BDB-000291</v>
          </cell>
          <cell r="D2738" t="str">
            <v>PVN-004250</v>
          </cell>
          <cell r="E2738" t="str">
            <v>OrthoLite Regular NEUTRAL GRAY/17-4402TPX Flat Sheet 0.15D 45+/-4 Asker C 1.1M 1.7M 9.8mm</v>
          </cell>
          <cell r="F2738">
            <v>2</v>
          </cell>
        </row>
        <row r="2739">
          <cell r="B2739" t="str">
            <v>S-2026-03-142</v>
          </cell>
          <cell r="C2739" t="str">
            <v>BDB-000054</v>
          </cell>
          <cell r="D2739" t="str">
            <v>PVN-003895</v>
          </cell>
          <cell r="E2739" t="str">
            <v>OrthoLite X-40 RED/19-1764TPX Flat Sheet 0.16D 25+/-4 Asker C 1.1M 1.7M 5mm</v>
          </cell>
          <cell r="F2739">
            <v>2</v>
          </cell>
        </row>
        <row r="2740">
          <cell r="B2740" t="str">
            <v>F-2026-03-576</v>
          </cell>
          <cell r="C2740" t="str">
            <v>BDB-000157</v>
          </cell>
          <cell r="D2740" t="str">
            <v>PVN-003642</v>
          </cell>
          <cell r="E2740" t="str">
            <v>OrthoLite X-35-Hybrid-Nike SEEDPEARL/12-0703TPX Hybrid Flat Sheet 0.145D 25+/-4 Asker C 1.1M 2M 6.2mm</v>
          </cell>
          <cell r="F2740">
            <v>15</v>
          </cell>
        </row>
        <row r="2741">
          <cell r="B2741" t="str">
            <v>F-2026-04-16</v>
          </cell>
          <cell r="C2741" t="str">
            <v>BDB-000076</v>
          </cell>
          <cell r="D2741" t="str">
            <v>PVN-003494</v>
          </cell>
          <cell r="E2741" t="str">
            <v>OrthoLite X-25 BILLIARD/16-5427TPX Flat Sheet 0.12D 20+/-4 Asker C 1.1M 2M 5.5mm</v>
          </cell>
          <cell r="F2741">
            <v>5</v>
          </cell>
        </row>
        <row r="2742">
          <cell r="B2742" t="str">
            <v>F-2026-03-551</v>
          </cell>
          <cell r="C2742" t="str">
            <v>BDB-000224</v>
          </cell>
          <cell r="D2742" t="str">
            <v>PVN-004258</v>
          </cell>
          <cell r="E2742" t="str">
            <v>OrthoLite R&amp;R CASTLEROCK/18-0201TPX Flat Sheet 0.16D 15+/-4 Asker C 1.1M 1.7M 3mm</v>
          </cell>
          <cell r="F2742">
            <v>5</v>
          </cell>
        </row>
        <row r="2743">
          <cell r="B2743" t="str">
            <v>F-2026-03-573</v>
          </cell>
          <cell r="C2743" t="str">
            <v>BDB-000076</v>
          </cell>
          <cell r="D2743" t="str">
            <v>PVN-004091</v>
          </cell>
          <cell r="E2743" t="str">
            <v>OrthoLite X-25 BILLIARD/16-5427TPX Flat Sheet 0.12D 20+/-4 Asker C 1.1M 2M 3.5mm</v>
          </cell>
          <cell r="F2743">
            <v>6</v>
          </cell>
        </row>
        <row r="2744">
          <cell r="B2744" t="str">
            <v>F-2026-02-286</v>
          </cell>
          <cell r="C2744" t="str">
            <v>BDB-000175</v>
          </cell>
          <cell r="D2744" t="str">
            <v>PVN-002966</v>
          </cell>
          <cell r="E2744" t="str">
            <v>OrthoLite Ultra-Hybrid-Nike SEEDPEARL/12-0703TPX Hybrid 0.085D 25+/-4 Asker C 1.1M 2M 4mm</v>
          </cell>
          <cell r="F2744">
            <v>6</v>
          </cell>
        </row>
        <row r="2745">
          <cell r="B2745" t="str">
            <v>F-2026-03-299</v>
          </cell>
          <cell r="C2745" t="str">
            <v>BDB-000113</v>
          </cell>
          <cell r="D2745" t="str">
            <v>PVN-002465</v>
          </cell>
          <cell r="E2745" t="str">
            <v>OrthoLite Regular-Hybrid SEEDPEARL/12-0703TPX Hybrid Flat Sheet 0.11D 25+/-4 Asker C 1.1M 2M 5mm</v>
          </cell>
          <cell r="F2745">
            <v>90</v>
          </cell>
        </row>
        <row r="2746">
          <cell r="B2746" t="str">
            <v>F-2026-03-581</v>
          </cell>
          <cell r="C2746" t="str">
            <v>BDB-000076</v>
          </cell>
          <cell r="D2746" t="str">
            <v>PVN-004119</v>
          </cell>
          <cell r="E2746" t="str">
            <v>OrthoLite X-25 BILLIARD/16-5427TPX Flat Sheet 0.12D 20+/-4 Asker C 1.1M 2M 6.5mm</v>
          </cell>
          <cell r="F2746">
            <v>2</v>
          </cell>
        </row>
        <row r="2747">
          <cell r="B2747" t="str">
            <v>F-2026-04-50</v>
          </cell>
          <cell r="C2747" t="str">
            <v>BDB-000339</v>
          </cell>
          <cell r="D2747" t="str">
            <v>PVN-004223</v>
          </cell>
          <cell r="E2747" t="str">
            <v>OrthoLite Float NEUTRAL GRAY/17-4402TPX Flat Sheet 0.12D 21+/-4 Asker C 1.1M 2M 5mm</v>
          </cell>
          <cell r="F2747">
            <v>1</v>
          </cell>
        </row>
        <row r="2748">
          <cell r="B2748" t="str">
            <v>F-2026-02-232</v>
          </cell>
          <cell r="C2748" t="str">
            <v>BDB-000123</v>
          </cell>
          <cell r="D2748" t="str">
            <v>PVN-003299</v>
          </cell>
          <cell r="E2748" t="str">
            <v>OrthoLite Ultra-Hybrid SEEDPEARL/12-0703TPX Hybrid 0.085D 25+/-4 Asker C 1.1M 2M 3mm</v>
          </cell>
          <cell r="F2748">
            <v>116</v>
          </cell>
        </row>
        <row r="2749">
          <cell r="B2749" t="str">
            <v>F-2026-04-71</v>
          </cell>
          <cell r="C2749" t="str">
            <v>BDB-000058</v>
          </cell>
          <cell r="D2749" t="str">
            <v>PVN-001319</v>
          </cell>
          <cell r="E2749" t="str">
            <v>OrthoLite Ultra GREEN/16-5932TPX Flat Sheet 0.085D 25+/-4 Asker C 1.1M 2M 5mm</v>
          </cell>
          <cell r="F2749">
            <v>16</v>
          </cell>
        </row>
        <row r="2750">
          <cell r="B2750" t="str">
            <v>F-2026-03-366</v>
          </cell>
          <cell r="C2750" t="str">
            <v>BDB-000113</v>
          </cell>
          <cell r="D2750" t="str">
            <v>PVN-002465</v>
          </cell>
          <cell r="E2750" t="str">
            <v>OrthoLite Regular-Hybrid SEEDPEARL/12-0703TPX Hybrid Flat Sheet 0.11D 25+/-4 Asker C 1.1M 2M 5mm</v>
          </cell>
          <cell r="F2750">
            <v>90</v>
          </cell>
        </row>
        <row r="2751">
          <cell r="B2751" t="str">
            <v>F-2026-01-394-1</v>
          </cell>
          <cell r="C2751" t="str">
            <v>BDB-000160</v>
          </cell>
          <cell r="D2751" t="str">
            <v>PVN-001562</v>
          </cell>
          <cell r="E2751" t="str">
            <v>OrthoLite Ultra-Nike LIME GREEN/14-0452TPX 0.085D 25+/-4 Asker C 1.1M 2M 4mm</v>
          </cell>
          <cell r="F2751">
            <v>29</v>
          </cell>
        </row>
        <row r="2752">
          <cell r="B2752" t="str">
            <v>F-2026-02-178</v>
          </cell>
          <cell r="C2752" t="str">
            <v>BDB-000209</v>
          </cell>
          <cell r="D2752" t="str">
            <v>PVN-003537</v>
          </cell>
          <cell r="E2752" t="str">
            <v>OrthoLite HybridPlus-Recycled MINT GREEN/11-4805TPX Hybrid 0.12D 25+/-4 Asker C 1.1M 2M 4.5mm</v>
          </cell>
          <cell r="F2752">
            <v>162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640D-FD0C-4850-BC22-B87E3E534D8C}">
  <sheetPr>
    <tabColor rgb="FFFF0000"/>
    <pageSetUpPr fitToPage="1"/>
  </sheetPr>
  <dimension ref="A1:AP8689"/>
  <sheetViews>
    <sheetView tabSelected="1" zoomScale="30" zoomScaleNormal="30" zoomScaleSheetLayoutView="50" workbookViewId="0">
      <pane xSplit="1" ySplit="10" topLeftCell="B212" activePane="bottomRight" state="frozen"/>
      <selection pane="topRight" activeCell="B1" sqref="B1"/>
      <selection pane="bottomLeft" activeCell="A11" sqref="A11"/>
      <selection pane="bottomRight" activeCell="B215" sqref="B215"/>
    </sheetView>
  </sheetViews>
  <sheetFormatPr defaultColWidth="9.109375" defaultRowHeight="26.4" x14ac:dyDescent="0.3"/>
  <cols>
    <col min="1" max="1" width="38" style="303" customWidth="1"/>
    <col min="2" max="2" width="43.5546875" style="303" customWidth="1"/>
    <col min="3" max="3" width="29.44140625" style="170" customWidth="1"/>
    <col min="4" max="4" width="23.5546875" style="15" customWidth="1"/>
    <col min="5" max="5" width="34.33203125" style="303" bestFit="1" customWidth="1"/>
    <col min="6" max="6" width="30.44140625" style="14" customWidth="1"/>
    <col min="7" max="7" width="211.109375" style="14" customWidth="1"/>
    <col min="8" max="8" width="25.6640625" style="304" customWidth="1"/>
    <col min="9" max="9" width="20.5546875" style="304" customWidth="1"/>
    <col min="10" max="10" width="22.33203125" style="305" customWidth="1"/>
    <col min="11" max="11" width="20.44140625" style="14" customWidth="1"/>
    <col min="12" max="12" width="15.6640625" style="14" customWidth="1"/>
    <col min="13" max="13" width="24" style="14" customWidth="1"/>
    <col min="14" max="14" width="25.6640625" style="306" customWidth="1"/>
    <col min="15" max="15" width="23.6640625" style="44" customWidth="1"/>
    <col min="16" max="16" width="19.33203125" style="44" customWidth="1"/>
    <col min="17" max="17" width="29" style="111" customWidth="1"/>
    <col min="18" max="18" width="29.5546875" style="307" customWidth="1"/>
    <col min="19" max="19" width="34.6640625" style="14" customWidth="1"/>
    <col min="20" max="20" width="19.44140625" style="308" customWidth="1"/>
    <col min="21" max="21" width="25.6640625" style="309" customWidth="1"/>
    <col min="22" max="22" width="32.33203125" style="310" customWidth="1"/>
    <col min="23" max="23" width="17.5546875" style="14" customWidth="1"/>
    <col min="24" max="24" width="24.6640625" style="14" customWidth="1"/>
    <col min="25" max="25" width="27" style="14" customWidth="1"/>
    <col min="26" max="26" width="18.44140625" style="14" customWidth="1"/>
    <col min="27" max="27" width="28.6640625" style="14" bestFit="1" customWidth="1"/>
    <col min="28" max="31" width="18.33203125" style="15" customWidth="1"/>
    <col min="32" max="32" width="9.33203125" style="14" bestFit="1" customWidth="1"/>
    <col min="33" max="33" width="13.44140625" style="14" bestFit="1" customWidth="1"/>
    <col min="34" max="16384" width="9.109375" style="14"/>
  </cols>
  <sheetData>
    <row r="1" spans="1:32" ht="70.2" x14ac:dyDescent="0.3">
      <c r="A1" s="1">
        <f>900*5.5</f>
        <v>4950</v>
      </c>
      <c r="B1" s="1"/>
      <c r="C1" s="2">
        <f>A1*0.9</f>
        <v>4455</v>
      </c>
      <c r="D1" s="3">
        <f>SUM($J$10:$J$3106)+200</f>
        <v>10160</v>
      </c>
      <c r="E1" s="4">
        <f>A1-D1</f>
        <v>-5210</v>
      </c>
      <c r="F1" s="5">
        <f>C1-D1</f>
        <v>-5705</v>
      </c>
      <c r="G1" s="6" t="s">
        <v>0</v>
      </c>
      <c r="H1" s="7"/>
      <c r="I1" s="7"/>
      <c r="J1" s="7"/>
      <c r="K1" s="8"/>
      <c r="L1" s="7"/>
      <c r="M1" s="7"/>
      <c r="N1" s="7"/>
      <c r="O1" s="7"/>
      <c r="P1" s="7"/>
      <c r="Q1" s="7"/>
      <c r="R1" s="9"/>
      <c r="S1" s="7"/>
      <c r="T1" s="7"/>
      <c r="U1" s="10"/>
      <c r="V1" s="11" t="s">
        <v>1</v>
      </c>
      <c r="W1" s="12"/>
      <c r="X1" s="13" t="s">
        <v>2</v>
      </c>
    </row>
    <row r="2" spans="1:32" ht="45" x14ac:dyDescent="0.3">
      <c r="A2" s="16">
        <v>46125</v>
      </c>
      <c r="B2" s="16"/>
      <c r="C2" s="17" t="s">
        <v>3</v>
      </c>
      <c r="D2" s="18">
        <f>13*10*2*90%</f>
        <v>234</v>
      </c>
      <c r="E2" s="19"/>
      <c r="F2" s="20">
        <f>13*9*2+15</f>
        <v>249</v>
      </c>
      <c r="G2" s="21"/>
      <c r="H2" s="16">
        <v>46125</v>
      </c>
      <c r="I2" s="22" t="s">
        <v>3</v>
      </c>
      <c r="J2" s="23">
        <f>11*10*2*90%</f>
        <v>198</v>
      </c>
      <c r="K2" s="24"/>
      <c r="L2" s="25">
        <f>11*10*2+15</f>
        <v>235</v>
      </c>
      <c r="M2" s="26"/>
      <c r="N2" s="16">
        <v>46125</v>
      </c>
      <c r="O2" s="22" t="s">
        <v>3</v>
      </c>
      <c r="P2" s="27">
        <f>8*8*90%</f>
        <v>57.6</v>
      </c>
      <c r="Q2" s="24"/>
      <c r="R2" s="25">
        <f>10*10*1+16</f>
        <v>116</v>
      </c>
      <c r="S2" s="26"/>
      <c r="T2" s="28">
        <f t="shared" ref="T2:T7" si="0">F2+L2+R2</f>
        <v>600</v>
      </c>
      <c r="U2" s="29"/>
      <c r="V2" s="16">
        <v>46125</v>
      </c>
      <c r="W2" s="30">
        <f>900/2</f>
        <v>450</v>
      </c>
      <c r="X2" s="31"/>
      <c r="Y2" s="32"/>
      <c r="Z2" s="33" t="s">
        <v>4</v>
      </c>
      <c r="AA2" s="34" t="s">
        <v>5</v>
      </c>
      <c r="AB2" s="35"/>
      <c r="AC2" s="36"/>
    </row>
    <row r="3" spans="1:32" ht="45" x14ac:dyDescent="0.3">
      <c r="A3" s="16">
        <v>46126</v>
      </c>
      <c r="B3" s="16"/>
      <c r="C3" s="17" t="s">
        <v>6</v>
      </c>
      <c r="D3" s="18">
        <f>13*10*2*90%</f>
        <v>234</v>
      </c>
      <c r="E3" s="19">
        <f>D2+D3</f>
        <v>468</v>
      </c>
      <c r="F3" s="20">
        <f>13*9*3+6</f>
        <v>357</v>
      </c>
      <c r="G3" s="21">
        <f>F2+F3</f>
        <v>606</v>
      </c>
      <c r="H3" s="16">
        <v>46126</v>
      </c>
      <c r="I3" s="22" t="s">
        <v>6</v>
      </c>
      <c r="J3" s="23">
        <f>11*10*2*90%</f>
        <v>198</v>
      </c>
      <c r="K3" s="24">
        <f>J2+J3</f>
        <v>396</v>
      </c>
      <c r="L3" s="25">
        <f>11*10*3+6</f>
        <v>336</v>
      </c>
      <c r="M3" s="26">
        <f>L2+L3</f>
        <v>571</v>
      </c>
      <c r="N3" s="16">
        <v>46126</v>
      </c>
      <c r="O3" s="22" t="s">
        <v>6</v>
      </c>
      <c r="P3" s="27">
        <f>8*8*90%</f>
        <v>57.6</v>
      </c>
      <c r="Q3" s="24">
        <f>P2+P3</f>
        <v>115.2</v>
      </c>
      <c r="R3" s="25">
        <f>10*10*2+7</f>
        <v>207</v>
      </c>
      <c r="S3" s="26">
        <f>R2+R3</f>
        <v>323</v>
      </c>
      <c r="T3" s="28">
        <f t="shared" si="0"/>
        <v>900</v>
      </c>
      <c r="U3" s="29">
        <f>T2+T3</f>
        <v>1500</v>
      </c>
      <c r="V3" s="16">
        <v>46126</v>
      </c>
      <c r="W3" s="30">
        <v>900</v>
      </c>
      <c r="X3" s="31">
        <f>W2+W3</f>
        <v>1350</v>
      </c>
      <c r="Y3" s="32" t="s">
        <v>7</v>
      </c>
      <c r="Z3" s="33">
        <f>SUMIF($AB:$AB,$Y3,$N:$N)</f>
        <v>0</v>
      </c>
      <c r="AA3" s="34">
        <f>$M$8-Z3</f>
        <v>1915</v>
      </c>
      <c r="AB3" s="35"/>
      <c r="AC3" s="36" t="e">
        <f>AA3/$AA$6*$O$9</f>
        <v>#VALUE!</v>
      </c>
    </row>
    <row r="4" spans="1:32" ht="45" x14ac:dyDescent="0.3">
      <c r="A4" s="16">
        <v>46127</v>
      </c>
      <c r="B4" s="16"/>
      <c r="C4" s="17" t="s">
        <v>8</v>
      </c>
      <c r="D4" s="18">
        <f>13*10*2*90%</f>
        <v>234</v>
      </c>
      <c r="E4" s="19">
        <f>E3+D4</f>
        <v>702</v>
      </c>
      <c r="F4" s="20">
        <f>13*9*3+6</f>
        <v>357</v>
      </c>
      <c r="G4" s="21">
        <f>G3+F4</f>
        <v>963</v>
      </c>
      <c r="H4" s="16">
        <v>46127</v>
      </c>
      <c r="I4" s="22" t="s">
        <v>8</v>
      </c>
      <c r="J4" s="23">
        <f>11*10*2*90%</f>
        <v>198</v>
      </c>
      <c r="K4" s="37">
        <v>0</v>
      </c>
      <c r="L4" s="25">
        <f>11*10*3+6</f>
        <v>336</v>
      </c>
      <c r="M4" s="26">
        <f>M3+L4</f>
        <v>907</v>
      </c>
      <c r="N4" s="16">
        <v>46127</v>
      </c>
      <c r="O4" s="22" t="s">
        <v>8</v>
      </c>
      <c r="P4" s="27">
        <f>8*8*90%</f>
        <v>57.6</v>
      </c>
      <c r="Q4" s="37">
        <v>0</v>
      </c>
      <c r="R4" s="25">
        <f>10*10*2+7</f>
        <v>207</v>
      </c>
      <c r="S4" s="26">
        <f>S3+R4</f>
        <v>530</v>
      </c>
      <c r="T4" s="28">
        <f t="shared" si="0"/>
        <v>900</v>
      </c>
      <c r="U4" s="29">
        <f>U3+T4</f>
        <v>2400</v>
      </c>
      <c r="V4" s="16">
        <v>46127</v>
      </c>
      <c r="W4" s="30">
        <v>900</v>
      </c>
      <c r="X4" s="31">
        <f>W4+X3</f>
        <v>2250</v>
      </c>
      <c r="Y4" s="38" t="s">
        <v>9</v>
      </c>
      <c r="Z4" s="33">
        <f>SUMIF($AB:$AB,$Y4,$N:$N)</f>
        <v>0</v>
      </c>
      <c r="AA4" s="34">
        <f>$G$8-Z4</f>
        <v>1834</v>
      </c>
      <c r="AB4" s="35"/>
      <c r="AC4" s="36" t="e">
        <f>AA4/$AA$6*$O$9</f>
        <v>#VALUE!</v>
      </c>
    </row>
    <row r="5" spans="1:32" ht="45" x14ac:dyDescent="0.3">
      <c r="A5" s="16">
        <v>46128</v>
      </c>
      <c r="B5" s="16"/>
      <c r="C5" s="17" t="s">
        <v>10</v>
      </c>
      <c r="D5" s="18">
        <f>13*10*2*90%</f>
        <v>234</v>
      </c>
      <c r="E5" s="19">
        <f>E4+D5</f>
        <v>936</v>
      </c>
      <c r="F5" s="20">
        <f>13*9*3+6-200</f>
        <v>157</v>
      </c>
      <c r="G5" s="21">
        <f>G4+F5</f>
        <v>1120</v>
      </c>
      <c r="H5" s="16">
        <v>46128</v>
      </c>
      <c r="I5" s="22" t="s">
        <v>10</v>
      </c>
      <c r="J5" s="23">
        <f>11*10*2*90%</f>
        <v>198</v>
      </c>
      <c r="K5" s="24">
        <v>0</v>
      </c>
      <c r="L5" s="25">
        <f>11*10*3+6</f>
        <v>336</v>
      </c>
      <c r="M5" s="26">
        <f>M4+L5</f>
        <v>1243</v>
      </c>
      <c r="N5" s="16">
        <v>46128</v>
      </c>
      <c r="O5" s="22" t="s">
        <v>10</v>
      </c>
      <c r="P5" s="27">
        <f>8*8*90%</f>
        <v>57.6</v>
      </c>
      <c r="Q5" s="24">
        <v>0</v>
      </c>
      <c r="R5" s="25">
        <f>10*10*2+7-100</f>
        <v>107</v>
      </c>
      <c r="S5" s="26">
        <f>S4+R5</f>
        <v>637</v>
      </c>
      <c r="T5" s="28">
        <f t="shared" si="0"/>
        <v>600</v>
      </c>
      <c r="U5" s="29">
        <f>U4+T5</f>
        <v>3000</v>
      </c>
      <c r="V5" s="16">
        <v>46128</v>
      </c>
      <c r="W5" s="30">
        <v>900</v>
      </c>
      <c r="X5" s="31">
        <f>W5+X4</f>
        <v>3150</v>
      </c>
      <c r="Y5" s="39" t="s">
        <v>11</v>
      </c>
      <c r="Z5" s="40">
        <f>SUMIF($AB:$AB,$Y5,$N:$N)</f>
        <v>0</v>
      </c>
      <c r="AA5" s="41">
        <f>$S$8-Z5</f>
        <v>0</v>
      </c>
      <c r="AB5" s="42"/>
      <c r="AC5" s="43" t="e">
        <f>AA5/$AA$6*$O$9</f>
        <v>#VALUE!</v>
      </c>
    </row>
    <row r="6" spans="1:32" ht="43.8" x14ac:dyDescent="0.3">
      <c r="A6" s="16">
        <v>46129</v>
      </c>
      <c r="B6" s="16"/>
      <c r="C6" s="17" t="s">
        <v>12</v>
      </c>
      <c r="D6" s="18">
        <f>13*10*1*90%</f>
        <v>117</v>
      </c>
      <c r="E6" s="19">
        <f>E5+D6</f>
        <v>1053</v>
      </c>
      <c r="F6" s="20">
        <f>13*9*3+6</f>
        <v>357</v>
      </c>
      <c r="G6" s="21">
        <f>G5+F6</f>
        <v>1477</v>
      </c>
      <c r="H6" s="16">
        <v>46129</v>
      </c>
      <c r="I6" s="22" t="s">
        <v>12</v>
      </c>
      <c r="J6" s="23">
        <f>11*10*2*90%</f>
        <v>198</v>
      </c>
      <c r="K6" s="24">
        <v>0</v>
      </c>
      <c r="L6" s="25">
        <f>11*10*3+6</f>
        <v>336</v>
      </c>
      <c r="M6" s="26">
        <f>M5+L6</f>
        <v>1579</v>
      </c>
      <c r="N6" s="16">
        <v>46129</v>
      </c>
      <c r="O6" s="22" t="s">
        <v>12</v>
      </c>
      <c r="P6" s="27">
        <f>8*8*90%</f>
        <v>57.6</v>
      </c>
      <c r="Q6" s="24">
        <v>0</v>
      </c>
      <c r="R6" s="25">
        <f>10*10*2+7</f>
        <v>207</v>
      </c>
      <c r="S6" s="26">
        <f>S5+R6</f>
        <v>844</v>
      </c>
      <c r="T6" s="28">
        <f t="shared" si="0"/>
        <v>900</v>
      </c>
      <c r="U6" s="29">
        <f>U5+T6</f>
        <v>3900</v>
      </c>
      <c r="V6" s="16">
        <v>46129</v>
      </c>
      <c r="W6" s="30">
        <v>900</v>
      </c>
      <c r="X6" s="31">
        <f>W6+X5</f>
        <v>4050</v>
      </c>
      <c r="Y6" s="44"/>
      <c r="AA6" s="45">
        <f>SUM(AA3:AA5)</f>
        <v>3749</v>
      </c>
      <c r="AB6" s="46"/>
      <c r="AC6" s="45" t="e">
        <f>SUM(AC3:AC5)</f>
        <v>#VALUE!</v>
      </c>
    </row>
    <row r="7" spans="1:32" ht="43.8" x14ac:dyDescent="0.3">
      <c r="A7" s="16">
        <v>46130</v>
      </c>
      <c r="B7" s="16"/>
      <c r="C7" s="17" t="s">
        <v>13</v>
      </c>
      <c r="D7" s="18">
        <f>13*10*2*90%</f>
        <v>234</v>
      </c>
      <c r="E7" s="19">
        <f>E6+D7</f>
        <v>1287</v>
      </c>
      <c r="F7" s="20">
        <f>13*9*3+6</f>
        <v>357</v>
      </c>
      <c r="G7" s="21">
        <f>G6+F7</f>
        <v>1834</v>
      </c>
      <c r="H7" s="16">
        <v>46130</v>
      </c>
      <c r="I7" s="22" t="s">
        <v>13</v>
      </c>
      <c r="J7" s="23">
        <f>11*10*1*90%</f>
        <v>99</v>
      </c>
      <c r="K7" s="24">
        <v>0</v>
      </c>
      <c r="L7" s="25">
        <f>11*10*3+6</f>
        <v>336</v>
      </c>
      <c r="M7" s="26">
        <f>M6+L7</f>
        <v>1915</v>
      </c>
      <c r="N7" s="16">
        <v>46130</v>
      </c>
      <c r="O7" s="22" t="s">
        <v>13</v>
      </c>
      <c r="P7" s="27">
        <v>0</v>
      </c>
      <c r="Q7" s="24">
        <v>0</v>
      </c>
      <c r="R7" s="25">
        <f>10*10*2+7</f>
        <v>207</v>
      </c>
      <c r="S7" s="26">
        <f>S6+R7</f>
        <v>1051</v>
      </c>
      <c r="T7" s="28">
        <f t="shared" si="0"/>
        <v>900</v>
      </c>
      <c r="U7" s="29">
        <f>U6+T7</f>
        <v>4800</v>
      </c>
      <c r="V7" s="16">
        <v>46130</v>
      </c>
      <c r="W7" s="30">
        <v>900</v>
      </c>
      <c r="X7" s="31">
        <f>W7+X6</f>
        <v>4950</v>
      </c>
      <c r="Y7" s="44"/>
      <c r="AA7" s="47"/>
      <c r="AB7" s="46"/>
      <c r="AC7" s="48"/>
    </row>
    <row r="8" spans="1:32" s="60" customFormat="1" ht="43.8" x14ac:dyDescent="0.3">
      <c r="A8" s="16">
        <v>46131</v>
      </c>
      <c r="B8" s="16"/>
      <c r="C8" s="49" t="s">
        <v>14</v>
      </c>
      <c r="D8" s="50"/>
      <c r="E8" s="51"/>
      <c r="F8" s="52"/>
      <c r="G8" s="21">
        <f>G7+F8</f>
        <v>1834</v>
      </c>
      <c r="H8" s="16">
        <v>46131</v>
      </c>
      <c r="I8" s="49" t="s">
        <v>14</v>
      </c>
      <c r="J8" s="53"/>
      <c r="K8" s="54"/>
      <c r="L8" s="55"/>
      <c r="M8" s="54">
        <f>M7+L8</f>
        <v>1915</v>
      </c>
      <c r="N8" s="16">
        <v>46131</v>
      </c>
      <c r="O8" s="49" t="s">
        <v>14</v>
      </c>
      <c r="P8" s="56"/>
      <c r="Q8" s="54"/>
      <c r="R8" s="55"/>
      <c r="S8" s="54"/>
      <c r="T8" s="57"/>
      <c r="U8" s="29">
        <f>U7+T8</f>
        <v>4800</v>
      </c>
      <c r="V8" s="16">
        <v>46131</v>
      </c>
      <c r="W8" s="58">
        <v>900</v>
      </c>
      <c r="X8" s="31">
        <f>W8+X7</f>
        <v>5850</v>
      </c>
      <c r="Y8" s="59"/>
      <c r="AA8" s="61"/>
      <c r="AB8" s="62"/>
      <c r="AC8" s="63"/>
      <c r="AD8" s="64"/>
      <c r="AE8" s="64"/>
    </row>
    <row r="9" spans="1:32" ht="129.6" x14ac:dyDescent="0.3">
      <c r="A9" s="65">
        <f>900*6.5</f>
        <v>5850</v>
      </c>
      <c r="B9" s="65"/>
      <c r="C9" s="66">
        <f>A9+J9</f>
        <v>-4110</v>
      </c>
      <c r="D9" s="67"/>
      <c r="E9" s="68">
        <f>I9/3.5</f>
        <v>2845.7142857142858</v>
      </c>
      <c r="F9" s="69">
        <f>J9/6.5</f>
        <v>-1532.3076923076924</v>
      </c>
      <c r="G9" s="70" t="s">
        <v>15</v>
      </c>
      <c r="H9" s="71">
        <f>-SUBTOTAL(9,H10:H3353)</f>
        <v>-267534</v>
      </c>
      <c r="I9" s="71">
        <f>SUBTOTAL(9,I10:I3353)</f>
        <v>9960</v>
      </c>
      <c r="J9" s="71">
        <f>-SUBTOTAL(9,J10:J3353)</f>
        <v>-9960</v>
      </c>
      <c r="K9" s="72">
        <f>16700/850</f>
        <v>19.647058823529413</v>
      </c>
      <c r="L9" s="73"/>
      <c r="M9" s="74">
        <f>J9/3</f>
        <v>-3320</v>
      </c>
      <c r="N9" s="75"/>
      <c r="O9" s="76" t="s">
        <v>16</v>
      </c>
      <c r="P9" s="77"/>
      <c r="Q9" s="78">
        <v>45258</v>
      </c>
      <c r="R9" s="79"/>
      <c r="S9" s="74"/>
      <c r="T9" s="79"/>
      <c r="U9" s="80"/>
      <c r="V9" s="44"/>
      <c r="Y9" s="44"/>
    </row>
    <row r="10" spans="1:32" s="94" customFormat="1" ht="124.8" x14ac:dyDescent="0.3">
      <c r="A10" s="81" t="s">
        <v>17</v>
      </c>
      <c r="B10" s="81" t="s">
        <v>18</v>
      </c>
      <c r="C10" s="82" t="s">
        <v>19</v>
      </c>
      <c r="D10" s="82" t="s">
        <v>20</v>
      </c>
      <c r="E10" s="83" t="s">
        <v>21</v>
      </c>
      <c r="F10" s="82" t="s">
        <v>22</v>
      </c>
      <c r="G10" s="82" t="s">
        <v>622</v>
      </c>
      <c r="H10" s="82" t="s">
        <v>23</v>
      </c>
      <c r="I10" s="82" t="s">
        <v>24</v>
      </c>
      <c r="J10" s="82" t="s">
        <v>25</v>
      </c>
      <c r="K10" s="82" t="s">
        <v>26</v>
      </c>
      <c r="L10" s="82" t="s">
        <v>27</v>
      </c>
      <c r="M10" s="82" t="s">
        <v>28</v>
      </c>
      <c r="N10" s="84" t="s">
        <v>29</v>
      </c>
      <c r="O10" s="82" t="s">
        <v>30</v>
      </c>
      <c r="P10" s="82" t="s">
        <v>31</v>
      </c>
      <c r="Q10" s="85" t="s">
        <v>32</v>
      </c>
      <c r="R10" s="82" t="s">
        <v>33</v>
      </c>
      <c r="S10" s="86" t="s">
        <v>34</v>
      </c>
      <c r="T10" s="82" t="s">
        <v>35</v>
      </c>
      <c r="U10" s="87" t="s">
        <v>36</v>
      </c>
      <c r="V10" s="88" t="s">
        <v>37</v>
      </c>
      <c r="W10" s="89" t="s">
        <v>38</v>
      </c>
      <c r="X10" s="89" t="s">
        <v>39</v>
      </c>
      <c r="Y10" s="89" t="s">
        <v>40</v>
      </c>
      <c r="Z10" s="90" t="s">
        <v>41</v>
      </c>
      <c r="AA10" s="91" t="s">
        <v>42</v>
      </c>
      <c r="AB10" s="92" t="s">
        <v>43</v>
      </c>
      <c r="AC10" s="93" t="s">
        <v>44</v>
      </c>
      <c r="AD10" s="92" t="s">
        <v>45</v>
      </c>
      <c r="AE10" s="92" t="s">
        <v>46</v>
      </c>
    </row>
    <row r="11" spans="1:32" s="111" customFormat="1" ht="60" x14ac:dyDescent="0.3">
      <c r="A11" s="95"/>
      <c r="B11" s="95"/>
      <c r="C11" s="96"/>
      <c r="D11" s="97"/>
      <c r="E11" s="98"/>
      <c r="F11" s="96"/>
      <c r="G11" s="99" t="s">
        <v>0</v>
      </c>
      <c r="H11" s="100"/>
      <c r="I11" s="100"/>
      <c r="J11" s="100"/>
      <c r="K11" s="96"/>
      <c r="L11" s="96"/>
      <c r="M11" s="96"/>
      <c r="N11" s="101"/>
      <c r="O11" s="96"/>
      <c r="P11" s="96"/>
      <c r="Q11" s="102"/>
      <c r="R11" s="103"/>
      <c r="S11" s="92"/>
      <c r="T11" s="104"/>
      <c r="U11" s="105"/>
      <c r="V11" s="106"/>
      <c r="W11" s="107"/>
      <c r="X11" s="107"/>
      <c r="Y11" s="107"/>
      <c r="Z11" s="108" t="b">
        <f>R11=S11</f>
        <v>1</v>
      </c>
      <c r="AA11" s="109"/>
      <c r="AB11" s="110"/>
      <c r="AC11" s="110"/>
      <c r="AD11" s="110"/>
      <c r="AE11" s="110"/>
    </row>
    <row r="12" spans="1:32" s="111" customFormat="1" ht="60" x14ac:dyDescent="0.3">
      <c r="A12" s="112" t="s">
        <v>47</v>
      </c>
      <c r="B12" s="113" t="s">
        <v>48</v>
      </c>
      <c r="C12" s="114" t="s">
        <v>49</v>
      </c>
      <c r="D12" s="115" t="s">
        <v>50</v>
      </c>
      <c r="E12" s="116" t="s">
        <v>51</v>
      </c>
      <c r="F12" s="117" t="s">
        <v>52</v>
      </c>
      <c r="G12" s="118" t="s">
        <v>53</v>
      </c>
      <c r="H12" s="119">
        <v>42</v>
      </c>
      <c r="I12" s="120">
        <v>3</v>
      </c>
      <c r="J12" s="121">
        <v>3</v>
      </c>
      <c r="K12" s="117" t="s">
        <v>54</v>
      </c>
      <c r="L12" s="117" t="s">
        <v>55</v>
      </c>
      <c r="M12" s="117" t="s">
        <v>56</v>
      </c>
      <c r="N12" s="122">
        <v>2</v>
      </c>
      <c r="O12" s="93" t="s">
        <v>57</v>
      </c>
      <c r="P12" s="123" t="s">
        <v>58</v>
      </c>
      <c r="Q12" s="124">
        <v>46123</v>
      </c>
      <c r="R12" s="125">
        <f>S12-1</f>
        <v>46125</v>
      </c>
      <c r="S12" s="126">
        <v>46126</v>
      </c>
      <c r="T12" s="127" t="s">
        <v>59</v>
      </c>
      <c r="U12" s="128"/>
      <c r="V12" s="129">
        <f>U12-N12</f>
        <v>-2</v>
      </c>
      <c r="W12" s="130">
        <v>0</v>
      </c>
      <c r="X12" s="130">
        <v>0</v>
      </c>
      <c r="Y12" s="130">
        <v>42</v>
      </c>
      <c r="Z12" s="108" t="b">
        <v>1</v>
      </c>
      <c r="AA12" s="108"/>
      <c r="AB12" s="108"/>
      <c r="AC12" s="108"/>
      <c r="AD12" s="108"/>
      <c r="AE12" s="131" t="e">
        <f>SUMIF('[2]TONG XUAT BUN 2026'!$B:$F,A12,'[2]TONG XUAT BUN 2026'!$F:$F)</f>
        <v>#VALUE!</v>
      </c>
      <c r="AF12" s="111" t="s">
        <v>60</v>
      </c>
    </row>
    <row r="13" spans="1:32" s="111" customFormat="1" ht="60" x14ac:dyDescent="0.3">
      <c r="A13" s="132"/>
      <c r="B13" s="132"/>
      <c r="C13" s="133"/>
      <c r="D13" s="134"/>
      <c r="E13" s="135"/>
      <c r="F13" s="136"/>
      <c r="G13" s="136"/>
      <c r="H13" s="137"/>
      <c r="I13" s="138"/>
      <c r="J13" s="139"/>
      <c r="K13" s="136"/>
      <c r="L13" s="140"/>
      <c r="M13" s="136"/>
      <c r="N13" s="141"/>
      <c r="O13" s="142"/>
      <c r="P13" s="143"/>
      <c r="Q13" s="144"/>
      <c r="R13" s="145"/>
      <c r="S13" s="146"/>
      <c r="T13" s="147"/>
      <c r="U13" s="128"/>
      <c r="V13" s="129">
        <f t="shared" ref="V13:V76" si="1">U13-N13</f>
        <v>0</v>
      </c>
      <c r="W13" s="130"/>
      <c r="X13" s="130"/>
      <c r="Y13" s="130"/>
      <c r="Z13" s="108"/>
      <c r="AA13" s="108"/>
      <c r="AB13" s="108"/>
      <c r="AC13" s="108"/>
      <c r="AD13" s="108"/>
      <c r="AE13" s="108"/>
      <c r="AF13" s="111" t="s">
        <v>60</v>
      </c>
    </row>
    <row r="14" spans="1:32" s="111" customFormat="1" ht="60" x14ac:dyDescent="0.3">
      <c r="A14" s="112" t="s">
        <v>61</v>
      </c>
      <c r="B14" s="113" t="s">
        <v>62</v>
      </c>
      <c r="C14" s="114" t="s">
        <v>49</v>
      </c>
      <c r="D14" s="115" t="s">
        <v>63</v>
      </c>
      <c r="E14" s="116" t="s">
        <v>64</v>
      </c>
      <c r="F14" s="148" t="s">
        <v>65</v>
      </c>
      <c r="G14" s="113" t="s">
        <v>66</v>
      </c>
      <c r="H14" s="149">
        <v>14</v>
      </c>
      <c r="I14" s="120">
        <v>3</v>
      </c>
      <c r="J14" s="121">
        <v>3</v>
      </c>
      <c r="K14" s="117" t="s">
        <v>67</v>
      </c>
      <c r="L14" s="117" t="s">
        <v>55</v>
      </c>
      <c r="M14" s="117" t="s">
        <v>56</v>
      </c>
      <c r="N14" s="122">
        <v>3</v>
      </c>
      <c r="O14" s="93" t="s">
        <v>57</v>
      </c>
      <c r="P14" s="123" t="s">
        <v>58</v>
      </c>
      <c r="Q14" s="150">
        <v>46123</v>
      </c>
      <c r="R14" s="151">
        <f>S14-1</f>
        <v>46126</v>
      </c>
      <c r="S14" s="126">
        <v>46127</v>
      </c>
      <c r="T14" s="127" t="s">
        <v>68</v>
      </c>
      <c r="U14" s="128">
        <v>3</v>
      </c>
      <c r="V14" s="129">
        <f t="shared" si="1"/>
        <v>0</v>
      </c>
      <c r="W14" s="130">
        <v>0</v>
      </c>
      <c r="X14" s="130">
        <v>0</v>
      </c>
      <c r="Y14" s="130">
        <v>14</v>
      </c>
      <c r="Z14" s="108" t="b">
        <v>0</v>
      </c>
      <c r="AA14" s="108"/>
      <c r="AB14" s="108"/>
      <c r="AC14" s="108"/>
      <c r="AD14" s="108"/>
      <c r="AE14" s="131" t="e">
        <f>SUMIF('[2]TONG XUAT BUN 2026'!$B:$F,A14,'[2]TONG XUAT BUN 2026'!$F:$F)</f>
        <v>#VALUE!</v>
      </c>
      <c r="AF14" s="111" t="s">
        <v>60</v>
      </c>
    </row>
    <row r="15" spans="1:32" s="111" customFormat="1" ht="60" x14ac:dyDescent="0.3">
      <c r="A15" s="132"/>
      <c r="B15" s="152"/>
      <c r="C15" s="133"/>
      <c r="D15" s="136"/>
      <c r="E15" s="135"/>
      <c r="F15" s="134"/>
      <c r="G15" s="152"/>
      <c r="H15" s="153"/>
      <c r="I15" s="138"/>
      <c r="J15" s="139"/>
      <c r="K15" s="140"/>
      <c r="L15" s="140"/>
      <c r="M15" s="140"/>
      <c r="N15" s="154"/>
      <c r="O15" s="143"/>
      <c r="P15" s="143"/>
      <c r="Q15" s="144"/>
      <c r="R15" s="155"/>
      <c r="S15" s="146"/>
      <c r="T15" s="147"/>
      <c r="U15" s="128"/>
      <c r="V15" s="129">
        <f t="shared" si="1"/>
        <v>0</v>
      </c>
      <c r="W15" s="130"/>
      <c r="X15" s="130"/>
      <c r="Y15" s="130"/>
      <c r="Z15" s="108"/>
      <c r="AA15" s="108"/>
      <c r="AB15" s="108"/>
      <c r="AC15" s="108"/>
      <c r="AD15" s="108"/>
      <c r="AE15" s="108"/>
      <c r="AF15" s="111" t="s">
        <v>60</v>
      </c>
    </row>
    <row r="16" spans="1:32" s="111" customFormat="1" ht="60" x14ac:dyDescent="0.3">
      <c r="A16" s="112" t="s">
        <v>69</v>
      </c>
      <c r="B16" s="113" t="s">
        <v>70</v>
      </c>
      <c r="C16" s="114" t="s">
        <v>49</v>
      </c>
      <c r="D16" s="115" t="s">
        <v>71</v>
      </c>
      <c r="E16" s="116" t="s">
        <v>72</v>
      </c>
      <c r="F16" s="156" t="s">
        <v>73</v>
      </c>
      <c r="G16" s="156" t="s">
        <v>74</v>
      </c>
      <c r="H16" s="123">
        <v>400</v>
      </c>
      <c r="I16" s="120">
        <v>35</v>
      </c>
      <c r="J16" s="121">
        <v>35</v>
      </c>
      <c r="K16" s="157" t="s">
        <v>75</v>
      </c>
      <c r="L16" s="157" t="s">
        <v>76</v>
      </c>
      <c r="M16" s="157" t="s">
        <v>56</v>
      </c>
      <c r="N16" s="122">
        <v>5</v>
      </c>
      <c r="O16" s="93" t="s">
        <v>57</v>
      </c>
      <c r="P16" s="123" t="s">
        <v>58</v>
      </c>
      <c r="Q16" s="150">
        <v>46123</v>
      </c>
      <c r="R16" s="151">
        <f>S16-1</f>
        <v>46126</v>
      </c>
      <c r="S16" s="126">
        <v>46127</v>
      </c>
      <c r="T16" s="127" t="s">
        <v>68</v>
      </c>
      <c r="U16" s="128">
        <v>5</v>
      </c>
      <c r="V16" s="129">
        <f t="shared" si="1"/>
        <v>0</v>
      </c>
      <c r="W16" s="130">
        <v>0</v>
      </c>
      <c r="X16" s="130">
        <v>0</v>
      </c>
      <c r="Y16" s="130">
        <v>400</v>
      </c>
      <c r="Z16" s="108" t="b">
        <v>0</v>
      </c>
      <c r="AA16" s="108"/>
      <c r="AB16" s="108"/>
      <c r="AC16" s="108"/>
      <c r="AD16" s="108"/>
      <c r="AE16" s="131" t="e">
        <f>SUMIF('[2]TONG XUAT BUN 2026'!$B:$F,A16,'[2]TONG XUAT BUN 2026'!$F:$F)</f>
        <v>#VALUE!</v>
      </c>
      <c r="AF16" s="111" t="s">
        <v>60</v>
      </c>
    </row>
    <row r="17" spans="1:32" s="111" customFormat="1" ht="60" x14ac:dyDescent="0.3">
      <c r="A17" s="132"/>
      <c r="B17" s="152"/>
      <c r="C17" s="133"/>
      <c r="D17" s="136"/>
      <c r="E17" s="135"/>
      <c r="F17" s="158"/>
      <c r="G17" s="158"/>
      <c r="H17" s="143"/>
      <c r="I17" s="138"/>
      <c r="J17" s="139"/>
      <c r="K17" s="159"/>
      <c r="L17" s="159"/>
      <c r="M17" s="159"/>
      <c r="N17" s="154"/>
      <c r="O17" s="143"/>
      <c r="P17" s="143"/>
      <c r="Q17" s="144"/>
      <c r="R17" s="155"/>
      <c r="S17" s="146"/>
      <c r="T17" s="147"/>
      <c r="U17" s="128"/>
      <c r="V17" s="129">
        <f t="shared" si="1"/>
        <v>0</v>
      </c>
      <c r="W17" s="130"/>
      <c r="X17" s="130"/>
      <c r="Y17" s="130"/>
      <c r="Z17" s="108"/>
      <c r="AA17" s="108"/>
      <c r="AB17" s="108"/>
      <c r="AC17" s="108"/>
      <c r="AD17" s="108"/>
      <c r="AE17" s="108"/>
      <c r="AF17" s="111" t="s">
        <v>60</v>
      </c>
    </row>
    <row r="18" spans="1:32" s="111" customFormat="1" ht="60" x14ac:dyDescent="0.3">
      <c r="A18" s="112" t="s">
        <v>77</v>
      </c>
      <c r="B18" s="113" t="s">
        <v>78</v>
      </c>
      <c r="C18" s="114" t="s">
        <v>49</v>
      </c>
      <c r="D18" s="148" t="s">
        <v>79</v>
      </c>
      <c r="E18" s="116" t="s">
        <v>80</v>
      </c>
      <c r="F18" s="115" t="s">
        <v>81</v>
      </c>
      <c r="G18" s="115" t="s">
        <v>82</v>
      </c>
      <c r="H18" s="119">
        <v>1000</v>
      </c>
      <c r="I18" s="120">
        <v>40</v>
      </c>
      <c r="J18" s="121">
        <v>40</v>
      </c>
      <c r="K18" s="115" t="s">
        <v>83</v>
      </c>
      <c r="L18" s="117" t="s">
        <v>76</v>
      </c>
      <c r="M18" s="115" t="s">
        <v>56</v>
      </c>
      <c r="N18" s="122">
        <v>40</v>
      </c>
      <c r="O18" s="93" t="s">
        <v>57</v>
      </c>
      <c r="P18" s="123" t="s">
        <v>58</v>
      </c>
      <c r="Q18" s="124">
        <v>46125</v>
      </c>
      <c r="R18" s="151">
        <f>S18-1</f>
        <v>46127</v>
      </c>
      <c r="S18" s="126">
        <v>46128</v>
      </c>
      <c r="T18" s="127" t="s">
        <v>68</v>
      </c>
      <c r="U18" s="128">
        <f>40</f>
        <v>40</v>
      </c>
      <c r="V18" s="129">
        <f t="shared" si="1"/>
        <v>0</v>
      </c>
      <c r="W18" s="130">
        <v>0</v>
      </c>
      <c r="X18" s="130">
        <v>0</v>
      </c>
      <c r="Y18" s="130">
        <v>1000</v>
      </c>
      <c r="Z18" s="108" t="b">
        <v>0</v>
      </c>
      <c r="AA18" s="108"/>
      <c r="AB18" s="108"/>
      <c r="AC18" s="108"/>
      <c r="AD18" s="108"/>
      <c r="AE18" s="131" t="e">
        <f>SUMIF('[2]TONG XUAT BUN 2026'!$B:$F,A18,'[2]TONG XUAT BUN 2026'!$F:$F)</f>
        <v>#VALUE!</v>
      </c>
      <c r="AF18" s="111" t="s">
        <v>60</v>
      </c>
    </row>
    <row r="19" spans="1:32" s="111" customFormat="1" ht="60" x14ac:dyDescent="0.3">
      <c r="A19" s="132"/>
      <c r="B19" s="152"/>
      <c r="C19" s="133"/>
      <c r="D19" s="134"/>
      <c r="E19" s="135"/>
      <c r="F19" s="136"/>
      <c r="G19" s="136"/>
      <c r="H19" s="137"/>
      <c r="I19" s="138"/>
      <c r="J19" s="139"/>
      <c r="K19" s="136"/>
      <c r="L19" s="140"/>
      <c r="M19" s="136"/>
      <c r="N19" s="154"/>
      <c r="O19" s="143"/>
      <c r="P19" s="143"/>
      <c r="Q19" s="144"/>
      <c r="R19" s="155"/>
      <c r="S19" s="146"/>
      <c r="T19" s="147"/>
      <c r="U19" s="128"/>
      <c r="V19" s="129">
        <f t="shared" si="1"/>
        <v>0</v>
      </c>
      <c r="W19" s="130"/>
      <c r="X19" s="130"/>
      <c r="Y19" s="130"/>
      <c r="Z19" s="108"/>
      <c r="AA19" s="108"/>
      <c r="AB19" s="108"/>
      <c r="AC19" s="108"/>
      <c r="AD19" s="108"/>
      <c r="AE19" s="108"/>
      <c r="AF19" s="111" t="s">
        <v>60</v>
      </c>
    </row>
    <row r="20" spans="1:32" s="111" customFormat="1" ht="60" x14ac:dyDescent="0.3">
      <c r="A20" s="112" t="s">
        <v>84</v>
      </c>
      <c r="B20" s="113" t="s">
        <v>85</v>
      </c>
      <c r="C20" s="114" t="s">
        <v>49</v>
      </c>
      <c r="D20" s="115" t="s">
        <v>63</v>
      </c>
      <c r="E20" s="116" t="s">
        <v>86</v>
      </c>
      <c r="F20" s="148" t="s">
        <v>87</v>
      </c>
      <c r="G20" s="113" t="s">
        <v>88</v>
      </c>
      <c r="H20" s="149">
        <v>1025</v>
      </c>
      <c r="I20" s="120">
        <v>41</v>
      </c>
      <c r="J20" s="121">
        <v>41</v>
      </c>
      <c r="K20" s="117" t="s">
        <v>83</v>
      </c>
      <c r="L20" s="117" t="s">
        <v>55</v>
      </c>
      <c r="M20" s="117" t="s">
        <v>56</v>
      </c>
      <c r="N20" s="122">
        <v>41</v>
      </c>
      <c r="O20" s="93" t="s">
        <v>57</v>
      </c>
      <c r="P20" s="123" t="s">
        <v>58</v>
      </c>
      <c r="Q20" s="124">
        <v>46126</v>
      </c>
      <c r="R20" s="151">
        <f>S20-1</f>
        <v>46128</v>
      </c>
      <c r="S20" s="126">
        <v>46129</v>
      </c>
      <c r="T20" s="127" t="s">
        <v>68</v>
      </c>
      <c r="U20" s="128">
        <v>41</v>
      </c>
      <c r="V20" s="129">
        <f t="shared" si="1"/>
        <v>0</v>
      </c>
      <c r="W20" s="130">
        <v>0</v>
      </c>
      <c r="X20" s="130">
        <v>0</v>
      </c>
      <c r="Y20" s="130">
        <v>1025</v>
      </c>
      <c r="Z20" s="108" t="b">
        <v>0</v>
      </c>
      <c r="AA20" s="108"/>
      <c r="AB20" s="108"/>
      <c r="AC20" s="108"/>
      <c r="AD20" s="108"/>
      <c r="AE20" s="131" t="e">
        <f>SUMIF('[2]TONG XUAT BUN 2026'!$B:$F,A20,'[2]TONG XUAT BUN 2026'!$F:$F)</f>
        <v>#VALUE!</v>
      </c>
      <c r="AF20" s="111" t="s">
        <v>60</v>
      </c>
    </row>
    <row r="21" spans="1:32" s="111" customFormat="1" ht="60" x14ac:dyDescent="0.3">
      <c r="A21" s="132"/>
      <c r="B21" s="152"/>
      <c r="C21" s="160"/>
      <c r="D21" s="136"/>
      <c r="E21" s="135"/>
      <c r="F21" s="158"/>
      <c r="G21" s="158"/>
      <c r="H21" s="143"/>
      <c r="I21" s="138"/>
      <c r="J21" s="139"/>
      <c r="K21" s="159"/>
      <c r="L21" s="159"/>
      <c r="M21" s="159"/>
      <c r="N21" s="154"/>
      <c r="O21" s="143"/>
      <c r="P21" s="143"/>
      <c r="Q21" s="144"/>
      <c r="R21" s="155"/>
      <c r="S21" s="146"/>
      <c r="T21" s="147"/>
      <c r="U21" s="128"/>
      <c r="V21" s="129">
        <f t="shared" si="1"/>
        <v>0</v>
      </c>
      <c r="W21" s="130"/>
      <c r="X21" s="130"/>
      <c r="Y21" s="130"/>
      <c r="Z21" s="108"/>
      <c r="AA21" s="108"/>
      <c r="AB21" s="108"/>
      <c r="AC21" s="108"/>
      <c r="AD21" s="108"/>
      <c r="AE21" s="108"/>
      <c r="AF21" s="111" t="s">
        <v>60</v>
      </c>
    </row>
    <row r="22" spans="1:32" s="111" customFormat="1" ht="60" x14ac:dyDescent="0.3">
      <c r="A22" s="112" t="s">
        <v>89</v>
      </c>
      <c r="B22" s="113" t="s">
        <v>90</v>
      </c>
      <c r="C22" s="114" t="s">
        <v>49</v>
      </c>
      <c r="D22" s="115" t="s">
        <v>71</v>
      </c>
      <c r="E22" s="116" t="s">
        <v>91</v>
      </c>
      <c r="F22" s="156" t="s">
        <v>92</v>
      </c>
      <c r="G22" s="161" t="s">
        <v>93</v>
      </c>
      <c r="H22" s="123">
        <v>2500</v>
      </c>
      <c r="I22" s="120">
        <v>90</v>
      </c>
      <c r="J22" s="121">
        <v>90</v>
      </c>
      <c r="K22" s="157" t="s">
        <v>75</v>
      </c>
      <c r="L22" s="157" t="s">
        <v>76</v>
      </c>
      <c r="M22" s="157" t="s">
        <v>94</v>
      </c>
      <c r="N22" s="122">
        <v>282</v>
      </c>
      <c r="O22" s="93" t="s">
        <v>57</v>
      </c>
      <c r="P22" s="123" t="s">
        <v>58</v>
      </c>
      <c r="Q22" s="124">
        <v>46126</v>
      </c>
      <c r="R22" s="151">
        <f>S22-1</f>
        <v>46128</v>
      </c>
      <c r="S22" s="126">
        <v>46129</v>
      </c>
      <c r="T22" s="127" t="s">
        <v>68</v>
      </c>
      <c r="U22" s="128">
        <f>62+85+58+77</f>
        <v>282</v>
      </c>
      <c r="V22" s="129">
        <f t="shared" si="1"/>
        <v>0</v>
      </c>
      <c r="W22" s="130">
        <v>0</v>
      </c>
      <c r="X22" s="130">
        <v>0</v>
      </c>
      <c r="Y22" s="130">
        <v>2500</v>
      </c>
      <c r="Z22" s="108" t="b">
        <v>0</v>
      </c>
      <c r="AA22" s="108"/>
      <c r="AB22" s="108"/>
      <c r="AC22" s="108"/>
      <c r="AD22" s="108"/>
      <c r="AE22" s="131" t="e">
        <f>SUMIF('[2]TONG XUAT BUN 2026'!$B:$F,A22,'[2]TONG XUAT BUN 2026'!$F:$F)</f>
        <v>#VALUE!</v>
      </c>
      <c r="AF22" s="111" t="s">
        <v>60</v>
      </c>
    </row>
    <row r="23" spans="1:32" s="111" customFormat="1" ht="52.8" x14ac:dyDescent="0.3">
      <c r="A23" s="162" t="s">
        <v>95</v>
      </c>
      <c r="B23" s="113" t="s">
        <v>96</v>
      </c>
      <c r="C23" s="163" t="s">
        <v>97</v>
      </c>
      <c r="D23" s="115" t="s">
        <v>71</v>
      </c>
      <c r="E23" s="116" t="s">
        <v>91</v>
      </c>
      <c r="F23" s="156" t="s">
        <v>98</v>
      </c>
      <c r="G23" s="161" t="s">
        <v>99</v>
      </c>
      <c r="H23" s="123">
        <v>2500</v>
      </c>
      <c r="I23" s="120">
        <v>218</v>
      </c>
      <c r="J23" s="121">
        <v>218</v>
      </c>
      <c r="K23" s="157" t="s">
        <v>75</v>
      </c>
      <c r="L23" s="157" t="s">
        <v>76</v>
      </c>
      <c r="M23" s="157" t="s">
        <v>56</v>
      </c>
      <c r="N23" s="93" t="s">
        <v>57</v>
      </c>
      <c r="O23" s="76"/>
      <c r="P23" s="123" t="s">
        <v>58</v>
      </c>
      <c r="Q23" s="124">
        <v>46126</v>
      </c>
      <c r="R23" s="151">
        <f>S23-1</f>
        <v>46128</v>
      </c>
      <c r="S23" s="126">
        <v>46129</v>
      </c>
      <c r="T23" s="127" t="s">
        <v>68</v>
      </c>
      <c r="U23" s="128"/>
      <c r="V23" s="129" t="e">
        <f t="shared" si="1"/>
        <v>#VALUE!</v>
      </c>
      <c r="W23" s="130">
        <v>0</v>
      </c>
      <c r="X23" s="130">
        <v>0</v>
      </c>
      <c r="Y23" s="130">
        <v>2500</v>
      </c>
      <c r="Z23" s="108" t="b">
        <v>0</v>
      </c>
      <c r="AA23" s="108"/>
      <c r="AB23" s="108"/>
      <c r="AC23" s="108"/>
      <c r="AD23" s="108"/>
      <c r="AE23" s="131" t="e">
        <f>SUMIF('[2]TONG XUAT BUN 2026'!$B:$F,A23,'[2]TONG XUAT BUN 2026'!$F:$F)</f>
        <v>#VALUE!</v>
      </c>
      <c r="AF23" s="111" t="s">
        <v>60</v>
      </c>
    </row>
    <row r="24" spans="1:32" s="111" customFormat="1" ht="60" x14ac:dyDescent="0.3">
      <c r="A24" s="132"/>
      <c r="B24" s="132"/>
      <c r="C24" s="133"/>
      <c r="D24" s="134"/>
      <c r="E24" s="135"/>
      <c r="F24" s="136"/>
      <c r="G24" s="136"/>
      <c r="H24" s="137"/>
      <c r="I24" s="138"/>
      <c r="J24" s="139"/>
      <c r="K24" s="136"/>
      <c r="L24" s="140"/>
      <c r="M24" s="136"/>
      <c r="N24" s="141"/>
      <c r="O24" s="142"/>
      <c r="P24" s="143"/>
      <c r="Q24" s="144"/>
      <c r="R24" s="145"/>
      <c r="S24" s="146"/>
      <c r="T24" s="147"/>
      <c r="U24" s="128"/>
      <c r="V24" s="129">
        <f t="shared" si="1"/>
        <v>0</v>
      </c>
      <c r="W24" s="130"/>
      <c r="X24" s="130"/>
      <c r="Y24" s="130"/>
      <c r="Z24" s="108"/>
      <c r="AA24" s="108"/>
      <c r="AB24" s="108"/>
      <c r="AC24" s="108"/>
      <c r="AD24" s="108"/>
      <c r="AE24" s="108"/>
      <c r="AF24" s="111" t="s">
        <v>60</v>
      </c>
    </row>
    <row r="25" spans="1:32" s="111" customFormat="1" ht="60" x14ac:dyDescent="0.3">
      <c r="A25" s="164" t="s">
        <v>100</v>
      </c>
      <c r="B25" s="164" t="s">
        <v>101</v>
      </c>
      <c r="C25" s="114" t="s">
        <v>102</v>
      </c>
      <c r="D25" s="148" t="s">
        <v>103</v>
      </c>
      <c r="E25" s="116" t="s">
        <v>104</v>
      </c>
      <c r="F25" s="115" t="s">
        <v>105</v>
      </c>
      <c r="G25" s="165" t="s">
        <v>106</v>
      </c>
      <c r="H25" s="149">
        <v>30</v>
      </c>
      <c r="I25" s="120">
        <v>1</v>
      </c>
      <c r="J25" s="121">
        <v>1</v>
      </c>
      <c r="K25" s="156" t="s">
        <v>107</v>
      </c>
      <c r="L25" s="115" t="s">
        <v>76</v>
      </c>
      <c r="M25" s="156" t="s">
        <v>56</v>
      </c>
      <c r="N25" s="166">
        <v>1</v>
      </c>
      <c r="O25" s="123" t="s">
        <v>108</v>
      </c>
      <c r="P25" s="123" t="s">
        <v>58</v>
      </c>
      <c r="Q25" s="150">
        <v>46126</v>
      </c>
      <c r="R25" s="125">
        <f>S25-1</f>
        <v>46127</v>
      </c>
      <c r="S25" s="126">
        <v>46128</v>
      </c>
      <c r="T25" s="127" t="s">
        <v>109</v>
      </c>
      <c r="U25" s="128">
        <f>1+1</f>
        <v>2</v>
      </c>
      <c r="V25" s="129">
        <f t="shared" si="1"/>
        <v>1</v>
      </c>
      <c r="W25" s="130">
        <v>0</v>
      </c>
      <c r="X25" s="130">
        <v>0</v>
      </c>
      <c r="Y25" s="130">
        <v>30</v>
      </c>
      <c r="Z25" s="108" t="b">
        <v>1</v>
      </c>
      <c r="AA25" s="108"/>
      <c r="AB25" s="108"/>
      <c r="AC25" s="108"/>
      <c r="AD25" s="108"/>
      <c r="AE25" s="131" t="e">
        <f>SUMIF('[2]TONG XUAT BUN 2026'!$B:$F,A25,'[2]TONG XUAT BUN 2026'!$F:$F)</f>
        <v>#VALUE!</v>
      </c>
      <c r="AF25" s="111" t="s">
        <v>60</v>
      </c>
    </row>
    <row r="26" spans="1:32" s="111" customFormat="1" ht="60" x14ac:dyDescent="0.3">
      <c r="A26" s="132"/>
      <c r="B26" s="132"/>
      <c r="C26" s="133"/>
      <c r="D26" s="134"/>
      <c r="E26" s="135"/>
      <c r="F26" s="136"/>
      <c r="G26" s="136"/>
      <c r="H26" s="137"/>
      <c r="I26" s="138"/>
      <c r="J26" s="139"/>
      <c r="K26" s="136"/>
      <c r="L26" s="140"/>
      <c r="M26" s="136"/>
      <c r="N26" s="141"/>
      <c r="O26" s="142"/>
      <c r="P26" s="143"/>
      <c r="Q26" s="144"/>
      <c r="R26" s="145"/>
      <c r="S26" s="146"/>
      <c r="T26" s="147"/>
      <c r="U26" s="128"/>
      <c r="V26" s="129">
        <f t="shared" si="1"/>
        <v>0</v>
      </c>
      <c r="W26" s="130"/>
      <c r="X26" s="130"/>
      <c r="Y26" s="130"/>
      <c r="Z26" s="108"/>
      <c r="AA26" s="108"/>
      <c r="AB26" s="108"/>
      <c r="AC26" s="108"/>
      <c r="AD26" s="108"/>
      <c r="AE26" s="108"/>
      <c r="AF26" s="111" t="s">
        <v>60</v>
      </c>
    </row>
    <row r="27" spans="1:32" s="111" customFormat="1" ht="60" x14ac:dyDescent="0.3">
      <c r="A27" s="164" t="s">
        <v>110</v>
      </c>
      <c r="B27" s="164" t="s">
        <v>111</v>
      </c>
      <c r="C27" s="114" t="s">
        <v>102</v>
      </c>
      <c r="D27" s="148" t="s">
        <v>79</v>
      </c>
      <c r="E27" s="116" t="s">
        <v>80</v>
      </c>
      <c r="F27" s="115" t="s">
        <v>81</v>
      </c>
      <c r="G27" s="115" t="s">
        <v>82</v>
      </c>
      <c r="H27" s="119">
        <v>400</v>
      </c>
      <c r="I27" s="120">
        <v>16</v>
      </c>
      <c r="J27" s="121">
        <v>16</v>
      </c>
      <c r="K27" s="115" t="s">
        <v>83</v>
      </c>
      <c r="L27" s="117" t="s">
        <v>76</v>
      </c>
      <c r="M27" s="115" t="s">
        <v>56</v>
      </c>
      <c r="N27" s="166">
        <v>16</v>
      </c>
      <c r="O27" s="167" t="s">
        <v>112</v>
      </c>
      <c r="P27" s="123" t="s">
        <v>58</v>
      </c>
      <c r="Q27" s="150">
        <v>46126</v>
      </c>
      <c r="R27" s="125">
        <f>S27-1</f>
        <v>46127</v>
      </c>
      <c r="S27" s="126">
        <v>46128</v>
      </c>
      <c r="T27" s="127" t="s">
        <v>59</v>
      </c>
      <c r="U27" s="128">
        <f>50-40+6</f>
        <v>16</v>
      </c>
      <c r="V27" s="129">
        <f t="shared" si="1"/>
        <v>0</v>
      </c>
      <c r="W27" s="130">
        <v>0</v>
      </c>
      <c r="X27" s="130">
        <v>0</v>
      </c>
      <c r="Y27" s="130">
        <v>400</v>
      </c>
      <c r="Z27" s="108" t="b">
        <v>0</v>
      </c>
      <c r="AA27" s="108"/>
      <c r="AB27" s="108"/>
      <c r="AC27" s="108"/>
      <c r="AD27" s="108"/>
      <c r="AE27" s="131" t="e">
        <f>SUMIF('[2]TONG XUAT BUN 2026'!$B:$F,A27,'[2]TONG XUAT BUN 2026'!$F:$F)</f>
        <v>#VALUE!</v>
      </c>
      <c r="AF27" s="111" t="s">
        <v>60</v>
      </c>
    </row>
    <row r="28" spans="1:32" s="111" customFormat="1" ht="60" x14ac:dyDescent="0.3">
      <c r="A28" s="132"/>
      <c r="B28" s="132"/>
      <c r="C28" s="133"/>
      <c r="D28" s="134"/>
      <c r="E28" s="135"/>
      <c r="F28" s="136"/>
      <c r="G28" s="136"/>
      <c r="H28" s="137"/>
      <c r="I28" s="138"/>
      <c r="J28" s="139"/>
      <c r="K28" s="136"/>
      <c r="L28" s="140"/>
      <c r="M28" s="136"/>
      <c r="N28" s="141"/>
      <c r="O28" s="142"/>
      <c r="P28" s="143"/>
      <c r="Q28" s="144"/>
      <c r="R28" s="145"/>
      <c r="S28" s="146"/>
      <c r="T28" s="147"/>
      <c r="U28" s="128"/>
      <c r="V28" s="129">
        <f t="shared" si="1"/>
        <v>0</v>
      </c>
      <c r="W28" s="130"/>
      <c r="X28" s="130"/>
      <c r="Y28" s="130"/>
      <c r="Z28" s="108"/>
      <c r="AA28" s="108"/>
      <c r="AB28" s="108"/>
      <c r="AC28" s="108"/>
      <c r="AD28" s="108"/>
      <c r="AE28" s="108"/>
      <c r="AF28" s="111" t="s">
        <v>60</v>
      </c>
    </row>
    <row r="29" spans="1:32" s="111" customFormat="1" ht="60" x14ac:dyDescent="0.3">
      <c r="A29" s="164" t="s">
        <v>113</v>
      </c>
      <c r="B29" s="164" t="s">
        <v>114</v>
      </c>
      <c r="C29" s="114" t="s">
        <v>102</v>
      </c>
      <c r="D29" s="115" t="s">
        <v>63</v>
      </c>
      <c r="E29" s="116" t="s">
        <v>115</v>
      </c>
      <c r="F29" s="148" t="s">
        <v>116</v>
      </c>
      <c r="G29" s="113" t="s">
        <v>117</v>
      </c>
      <c r="H29" s="149">
        <v>25</v>
      </c>
      <c r="I29" s="120">
        <v>1</v>
      </c>
      <c r="J29" s="121">
        <v>1</v>
      </c>
      <c r="K29" s="117" t="s">
        <v>75</v>
      </c>
      <c r="L29" s="117" t="s">
        <v>55</v>
      </c>
      <c r="M29" s="117" t="s">
        <v>94</v>
      </c>
      <c r="N29" s="166">
        <v>1</v>
      </c>
      <c r="O29" s="123"/>
      <c r="P29" s="123" t="s">
        <v>58</v>
      </c>
      <c r="Q29" s="124">
        <v>46130</v>
      </c>
      <c r="R29" s="125">
        <f>S29-1</f>
        <v>46132</v>
      </c>
      <c r="S29" s="126">
        <v>46133</v>
      </c>
      <c r="T29" s="127" t="s">
        <v>59</v>
      </c>
      <c r="U29" s="128">
        <f>2-1</f>
        <v>1</v>
      </c>
      <c r="V29" s="129">
        <f t="shared" si="1"/>
        <v>0</v>
      </c>
      <c r="W29" s="130">
        <v>0</v>
      </c>
      <c r="X29" s="130">
        <v>0</v>
      </c>
      <c r="Y29" s="130">
        <v>25</v>
      </c>
      <c r="Z29" s="108" t="b">
        <v>1</v>
      </c>
      <c r="AA29" s="108"/>
      <c r="AB29" s="108"/>
      <c r="AC29" s="108"/>
      <c r="AD29" s="108"/>
      <c r="AE29" s="131" t="e">
        <f>SUMIF('[2]TONG XUAT BUN 2026'!$B:$F,A29,'[2]TONG XUAT BUN 2026'!$F:$F)</f>
        <v>#VALUE!</v>
      </c>
      <c r="AF29" s="111" t="s">
        <v>60</v>
      </c>
    </row>
    <row r="30" spans="1:32" s="111" customFormat="1" ht="60" x14ac:dyDescent="0.3">
      <c r="A30" s="132"/>
      <c r="B30" s="132"/>
      <c r="C30" s="133"/>
      <c r="D30" s="136"/>
      <c r="E30" s="135"/>
      <c r="F30" s="134"/>
      <c r="G30" s="152"/>
      <c r="H30" s="153"/>
      <c r="I30" s="138"/>
      <c r="J30" s="139"/>
      <c r="K30" s="140"/>
      <c r="L30" s="140"/>
      <c r="M30" s="140"/>
      <c r="N30" s="141"/>
      <c r="O30" s="143"/>
      <c r="P30" s="143"/>
      <c r="Q30" s="144"/>
      <c r="R30" s="145"/>
      <c r="S30" s="146"/>
      <c r="T30" s="147"/>
      <c r="U30" s="128"/>
      <c r="V30" s="129">
        <f t="shared" si="1"/>
        <v>0</v>
      </c>
      <c r="W30" s="130"/>
      <c r="X30" s="130"/>
      <c r="Y30" s="130"/>
      <c r="Z30" s="108"/>
      <c r="AA30" s="108"/>
      <c r="AB30" s="108"/>
      <c r="AC30" s="108"/>
      <c r="AD30" s="108"/>
      <c r="AE30" s="108"/>
      <c r="AF30" s="111" t="s">
        <v>60</v>
      </c>
    </row>
    <row r="31" spans="1:32" s="111" customFormat="1" ht="79.2" x14ac:dyDescent="0.3">
      <c r="A31" s="164" t="s">
        <v>118</v>
      </c>
      <c r="B31" s="164" t="s">
        <v>119</v>
      </c>
      <c r="C31" s="114" t="s">
        <v>102</v>
      </c>
      <c r="D31" s="115" t="s">
        <v>120</v>
      </c>
      <c r="E31" s="116" t="s">
        <v>121</v>
      </c>
      <c r="F31" s="148" t="s">
        <v>122</v>
      </c>
      <c r="G31" s="113" t="s">
        <v>123</v>
      </c>
      <c r="H31" s="168">
        <v>35</v>
      </c>
      <c r="I31" s="120">
        <v>1</v>
      </c>
      <c r="J31" s="121">
        <v>1</v>
      </c>
      <c r="K31" s="117" t="s">
        <v>75</v>
      </c>
      <c r="L31" s="117" t="s">
        <v>55</v>
      </c>
      <c r="M31" s="117" t="s">
        <v>56</v>
      </c>
      <c r="N31" s="166">
        <v>1</v>
      </c>
      <c r="O31" s="123"/>
      <c r="P31" s="123" t="s">
        <v>58</v>
      </c>
      <c r="Q31" s="124">
        <v>46133</v>
      </c>
      <c r="R31" s="125">
        <f>S31-1</f>
        <v>46135</v>
      </c>
      <c r="S31" s="126">
        <v>46136</v>
      </c>
      <c r="T31" s="127" t="s">
        <v>59</v>
      </c>
      <c r="U31" s="128">
        <v>2</v>
      </c>
      <c r="V31" s="129">
        <f t="shared" si="1"/>
        <v>1</v>
      </c>
      <c r="W31" s="130">
        <v>0</v>
      </c>
      <c r="X31" s="130">
        <v>0</v>
      </c>
      <c r="Y31" s="130">
        <v>35</v>
      </c>
      <c r="Z31" s="108" t="b">
        <v>1</v>
      </c>
      <c r="AA31" s="108"/>
      <c r="AB31" s="108"/>
      <c r="AC31" s="108"/>
      <c r="AD31" s="108"/>
      <c r="AE31" s="131" t="e">
        <f>SUMIF('[2]TONG XUAT BUN 2026'!$B:$F,A31,'[2]TONG XUAT BUN 2026'!$F:$F)</f>
        <v>#VALUE!</v>
      </c>
      <c r="AF31" s="111" t="s">
        <v>60</v>
      </c>
    </row>
    <row r="32" spans="1:32" s="111" customFormat="1" ht="60" x14ac:dyDescent="0.3">
      <c r="A32" s="132"/>
      <c r="B32" s="132"/>
      <c r="C32" s="133"/>
      <c r="D32" s="136"/>
      <c r="E32" s="135"/>
      <c r="F32" s="134"/>
      <c r="G32" s="152"/>
      <c r="H32" s="169"/>
      <c r="I32" s="138"/>
      <c r="J32" s="139"/>
      <c r="K32" s="140"/>
      <c r="L32" s="140"/>
      <c r="M32" s="140"/>
      <c r="N32" s="141"/>
      <c r="O32" s="143"/>
      <c r="P32" s="143"/>
      <c r="Q32" s="144"/>
      <c r="R32" s="145"/>
      <c r="S32" s="146"/>
      <c r="T32" s="147"/>
      <c r="U32" s="128"/>
      <c r="V32" s="129">
        <f t="shared" si="1"/>
        <v>0</v>
      </c>
      <c r="W32" s="130"/>
      <c r="X32" s="130"/>
      <c r="Y32" s="130"/>
      <c r="Z32" s="108"/>
      <c r="AA32" s="108"/>
      <c r="AB32" s="108"/>
      <c r="AC32" s="108"/>
      <c r="AD32" s="108"/>
      <c r="AE32" s="108"/>
      <c r="AF32" s="111" t="s">
        <v>60</v>
      </c>
    </row>
    <row r="33" spans="1:32" s="170" customFormat="1" ht="60" x14ac:dyDescent="0.3">
      <c r="A33" s="164" t="s">
        <v>124</v>
      </c>
      <c r="B33" s="164" t="s">
        <v>125</v>
      </c>
      <c r="C33" s="114" t="s">
        <v>102</v>
      </c>
      <c r="D33" s="115" t="s">
        <v>71</v>
      </c>
      <c r="E33" s="116" t="s">
        <v>126</v>
      </c>
      <c r="F33" s="156" t="s">
        <v>127</v>
      </c>
      <c r="G33" s="156" t="s">
        <v>128</v>
      </c>
      <c r="H33" s="123">
        <v>300</v>
      </c>
      <c r="I33" s="120">
        <v>27</v>
      </c>
      <c r="J33" s="121">
        <v>27</v>
      </c>
      <c r="K33" s="157" t="s">
        <v>75</v>
      </c>
      <c r="L33" s="157" t="s">
        <v>76</v>
      </c>
      <c r="M33" s="157" t="s">
        <v>56</v>
      </c>
      <c r="N33" s="166">
        <v>27</v>
      </c>
      <c r="O33" s="123"/>
      <c r="P33" s="123" t="s">
        <v>58</v>
      </c>
      <c r="Q33" s="124">
        <v>46127</v>
      </c>
      <c r="R33" s="125">
        <f>S33-1</f>
        <v>46129</v>
      </c>
      <c r="S33" s="126">
        <v>46130</v>
      </c>
      <c r="T33" s="127" t="s">
        <v>59</v>
      </c>
      <c r="U33" s="128">
        <f>8+19</f>
        <v>27</v>
      </c>
      <c r="V33" s="129">
        <f t="shared" si="1"/>
        <v>0</v>
      </c>
      <c r="W33" s="130">
        <v>0</v>
      </c>
      <c r="X33" s="130">
        <v>0</v>
      </c>
      <c r="Y33" s="130">
        <v>300</v>
      </c>
      <c r="Z33" s="108" t="b">
        <v>0</v>
      </c>
      <c r="AA33" s="108"/>
      <c r="AB33" s="108"/>
      <c r="AC33" s="108"/>
      <c r="AD33" s="108"/>
      <c r="AE33" s="131" t="e">
        <f>SUMIF('[2]TONG XUAT BUN 2026'!$B:$F,A33,'[2]TONG XUAT BUN 2026'!$F:$F)</f>
        <v>#VALUE!</v>
      </c>
      <c r="AF33" s="111" t="s">
        <v>60</v>
      </c>
    </row>
    <row r="34" spans="1:32" s="170" customFormat="1" ht="60" x14ac:dyDescent="0.3">
      <c r="A34" s="132"/>
      <c r="B34" s="132"/>
      <c r="C34" s="133"/>
      <c r="D34" s="136"/>
      <c r="E34" s="135"/>
      <c r="F34" s="158"/>
      <c r="G34" s="158"/>
      <c r="H34" s="143"/>
      <c r="I34" s="138"/>
      <c r="J34" s="139"/>
      <c r="K34" s="159"/>
      <c r="L34" s="159"/>
      <c r="M34" s="159"/>
      <c r="N34" s="141"/>
      <c r="O34" s="143"/>
      <c r="P34" s="143"/>
      <c r="Q34" s="144"/>
      <c r="R34" s="145"/>
      <c r="S34" s="146"/>
      <c r="T34" s="147"/>
      <c r="U34" s="128"/>
      <c r="V34" s="129">
        <f t="shared" si="1"/>
        <v>0</v>
      </c>
      <c r="W34" s="130"/>
      <c r="X34" s="130"/>
      <c r="Y34" s="130"/>
      <c r="Z34" s="108"/>
      <c r="AA34" s="108"/>
      <c r="AB34" s="108"/>
      <c r="AC34" s="108"/>
      <c r="AD34" s="108"/>
      <c r="AE34" s="108"/>
      <c r="AF34" s="111" t="s">
        <v>60</v>
      </c>
    </row>
    <row r="35" spans="1:32" s="111" customFormat="1" ht="79.2" x14ac:dyDescent="0.3">
      <c r="A35" s="164" t="s">
        <v>129</v>
      </c>
      <c r="B35" s="164" t="s">
        <v>130</v>
      </c>
      <c r="C35" s="114" t="s">
        <v>102</v>
      </c>
      <c r="D35" s="115" t="s">
        <v>120</v>
      </c>
      <c r="E35" s="116" t="s">
        <v>72</v>
      </c>
      <c r="F35" s="148" t="s">
        <v>73</v>
      </c>
      <c r="G35" s="113" t="s">
        <v>74</v>
      </c>
      <c r="H35" s="168">
        <v>275</v>
      </c>
      <c r="I35" s="120">
        <v>24</v>
      </c>
      <c r="J35" s="121">
        <v>24</v>
      </c>
      <c r="K35" s="117" t="s">
        <v>75</v>
      </c>
      <c r="L35" s="117" t="s">
        <v>55</v>
      </c>
      <c r="M35" s="117" t="s">
        <v>56</v>
      </c>
      <c r="N35" s="166">
        <v>24</v>
      </c>
      <c r="O35" s="123"/>
      <c r="P35" s="123" t="s">
        <v>58</v>
      </c>
      <c r="Q35" s="124">
        <v>46127</v>
      </c>
      <c r="R35" s="125">
        <f>S35-1</f>
        <v>46129</v>
      </c>
      <c r="S35" s="126">
        <v>46130</v>
      </c>
      <c r="T35" s="127" t="s">
        <v>59</v>
      </c>
      <c r="U35" s="128">
        <f>12-5+17</f>
        <v>24</v>
      </c>
      <c r="V35" s="129">
        <f t="shared" si="1"/>
        <v>0</v>
      </c>
      <c r="W35" s="130">
        <v>0</v>
      </c>
      <c r="X35" s="130">
        <v>0</v>
      </c>
      <c r="Y35" s="130">
        <v>275</v>
      </c>
      <c r="Z35" s="108" t="b">
        <v>0</v>
      </c>
      <c r="AA35" s="108"/>
      <c r="AB35" s="108"/>
      <c r="AC35" s="108"/>
      <c r="AD35" s="108"/>
      <c r="AE35" s="131" t="e">
        <f>SUMIF('[2]TONG XUAT BUN 2026'!$B:$F,A35,'[2]TONG XUAT BUN 2026'!$F:$F)</f>
        <v>#VALUE!</v>
      </c>
      <c r="AF35" s="111" t="s">
        <v>60</v>
      </c>
    </row>
    <row r="36" spans="1:32" s="111" customFormat="1" ht="60" x14ac:dyDescent="0.3">
      <c r="A36" s="132"/>
      <c r="B36" s="132"/>
      <c r="C36" s="133"/>
      <c r="D36" s="136"/>
      <c r="E36" s="135"/>
      <c r="F36" s="134"/>
      <c r="G36" s="152"/>
      <c r="H36" s="169"/>
      <c r="I36" s="138"/>
      <c r="J36" s="139"/>
      <c r="K36" s="140"/>
      <c r="L36" s="140"/>
      <c r="M36" s="140"/>
      <c r="N36" s="141"/>
      <c r="O36" s="143"/>
      <c r="P36" s="143"/>
      <c r="Q36" s="144"/>
      <c r="R36" s="145"/>
      <c r="S36" s="146"/>
      <c r="T36" s="147"/>
      <c r="U36" s="128"/>
      <c r="V36" s="129">
        <f t="shared" si="1"/>
        <v>0</v>
      </c>
      <c r="W36" s="130"/>
      <c r="X36" s="130"/>
      <c r="Y36" s="130"/>
      <c r="Z36" s="108"/>
      <c r="AA36" s="108"/>
      <c r="AB36" s="108"/>
      <c r="AC36" s="108"/>
      <c r="AD36" s="108"/>
      <c r="AE36" s="108"/>
      <c r="AF36" s="111" t="s">
        <v>60</v>
      </c>
    </row>
    <row r="37" spans="1:32" s="111" customFormat="1" ht="60" x14ac:dyDescent="0.3">
      <c r="A37" s="164" t="s">
        <v>131</v>
      </c>
      <c r="B37" s="164" t="s">
        <v>132</v>
      </c>
      <c r="C37" s="114" t="s">
        <v>102</v>
      </c>
      <c r="D37" s="115" t="s">
        <v>133</v>
      </c>
      <c r="E37" s="116" t="s">
        <v>134</v>
      </c>
      <c r="F37" s="156" t="s">
        <v>135</v>
      </c>
      <c r="G37" s="156" t="s">
        <v>136</v>
      </c>
      <c r="H37" s="149">
        <v>1900</v>
      </c>
      <c r="I37" s="120">
        <v>58</v>
      </c>
      <c r="J37" s="121">
        <v>58</v>
      </c>
      <c r="K37" s="157" t="s">
        <v>137</v>
      </c>
      <c r="L37" s="157" t="s">
        <v>76</v>
      </c>
      <c r="M37" s="157" t="s">
        <v>56</v>
      </c>
      <c r="N37" s="166">
        <v>58</v>
      </c>
      <c r="O37" s="123"/>
      <c r="P37" s="123" t="s">
        <v>58</v>
      </c>
      <c r="Q37" s="124">
        <v>46127</v>
      </c>
      <c r="R37" s="125">
        <f>S37-1</f>
        <v>46129</v>
      </c>
      <c r="S37" s="126">
        <v>46130</v>
      </c>
      <c r="T37" s="127" t="s">
        <v>59</v>
      </c>
      <c r="U37" s="128">
        <v>58</v>
      </c>
      <c r="V37" s="129">
        <f t="shared" si="1"/>
        <v>0</v>
      </c>
      <c r="W37" s="130">
        <v>0</v>
      </c>
      <c r="X37" s="130">
        <v>0</v>
      </c>
      <c r="Y37" s="130">
        <v>1900</v>
      </c>
      <c r="Z37" s="108" t="b">
        <v>0</v>
      </c>
      <c r="AA37" s="108"/>
      <c r="AB37" s="108"/>
      <c r="AC37" s="108"/>
      <c r="AD37" s="108"/>
      <c r="AE37" s="131" t="e">
        <f>SUMIF('[2]TONG XUAT BUN 2026'!$B:$F,A37,'[2]TONG XUAT BUN 2026'!$F:$F)</f>
        <v>#VALUE!</v>
      </c>
      <c r="AF37" s="111" t="s">
        <v>60</v>
      </c>
    </row>
    <row r="38" spans="1:32" s="111" customFormat="1" ht="60" x14ac:dyDescent="0.3">
      <c r="A38" s="132"/>
      <c r="B38" s="132"/>
      <c r="C38" s="133"/>
      <c r="D38" s="136"/>
      <c r="E38" s="135"/>
      <c r="F38" s="158"/>
      <c r="G38" s="158"/>
      <c r="H38" s="153"/>
      <c r="I38" s="138"/>
      <c r="J38" s="139"/>
      <c r="K38" s="159"/>
      <c r="L38" s="159"/>
      <c r="M38" s="159"/>
      <c r="N38" s="141"/>
      <c r="O38" s="143"/>
      <c r="P38" s="143"/>
      <c r="Q38" s="144"/>
      <c r="R38" s="145"/>
      <c r="S38" s="146"/>
      <c r="T38" s="147"/>
      <c r="U38" s="128"/>
      <c r="V38" s="129">
        <f t="shared" si="1"/>
        <v>0</v>
      </c>
      <c r="W38" s="130"/>
      <c r="X38" s="130"/>
      <c r="Y38" s="130"/>
      <c r="Z38" s="108"/>
      <c r="AA38" s="108"/>
      <c r="AB38" s="108"/>
      <c r="AC38" s="108"/>
      <c r="AD38" s="108"/>
      <c r="AE38" s="108"/>
      <c r="AF38" s="111" t="s">
        <v>60</v>
      </c>
    </row>
    <row r="39" spans="1:32" s="111" customFormat="1" ht="60" x14ac:dyDescent="0.3">
      <c r="A39" s="113" t="s">
        <v>138</v>
      </c>
      <c r="B39" s="164" t="s">
        <v>139</v>
      </c>
      <c r="C39" s="114" t="s">
        <v>102</v>
      </c>
      <c r="D39" s="115" t="s">
        <v>140</v>
      </c>
      <c r="E39" s="116" t="s">
        <v>141</v>
      </c>
      <c r="F39" s="156" t="s">
        <v>142</v>
      </c>
      <c r="G39" s="156" t="s">
        <v>143</v>
      </c>
      <c r="H39" s="168">
        <v>3000</v>
      </c>
      <c r="I39" s="120">
        <v>86</v>
      </c>
      <c r="J39" s="121">
        <v>86</v>
      </c>
      <c r="K39" s="156" t="s">
        <v>144</v>
      </c>
      <c r="L39" s="115" t="s">
        <v>76</v>
      </c>
      <c r="M39" s="156" t="s">
        <v>145</v>
      </c>
      <c r="N39" s="166">
        <f>86-30</f>
        <v>56</v>
      </c>
      <c r="O39" s="93" t="s">
        <v>146</v>
      </c>
      <c r="P39" s="123" t="s">
        <v>58</v>
      </c>
      <c r="Q39" s="124">
        <v>46127</v>
      </c>
      <c r="R39" s="125">
        <f>S39-1</f>
        <v>46129</v>
      </c>
      <c r="S39" s="126">
        <v>46130</v>
      </c>
      <c r="T39" s="127" t="s">
        <v>59</v>
      </c>
      <c r="U39" s="128">
        <f>59</f>
        <v>59</v>
      </c>
      <c r="V39" s="129">
        <f t="shared" si="1"/>
        <v>3</v>
      </c>
      <c r="W39" s="130">
        <v>0</v>
      </c>
      <c r="X39" s="130">
        <v>0</v>
      </c>
      <c r="Y39" s="130">
        <v>3000</v>
      </c>
      <c r="Z39" s="108" t="b">
        <v>0</v>
      </c>
      <c r="AA39" s="108"/>
      <c r="AB39" s="108"/>
      <c r="AC39" s="108"/>
      <c r="AD39" s="108"/>
      <c r="AE39" s="131" t="e">
        <f>SUMIF('[2]TONG XUAT BUN 2026'!$B:$F,A39,'[2]TONG XUAT BUN 2026'!$F:$F)</f>
        <v>#VALUE!</v>
      </c>
      <c r="AF39" s="111" t="s">
        <v>60</v>
      </c>
    </row>
    <row r="40" spans="1:32" s="111" customFormat="1" ht="60" x14ac:dyDescent="0.3">
      <c r="A40" s="152"/>
      <c r="B40" s="132"/>
      <c r="C40" s="133"/>
      <c r="D40" s="136"/>
      <c r="E40" s="135"/>
      <c r="F40" s="158"/>
      <c r="G40" s="158"/>
      <c r="H40" s="169"/>
      <c r="I40" s="138"/>
      <c r="J40" s="139"/>
      <c r="K40" s="158"/>
      <c r="L40" s="136"/>
      <c r="M40" s="158"/>
      <c r="N40" s="141"/>
      <c r="O40" s="143"/>
      <c r="P40" s="143"/>
      <c r="Q40" s="144"/>
      <c r="R40" s="145"/>
      <c r="S40" s="146"/>
      <c r="T40" s="147"/>
      <c r="U40" s="128"/>
      <c r="V40" s="129">
        <f t="shared" si="1"/>
        <v>0</v>
      </c>
      <c r="W40" s="130"/>
      <c r="X40" s="130"/>
      <c r="Y40" s="130"/>
      <c r="Z40" s="108"/>
      <c r="AA40" s="108"/>
      <c r="AB40" s="108"/>
      <c r="AC40" s="108"/>
      <c r="AD40" s="108"/>
      <c r="AE40" s="108"/>
      <c r="AF40" s="111" t="s">
        <v>60</v>
      </c>
    </row>
    <row r="41" spans="1:32" s="111" customFormat="1" ht="60" x14ac:dyDescent="0.3">
      <c r="A41" s="164" t="s">
        <v>147</v>
      </c>
      <c r="B41" s="164" t="s">
        <v>148</v>
      </c>
      <c r="C41" s="92" t="s">
        <v>149</v>
      </c>
      <c r="D41" s="115" t="s">
        <v>71</v>
      </c>
      <c r="E41" s="116" t="s">
        <v>150</v>
      </c>
      <c r="F41" s="156" t="s">
        <v>151</v>
      </c>
      <c r="G41" s="156" t="s">
        <v>152</v>
      </c>
      <c r="H41" s="123">
        <v>2000</v>
      </c>
      <c r="I41" s="120">
        <v>174</v>
      </c>
      <c r="J41" s="121">
        <v>174</v>
      </c>
      <c r="K41" s="157" t="s">
        <v>75</v>
      </c>
      <c r="L41" s="157" t="s">
        <v>76</v>
      </c>
      <c r="M41" s="157" t="s">
        <v>56</v>
      </c>
      <c r="N41" s="166">
        <v>189</v>
      </c>
      <c r="O41" s="123"/>
      <c r="P41" s="123" t="s">
        <v>58</v>
      </c>
      <c r="Q41" s="150">
        <v>46128</v>
      </c>
      <c r="R41" s="125">
        <f>S41-1</f>
        <v>46129</v>
      </c>
      <c r="S41" s="126">
        <v>46130</v>
      </c>
      <c r="T41" s="127" t="s">
        <v>59</v>
      </c>
      <c r="U41" s="128">
        <f>34+89+70</f>
        <v>193</v>
      </c>
      <c r="V41" s="129">
        <f t="shared" si="1"/>
        <v>4</v>
      </c>
      <c r="W41" s="130">
        <v>0</v>
      </c>
      <c r="X41" s="130">
        <v>0</v>
      </c>
      <c r="Y41" s="130">
        <v>2000</v>
      </c>
      <c r="Z41" s="108" t="b">
        <v>0</v>
      </c>
      <c r="AA41" s="108"/>
      <c r="AB41" s="108"/>
      <c r="AC41" s="108"/>
      <c r="AD41" s="108"/>
      <c r="AE41" s="131" t="e">
        <f>SUMIF('[2]TONG XUAT BUN 2026'!$B:$F,A41,'[2]TONG XUAT BUN 2026'!$F:$F)</f>
        <v>#VALUE!</v>
      </c>
      <c r="AF41" s="111" t="s">
        <v>60</v>
      </c>
    </row>
    <row r="42" spans="1:32" s="111" customFormat="1" ht="79.2" x14ac:dyDescent="0.3">
      <c r="A42" s="164" t="s">
        <v>153</v>
      </c>
      <c r="B42" s="164" t="s">
        <v>154</v>
      </c>
      <c r="C42" s="114" t="s">
        <v>155</v>
      </c>
      <c r="D42" s="115" t="s">
        <v>120</v>
      </c>
      <c r="E42" s="116" t="s">
        <v>150</v>
      </c>
      <c r="F42" s="148" t="s">
        <v>151</v>
      </c>
      <c r="G42" s="113" t="s">
        <v>152</v>
      </c>
      <c r="H42" s="168">
        <v>165</v>
      </c>
      <c r="I42" s="120">
        <v>15</v>
      </c>
      <c r="J42" s="121">
        <v>15</v>
      </c>
      <c r="K42" s="117" t="s">
        <v>75</v>
      </c>
      <c r="L42" s="117" t="s">
        <v>55</v>
      </c>
      <c r="M42" s="117" t="s">
        <v>56</v>
      </c>
      <c r="N42" s="166"/>
      <c r="O42" s="123"/>
      <c r="P42" s="123" t="s">
        <v>58</v>
      </c>
      <c r="Q42" s="124">
        <v>46133</v>
      </c>
      <c r="R42" s="125">
        <f>S42-1</f>
        <v>46135</v>
      </c>
      <c r="S42" s="126">
        <v>46136</v>
      </c>
      <c r="T42" s="127" t="s">
        <v>59</v>
      </c>
      <c r="U42" s="128"/>
      <c r="V42" s="129">
        <f t="shared" si="1"/>
        <v>0</v>
      </c>
      <c r="W42" s="130">
        <v>0</v>
      </c>
      <c r="X42" s="130">
        <v>0</v>
      </c>
      <c r="Y42" s="130">
        <v>165</v>
      </c>
      <c r="Z42" s="108" t="b">
        <v>1</v>
      </c>
      <c r="AA42" s="108"/>
      <c r="AB42" s="108"/>
      <c r="AC42" s="108"/>
      <c r="AD42" s="108"/>
      <c r="AE42" s="131" t="e">
        <f>SUMIF('[2]TONG XUAT BUN 2026'!$B:$F,A42,'[2]TONG XUAT BUN 2026'!$F:$F)</f>
        <v>#VALUE!</v>
      </c>
      <c r="AF42" s="111" t="s">
        <v>60</v>
      </c>
    </row>
    <row r="43" spans="1:32" s="111" customFormat="1" ht="60" x14ac:dyDescent="0.3">
      <c r="A43" s="132"/>
      <c r="B43" s="132"/>
      <c r="C43" s="133"/>
      <c r="D43" s="136"/>
      <c r="E43" s="135"/>
      <c r="F43" s="134"/>
      <c r="G43" s="152"/>
      <c r="H43" s="169"/>
      <c r="I43" s="138"/>
      <c r="J43" s="139"/>
      <c r="K43" s="140"/>
      <c r="L43" s="140"/>
      <c r="M43" s="140"/>
      <c r="N43" s="141"/>
      <c r="O43" s="143"/>
      <c r="P43" s="143"/>
      <c r="Q43" s="144"/>
      <c r="R43" s="145"/>
      <c r="S43" s="146"/>
      <c r="T43" s="147"/>
      <c r="U43" s="128"/>
      <c r="V43" s="129">
        <f t="shared" si="1"/>
        <v>0</v>
      </c>
      <c r="W43" s="130"/>
      <c r="X43" s="130"/>
      <c r="Y43" s="130"/>
      <c r="Z43" s="108"/>
      <c r="AA43" s="108"/>
      <c r="AB43" s="108"/>
      <c r="AC43" s="108"/>
      <c r="AD43" s="108"/>
      <c r="AE43" s="108"/>
      <c r="AF43" s="111" t="s">
        <v>60</v>
      </c>
    </row>
    <row r="44" spans="1:32" s="111" customFormat="1" ht="60" x14ac:dyDescent="0.3">
      <c r="A44" s="164" t="s">
        <v>156</v>
      </c>
      <c r="B44" s="164" t="s">
        <v>157</v>
      </c>
      <c r="C44" s="114" t="s">
        <v>155</v>
      </c>
      <c r="D44" s="115" t="s">
        <v>158</v>
      </c>
      <c r="E44" s="116" t="s">
        <v>91</v>
      </c>
      <c r="F44" s="156" t="s">
        <v>98</v>
      </c>
      <c r="G44" s="156" t="s">
        <v>99</v>
      </c>
      <c r="H44" s="123">
        <v>1750</v>
      </c>
      <c r="I44" s="120">
        <v>153</v>
      </c>
      <c r="J44" s="121">
        <v>153</v>
      </c>
      <c r="K44" s="157" t="s">
        <v>75</v>
      </c>
      <c r="L44" s="157" t="s">
        <v>76</v>
      </c>
      <c r="M44" s="157" t="s">
        <v>56</v>
      </c>
      <c r="N44" s="166">
        <v>258</v>
      </c>
      <c r="O44" s="123"/>
      <c r="P44" s="123" t="s">
        <v>58</v>
      </c>
      <c r="Q44" s="150">
        <v>46128</v>
      </c>
      <c r="R44" s="125">
        <f>S44-1</f>
        <v>46129</v>
      </c>
      <c r="S44" s="126">
        <v>46130</v>
      </c>
      <c r="T44" s="127" t="s">
        <v>59</v>
      </c>
      <c r="U44" s="128">
        <f>120-77+61+8+89-9-8+74</f>
        <v>258</v>
      </c>
      <c r="V44" s="129">
        <f t="shared" si="1"/>
        <v>0</v>
      </c>
      <c r="W44" s="130">
        <v>0</v>
      </c>
      <c r="X44" s="130">
        <v>0</v>
      </c>
      <c r="Y44" s="130">
        <v>1750</v>
      </c>
      <c r="Z44" s="108" t="b">
        <v>0</v>
      </c>
      <c r="AA44" s="108"/>
      <c r="AB44" s="108"/>
      <c r="AC44" s="108"/>
      <c r="AD44" s="108"/>
      <c r="AE44" s="131" t="e">
        <f>SUMIF('[2]TONG XUAT BUN 2026'!$B:$F,A44,'[2]TONG XUAT BUN 2026'!$F:$F)</f>
        <v>#VALUE!</v>
      </c>
      <c r="AF44" s="111" t="s">
        <v>60</v>
      </c>
    </row>
    <row r="45" spans="1:32" s="111" customFormat="1" ht="60" x14ac:dyDescent="0.3">
      <c r="A45" s="113" t="s">
        <v>159</v>
      </c>
      <c r="B45" s="164" t="s">
        <v>160</v>
      </c>
      <c r="C45" s="163" t="s">
        <v>161</v>
      </c>
      <c r="D45" s="115" t="s">
        <v>162</v>
      </c>
      <c r="E45" s="116" t="s">
        <v>91</v>
      </c>
      <c r="F45" s="171" t="s">
        <v>163</v>
      </c>
      <c r="G45" s="171" t="s">
        <v>164</v>
      </c>
      <c r="H45" s="123">
        <v>1000</v>
      </c>
      <c r="I45" s="120">
        <v>15</v>
      </c>
      <c r="J45" s="121">
        <v>15</v>
      </c>
      <c r="K45" s="171" t="s">
        <v>75</v>
      </c>
      <c r="L45" s="171" t="s">
        <v>76</v>
      </c>
      <c r="M45" s="171" t="s">
        <v>145</v>
      </c>
      <c r="N45" s="166"/>
      <c r="O45" s="123"/>
      <c r="P45" s="123" t="s">
        <v>58</v>
      </c>
      <c r="Q45" s="150">
        <v>46129</v>
      </c>
      <c r="R45" s="125">
        <f>S45-1-1</f>
        <v>46130</v>
      </c>
      <c r="S45" s="126">
        <v>46132</v>
      </c>
      <c r="T45" s="127" t="s">
        <v>59</v>
      </c>
      <c r="U45" s="128"/>
      <c r="V45" s="129">
        <f t="shared" si="1"/>
        <v>0</v>
      </c>
      <c r="W45" s="130">
        <v>0</v>
      </c>
      <c r="X45" s="130">
        <v>0</v>
      </c>
      <c r="Y45" s="130">
        <v>1000</v>
      </c>
      <c r="Z45" s="108" t="b">
        <v>1</v>
      </c>
      <c r="AA45" s="108"/>
      <c r="AB45" s="108"/>
      <c r="AC45" s="108"/>
      <c r="AD45" s="108"/>
      <c r="AE45" s="131" t="e">
        <f>SUMIF('[2]TONG XUAT BUN 2026'!$B:$F,A45,'[2]TONG XUAT BUN 2026'!$F:$F)</f>
        <v>#VALUE!</v>
      </c>
      <c r="AF45" s="111" t="s">
        <v>60</v>
      </c>
    </row>
    <row r="46" spans="1:32" s="111" customFormat="1" ht="60" x14ac:dyDescent="0.3">
      <c r="A46" s="164" t="s">
        <v>165</v>
      </c>
      <c r="B46" s="164" t="s">
        <v>166</v>
      </c>
      <c r="C46" s="172" t="s">
        <v>167</v>
      </c>
      <c r="D46" s="115" t="s">
        <v>71</v>
      </c>
      <c r="E46" s="116" t="s">
        <v>91</v>
      </c>
      <c r="F46" s="156" t="s">
        <v>92</v>
      </c>
      <c r="G46" s="156" t="s">
        <v>93</v>
      </c>
      <c r="H46" s="123">
        <v>2500</v>
      </c>
      <c r="I46" s="120">
        <v>90</v>
      </c>
      <c r="J46" s="121">
        <v>90</v>
      </c>
      <c r="K46" s="157" t="s">
        <v>75</v>
      </c>
      <c r="L46" s="157" t="s">
        <v>76</v>
      </c>
      <c r="M46" s="157" t="s">
        <v>94</v>
      </c>
      <c r="N46" s="166"/>
      <c r="O46" s="123"/>
      <c r="P46" s="123" t="s">
        <v>58</v>
      </c>
      <c r="Q46" s="150">
        <v>46129</v>
      </c>
      <c r="R46" s="125">
        <f>S46-1-1</f>
        <v>46130</v>
      </c>
      <c r="S46" s="126">
        <v>46132</v>
      </c>
      <c r="T46" s="127" t="s">
        <v>59</v>
      </c>
      <c r="U46" s="128"/>
      <c r="V46" s="129">
        <f t="shared" si="1"/>
        <v>0</v>
      </c>
      <c r="W46" s="130">
        <v>0</v>
      </c>
      <c r="X46" s="130">
        <v>0</v>
      </c>
      <c r="Y46" s="130">
        <v>2500</v>
      </c>
      <c r="Z46" s="108" t="b">
        <v>0</v>
      </c>
      <c r="AA46" s="108"/>
      <c r="AB46" s="108"/>
      <c r="AC46" s="108"/>
      <c r="AD46" s="108"/>
      <c r="AE46" s="131" t="e">
        <f>SUMIF('[2]TONG XUAT BUN 2026'!$B:$F,A46,'[2]TONG XUAT BUN 2026'!$F:$F)</f>
        <v>#VALUE!</v>
      </c>
      <c r="AF46" s="111" t="s">
        <v>60</v>
      </c>
    </row>
    <row r="47" spans="1:32" s="111" customFormat="1" ht="60" x14ac:dyDescent="0.3">
      <c r="A47" s="132"/>
      <c r="B47" s="132"/>
      <c r="C47" s="160"/>
      <c r="D47" s="140"/>
      <c r="E47" s="135"/>
      <c r="F47" s="134"/>
      <c r="G47" s="152"/>
      <c r="H47" s="169"/>
      <c r="I47" s="138"/>
      <c r="J47" s="139"/>
      <c r="K47" s="140"/>
      <c r="L47" s="140"/>
      <c r="M47" s="140"/>
      <c r="N47" s="141"/>
      <c r="O47" s="143"/>
      <c r="P47" s="143"/>
      <c r="Q47" s="144"/>
      <c r="R47" s="145"/>
      <c r="S47" s="146"/>
      <c r="T47" s="147"/>
      <c r="U47" s="128"/>
      <c r="V47" s="129">
        <f t="shared" si="1"/>
        <v>0</v>
      </c>
      <c r="W47" s="130"/>
      <c r="X47" s="130"/>
      <c r="Y47" s="130"/>
      <c r="Z47" s="108"/>
      <c r="AA47" s="108"/>
      <c r="AB47" s="108"/>
      <c r="AC47" s="108"/>
      <c r="AD47" s="108"/>
      <c r="AE47" s="108"/>
      <c r="AF47" s="111" t="s">
        <v>60</v>
      </c>
    </row>
    <row r="48" spans="1:32" s="111" customFormat="1" ht="79.2" x14ac:dyDescent="0.3">
      <c r="A48" s="164" t="s">
        <v>168</v>
      </c>
      <c r="B48" s="164" t="s">
        <v>169</v>
      </c>
      <c r="C48" s="172" t="s">
        <v>167</v>
      </c>
      <c r="D48" s="115" t="s">
        <v>120</v>
      </c>
      <c r="E48" s="116" t="s">
        <v>51</v>
      </c>
      <c r="F48" s="148" t="s">
        <v>170</v>
      </c>
      <c r="G48" s="113" t="s">
        <v>171</v>
      </c>
      <c r="H48" s="168">
        <v>25</v>
      </c>
      <c r="I48" s="120">
        <v>1</v>
      </c>
      <c r="J48" s="121">
        <v>1</v>
      </c>
      <c r="K48" s="117" t="s">
        <v>172</v>
      </c>
      <c r="L48" s="117" t="s">
        <v>55</v>
      </c>
      <c r="M48" s="117" t="s">
        <v>56</v>
      </c>
      <c r="N48" s="166">
        <v>3</v>
      </c>
      <c r="O48" s="123"/>
      <c r="P48" s="123" t="s">
        <v>58</v>
      </c>
      <c r="Q48" s="150">
        <v>46129</v>
      </c>
      <c r="R48" s="125">
        <f>S48-1-1</f>
        <v>46130</v>
      </c>
      <c r="S48" s="126">
        <v>46132</v>
      </c>
      <c r="T48" s="127" t="s">
        <v>59</v>
      </c>
      <c r="U48" s="128">
        <v>3</v>
      </c>
      <c r="V48" s="129">
        <f t="shared" si="1"/>
        <v>0</v>
      </c>
      <c r="W48" s="130">
        <v>0</v>
      </c>
      <c r="X48" s="130">
        <v>0</v>
      </c>
      <c r="Y48" s="130">
        <v>25</v>
      </c>
      <c r="Z48" s="108" t="b">
        <v>0</v>
      </c>
      <c r="AA48" s="108"/>
      <c r="AB48" s="108"/>
      <c r="AC48" s="108"/>
      <c r="AD48" s="108"/>
      <c r="AE48" s="131" t="e">
        <f>SUMIF('[2]TONG XUAT BUN 2026'!$B:$F,A48,'[2]TONG XUAT BUN 2026'!$F:$F)</f>
        <v>#VALUE!</v>
      </c>
      <c r="AF48" s="111" t="s">
        <v>60</v>
      </c>
    </row>
    <row r="49" spans="1:32" s="111" customFormat="1" ht="60" x14ac:dyDescent="0.3">
      <c r="A49" s="173" t="s">
        <v>173</v>
      </c>
      <c r="B49" s="164" t="s">
        <v>174</v>
      </c>
      <c r="C49" s="172" t="s">
        <v>167</v>
      </c>
      <c r="D49" s="117" t="s">
        <v>175</v>
      </c>
      <c r="E49" s="116" t="s">
        <v>51</v>
      </c>
      <c r="F49" s="148" t="s">
        <v>170</v>
      </c>
      <c r="G49" s="113" t="s">
        <v>171</v>
      </c>
      <c r="H49" s="168">
        <v>50</v>
      </c>
      <c r="I49" s="120">
        <v>2</v>
      </c>
      <c r="J49" s="121">
        <v>2</v>
      </c>
      <c r="K49" s="117" t="s">
        <v>172</v>
      </c>
      <c r="L49" s="117" t="s">
        <v>55</v>
      </c>
      <c r="M49" s="117" t="s">
        <v>56</v>
      </c>
      <c r="N49" s="166"/>
      <c r="O49" s="174" t="s">
        <v>176</v>
      </c>
      <c r="P49" s="123" t="s">
        <v>58</v>
      </c>
      <c r="Q49" s="150">
        <v>46129</v>
      </c>
      <c r="R49" s="125">
        <f>S49-1-1</f>
        <v>46130</v>
      </c>
      <c r="S49" s="126">
        <v>46132</v>
      </c>
      <c r="T49" s="127" t="s">
        <v>59</v>
      </c>
      <c r="U49" s="128"/>
      <c r="V49" s="129">
        <f t="shared" si="1"/>
        <v>0</v>
      </c>
      <c r="W49" s="130">
        <v>0</v>
      </c>
      <c r="X49" s="130">
        <v>0</v>
      </c>
      <c r="Y49" s="130">
        <v>50</v>
      </c>
      <c r="Z49" s="108" t="b">
        <v>1</v>
      </c>
      <c r="AA49" s="108"/>
      <c r="AB49" s="108"/>
      <c r="AC49" s="108"/>
      <c r="AD49" s="108"/>
      <c r="AE49" s="131" t="e">
        <f>SUMIF('[2]TONG XUAT BUN 2026'!$B:$F,A49,'[2]TONG XUAT BUN 2026'!$F:$F)</f>
        <v>#VALUE!</v>
      </c>
      <c r="AF49" s="111" t="s">
        <v>60</v>
      </c>
    </row>
    <row r="50" spans="1:32" s="111" customFormat="1" ht="60" x14ac:dyDescent="0.3">
      <c r="A50" s="132"/>
      <c r="B50" s="132"/>
      <c r="C50" s="133"/>
      <c r="D50" s="140"/>
      <c r="E50" s="135"/>
      <c r="F50" s="134"/>
      <c r="G50" s="152"/>
      <c r="H50" s="169"/>
      <c r="I50" s="138"/>
      <c r="J50" s="139"/>
      <c r="K50" s="140"/>
      <c r="L50" s="140"/>
      <c r="M50" s="140"/>
      <c r="N50" s="141"/>
      <c r="O50" s="143"/>
      <c r="P50" s="143"/>
      <c r="Q50" s="144"/>
      <c r="R50" s="145"/>
      <c r="S50" s="146"/>
      <c r="T50" s="147"/>
      <c r="U50" s="128"/>
      <c r="V50" s="129">
        <f t="shared" si="1"/>
        <v>0</v>
      </c>
      <c r="W50" s="130"/>
      <c r="X50" s="130"/>
      <c r="Y50" s="130"/>
      <c r="Z50" s="108"/>
      <c r="AA50" s="108"/>
      <c r="AB50" s="108"/>
      <c r="AC50" s="108"/>
      <c r="AD50" s="108"/>
      <c r="AE50" s="108"/>
      <c r="AF50" s="111" t="s">
        <v>60</v>
      </c>
    </row>
    <row r="51" spans="1:32" s="111" customFormat="1" ht="60" x14ac:dyDescent="0.3">
      <c r="A51" s="164" t="s">
        <v>177</v>
      </c>
      <c r="B51" s="164" t="s">
        <v>178</v>
      </c>
      <c r="C51" s="172" t="s">
        <v>167</v>
      </c>
      <c r="D51" s="115" t="s">
        <v>179</v>
      </c>
      <c r="E51" s="116" t="s">
        <v>180</v>
      </c>
      <c r="F51" s="148" t="s">
        <v>181</v>
      </c>
      <c r="G51" s="113" t="s">
        <v>182</v>
      </c>
      <c r="H51" s="168">
        <v>210</v>
      </c>
      <c r="I51" s="120">
        <v>4</v>
      </c>
      <c r="J51" s="121">
        <v>4</v>
      </c>
      <c r="K51" s="117" t="s">
        <v>183</v>
      </c>
      <c r="L51" s="117" t="s">
        <v>55</v>
      </c>
      <c r="M51" s="117" t="s">
        <v>56</v>
      </c>
      <c r="N51" s="166">
        <v>4</v>
      </c>
      <c r="O51" s="123"/>
      <c r="P51" s="123" t="s">
        <v>58</v>
      </c>
      <c r="Q51" s="124">
        <v>46130</v>
      </c>
      <c r="R51" s="125">
        <f>S51-1</f>
        <v>46133</v>
      </c>
      <c r="S51" s="126">
        <v>46134</v>
      </c>
      <c r="T51" s="127" t="s">
        <v>59</v>
      </c>
      <c r="U51" s="128">
        <v>6</v>
      </c>
      <c r="V51" s="129">
        <f t="shared" si="1"/>
        <v>2</v>
      </c>
      <c r="W51" s="130">
        <v>0</v>
      </c>
      <c r="X51" s="130">
        <v>0</v>
      </c>
      <c r="Y51" s="130">
        <v>210</v>
      </c>
      <c r="Z51" s="108" t="b">
        <v>1</v>
      </c>
      <c r="AA51" s="108"/>
      <c r="AB51" s="108"/>
      <c r="AC51" s="108"/>
      <c r="AD51" s="108"/>
      <c r="AE51" s="131" t="e">
        <f>SUMIF('[2]TONG XUAT BUN 2026'!$B:$F,A51,'[2]TONG XUAT BUN 2026'!$F:$F)</f>
        <v>#VALUE!</v>
      </c>
      <c r="AF51" s="111" t="s">
        <v>60</v>
      </c>
    </row>
    <row r="52" spans="1:32" s="111" customFormat="1" ht="60" x14ac:dyDescent="0.3">
      <c r="A52" s="132"/>
      <c r="B52" s="132"/>
      <c r="C52" s="133"/>
      <c r="D52" s="136"/>
      <c r="E52" s="135"/>
      <c r="F52" s="134"/>
      <c r="G52" s="152"/>
      <c r="H52" s="169"/>
      <c r="I52" s="138"/>
      <c r="J52" s="139"/>
      <c r="K52" s="140"/>
      <c r="L52" s="140"/>
      <c r="M52" s="140"/>
      <c r="N52" s="141"/>
      <c r="O52" s="143"/>
      <c r="P52" s="143"/>
      <c r="Q52" s="144"/>
      <c r="R52" s="145"/>
      <c r="S52" s="146"/>
      <c r="T52" s="147"/>
      <c r="U52" s="128"/>
      <c r="V52" s="129">
        <f t="shared" si="1"/>
        <v>0</v>
      </c>
      <c r="W52" s="130"/>
      <c r="X52" s="130"/>
      <c r="Y52" s="130"/>
      <c r="Z52" s="108"/>
      <c r="AA52" s="108"/>
      <c r="AB52" s="108"/>
      <c r="AC52" s="108"/>
      <c r="AD52" s="108"/>
      <c r="AE52" s="108"/>
      <c r="AF52" s="111" t="s">
        <v>60</v>
      </c>
    </row>
    <row r="53" spans="1:32" s="111" customFormat="1" ht="60" x14ac:dyDescent="0.3">
      <c r="A53" s="164" t="s">
        <v>184</v>
      </c>
      <c r="B53" s="164" t="s">
        <v>185</v>
      </c>
      <c r="C53" s="172" t="s">
        <v>167</v>
      </c>
      <c r="D53" s="115" t="s">
        <v>179</v>
      </c>
      <c r="E53" s="116" t="s">
        <v>186</v>
      </c>
      <c r="F53" s="148" t="s">
        <v>187</v>
      </c>
      <c r="G53" s="113" t="s">
        <v>188</v>
      </c>
      <c r="H53" s="168">
        <v>112</v>
      </c>
      <c r="I53" s="120">
        <v>4</v>
      </c>
      <c r="J53" s="121">
        <v>4</v>
      </c>
      <c r="K53" s="117" t="s">
        <v>137</v>
      </c>
      <c r="L53" s="117" t="s">
        <v>55</v>
      </c>
      <c r="M53" s="117" t="s">
        <v>94</v>
      </c>
      <c r="N53" s="166">
        <v>4</v>
      </c>
      <c r="O53" s="123"/>
      <c r="P53" s="123" t="s">
        <v>58</v>
      </c>
      <c r="Q53" s="124">
        <v>46130</v>
      </c>
      <c r="R53" s="125">
        <f>S53-1</f>
        <v>46133</v>
      </c>
      <c r="S53" s="126">
        <v>46134</v>
      </c>
      <c r="T53" s="127" t="s">
        <v>59</v>
      </c>
      <c r="U53" s="128">
        <v>4</v>
      </c>
      <c r="V53" s="129">
        <f t="shared" si="1"/>
        <v>0</v>
      </c>
      <c r="W53" s="130">
        <v>0</v>
      </c>
      <c r="X53" s="130">
        <v>0</v>
      </c>
      <c r="Y53" s="130">
        <v>112</v>
      </c>
      <c r="Z53" s="108" t="b">
        <v>1</v>
      </c>
      <c r="AA53" s="108"/>
      <c r="AB53" s="108"/>
      <c r="AC53" s="108"/>
      <c r="AD53" s="108"/>
      <c r="AE53" s="131" t="e">
        <f>SUMIF('[2]TONG XUAT BUN 2026'!$B:$F,A53,'[2]TONG XUAT BUN 2026'!$F:$F)</f>
        <v>#VALUE!</v>
      </c>
      <c r="AF53" s="111" t="s">
        <v>60</v>
      </c>
    </row>
    <row r="54" spans="1:32" s="111" customFormat="1" ht="60" x14ac:dyDescent="0.3">
      <c r="A54" s="132"/>
      <c r="B54" s="132"/>
      <c r="C54" s="133"/>
      <c r="D54" s="136"/>
      <c r="E54" s="135"/>
      <c r="F54" s="134"/>
      <c r="G54" s="152"/>
      <c r="H54" s="153"/>
      <c r="I54" s="138"/>
      <c r="J54" s="139"/>
      <c r="K54" s="140"/>
      <c r="L54" s="140"/>
      <c r="M54" s="140"/>
      <c r="N54" s="141"/>
      <c r="O54" s="143"/>
      <c r="P54" s="143"/>
      <c r="Q54" s="144"/>
      <c r="R54" s="145"/>
      <c r="S54" s="146"/>
      <c r="T54" s="147"/>
      <c r="U54" s="128"/>
      <c r="V54" s="129">
        <f t="shared" si="1"/>
        <v>0</v>
      </c>
      <c r="W54" s="130"/>
      <c r="X54" s="130"/>
      <c r="Y54" s="130"/>
      <c r="Z54" s="108"/>
      <c r="AA54" s="108"/>
      <c r="AB54" s="108"/>
      <c r="AC54" s="108"/>
      <c r="AD54" s="108"/>
      <c r="AE54" s="108"/>
      <c r="AF54" s="111" t="s">
        <v>60</v>
      </c>
    </row>
    <row r="55" spans="1:32" s="111" customFormat="1" ht="60" x14ac:dyDescent="0.3">
      <c r="A55" s="175" t="s">
        <v>189</v>
      </c>
      <c r="B55" s="175" t="s">
        <v>190</v>
      </c>
      <c r="C55" s="172" t="s">
        <v>167</v>
      </c>
      <c r="D55" s="148" t="s">
        <v>103</v>
      </c>
      <c r="E55" s="176" t="s">
        <v>191</v>
      </c>
      <c r="F55" s="177" t="s">
        <v>192</v>
      </c>
      <c r="G55" s="178" t="s">
        <v>193</v>
      </c>
      <c r="H55" s="179">
        <v>256</v>
      </c>
      <c r="I55" s="180">
        <v>6</v>
      </c>
      <c r="J55" s="181">
        <v>6</v>
      </c>
      <c r="K55" s="182" t="s">
        <v>137</v>
      </c>
      <c r="L55" s="183" t="s">
        <v>76</v>
      </c>
      <c r="M55" s="182" t="s">
        <v>94</v>
      </c>
      <c r="N55" s="166">
        <v>6</v>
      </c>
      <c r="O55" s="184" t="s">
        <v>108</v>
      </c>
      <c r="P55" s="123" t="s">
        <v>58</v>
      </c>
      <c r="Q55" s="124">
        <v>46130</v>
      </c>
      <c r="R55" s="125">
        <f>S55-1</f>
        <v>46132</v>
      </c>
      <c r="S55" s="126">
        <v>46133</v>
      </c>
      <c r="T55" s="127" t="s">
        <v>109</v>
      </c>
      <c r="U55" s="128">
        <v>6</v>
      </c>
      <c r="V55" s="129">
        <f t="shared" si="1"/>
        <v>0</v>
      </c>
      <c r="W55" s="130">
        <v>0</v>
      </c>
      <c r="X55" s="130">
        <v>0</v>
      </c>
      <c r="Y55" s="130">
        <v>256</v>
      </c>
      <c r="Z55" s="108" t="b">
        <v>1</v>
      </c>
      <c r="AA55" s="108"/>
      <c r="AB55" s="108"/>
      <c r="AC55" s="108"/>
      <c r="AD55" s="108"/>
      <c r="AE55" s="131" t="e">
        <f>SUMIF('[2]TONG XUAT BUN 2026'!$B:$F,A55,'[2]TONG XUAT BUN 2026'!$F:$F)</f>
        <v>#VALUE!</v>
      </c>
      <c r="AF55" s="111" t="s">
        <v>60</v>
      </c>
    </row>
    <row r="56" spans="1:32" s="111" customFormat="1" ht="60" x14ac:dyDescent="0.3">
      <c r="A56" s="132"/>
      <c r="B56" s="132"/>
      <c r="C56" s="133"/>
      <c r="D56" s="136"/>
      <c r="E56" s="135"/>
      <c r="F56" s="134"/>
      <c r="G56" s="152"/>
      <c r="H56" s="153"/>
      <c r="I56" s="138"/>
      <c r="J56" s="139"/>
      <c r="K56" s="140"/>
      <c r="L56" s="140"/>
      <c r="M56" s="140"/>
      <c r="N56" s="141"/>
      <c r="O56" s="143"/>
      <c r="P56" s="143"/>
      <c r="Q56" s="144"/>
      <c r="R56" s="145"/>
      <c r="S56" s="146"/>
      <c r="T56" s="147"/>
      <c r="U56" s="128"/>
      <c r="V56" s="129">
        <f t="shared" si="1"/>
        <v>0</v>
      </c>
      <c r="W56" s="130"/>
      <c r="X56" s="130"/>
      <c r="Y56" s="130"/>
      <c r="Z56" s="108"/>
      <c r="AA56" s="108"/>
      <c r="AB56" s="108"/>
      <c r="AC56" s="108"/>
      <c r="AD56" s="108"/>
      <c r="AE56" s="108"/>
      <c r="AF56" s="111" t="s">
        <v>60</v>
      </c>
    </row>
    <row r="57" spans="1:32" s="111" customFormat="1" ht="60" x14ac:dyDescent="0.3">
      <c r="A57" s="173" t="s">
        <v>194</v>
      </c>
      <c r="B57" s="164" t="s">
        <v>195</v>
      </c>
      <c r="C57" s="172" t="s">
        <v>167</v>
      </c>
      <c r="D57" s="117" t="s">
        <v>175</v>
      </c>
      <c r="E57" s="116" t="s">
        <v>196</v>
      </c>
      <c r="F57" s="148" t="s">
        <v>197</v>
      </c>
      <c r="G57" s="113" t="s">
        <v>198</v>
      </c>
      <c r="H57" s="168">
        <v>33</v>
      </c>
      <c r="I57" s="120">
        <v>1</v>
      </c>
      <c r="J57" s="121">
        <v>1</v>
      </c>
      <c r="K57" s="117" t="s">
        <v>137</v>
      </c>
      <c r="L57" s="117" t="s">
        <v>55</v>
      </c>
      <c r="M57" s="117" t="s">
        <v>56</v>
      </c>
      <c r="N57" s="166">
        <v>1</v>
      </c>
      <c r="O57" s="174" t="s">
        <v>176</v>
      </c>
      <c r="P57" s="123" t="s">
        <v>58</v>
      </c>
      <c r="Q57" s="150">
        <v>46130</v>
      </c>
      <c r="R57" s="125">
        <f>S57-1</f>
        <v>46132</v>
      </c>
      <c r="S57" s="126">
        <v>46133</v>
      </c>
      <c r="T57" s="127" t="s">
        <v>59</v>
      </c>
      <c r="U57" s="128">
        <v>1</v>
      </c>
      <c r="V57" s="129">
        <f t="shared" si="1"/>
        <v>0</v>
      </c>
      <c r="W57" s="130">
        <v>0</v>
      </c>
      <c r="X57" s="130">
        <v>0</v>
      </c>
      <c r="Y57" s="130">
        <v>33</v>
      </c>
      <c r="Z57" s="108" t="b">
        <v>1</v>
      </c>
      <c r="AA57" s="108"/>
      <c r="AB57" s="108"/>
      <c r="AC57" s="108"/>
      <c r="AD57" s="108"/>
      <c r="AE57" s="131" t="e">
        <f>SUMIF('[2]TONG XUAT BUN 2026'!$B:$F,A57,'[2]TONG XUAT BUN 2026'!$F:$F)</f>
        <v>#VALUE!</v>
      </c>
      <c r="AF57" s="111" t="s">
        <v>60</v>
      </c>
    </row>
    <row r="58" spans="1:32" s="111" customFormat="1" ht="60" x14ac:dyDescent="0.3">
      <c r="A58" s="132"/>
      <c r="B58" s="132"/>
      <c r="C58" s="133"/>
      <c r="D58" s="140"/>
      <c r="E58" s="135"/>
      <c r="F58" s="134"/>
      <c r="G58" s="152"/>
      <c r="H58" s="169"/>
      <c r="I58" s="138"/>
      <c r="J58" s="139"/>
      <c r="K58" s="140"/>
      <c r="L58" s="140"/>
      <c r="M58" s="140"/>
      <c r="N58" s="141"/>
      <c r="O58" s="143"/>
      <c r="P58" s="143"/>
      <c r="Q58" s="144"/>
      <c r="R58" s="145"/>
      <c r="S58" s="146"/>
      <c r="T58" s="147"/>
      <c r="U58" s="128"/>
      <c r="V58" s="129">
        <f t="shared" si="1"/>
        <v>0</v>
      </c>
      <c r="W58" s="130"/>
      <c r="X58" s="130"/>
      <c r="Y58" s="130"/>
      <c r="Z58" s="108"/>
      <c r="AA58" s="108"/>
      <c r="AB58" s="108"/>
      <c r="AC58" s="108"/>
      <c r="AD58" s="108"/>
      <c r="AE58" s="108"/>
      <c r="AF58" s="111" t="s">
        <v>60</v>
      </c>
    </row>
    <row r="59" spans="1:32" s="111" customFormat="1" ht="60" x14ac:dyDescent="0.3">
      <c r="A59" s="164" t="s">
        <v>199</v>
      </c>
      <c r="B59" s="164" t="s">
        <v>200</v>
      </c>
      <c r="C59" s="172" t="s">
        <v>167</v>
      </c>
      <c r="D59" s="115" t="s">
        <v>133</v>
      </c>
      <c r="E59" s="116" t="s">
        <v>201</v>
      </c>
      <c r="F59" s="156" t="s">
        <v>202</v>
      </c>
      <c r="G59" s="156" t="s">
        <v>203</v>
      </c>
      <c r="H59" s="149">
        <v>500</v>
      </c>
      <c r="I59" s="120">
        <v>20</v>
      </c>
      <c r="J59" s="121">
        <v>20</v>
      </c>
      <c r="K59" s="157" t="s">
        <v>137</v>
      </c>
      <c r="L59" s="157" t="s">
        <v>76</v>
      </c>
      <c r="M59" s="157" t="s">
        <v>56</v>
      </c>
      <c r="N59" s="166">
        <v>20</v>
      </c>
      <c r="O59" s="123"/>
      <c r="P59" s="123" t="s">
        <v>58</v>
      </c>
      <c r="Q59" s="150">
        <v>46129</v>
      </c>
      <c r="R59" s="125">
        <f>S59-1-1</f>
        <v>46130</v>
      </c>
      <c r="S59" s="126">
        <v>46132</v>
      </c>
      <c r="T59" s="127" t="s">
        <v>59</v>
      </c>
      <c r="U59" s="128">
        <v>20</v>
      </c>
      <c r="V59" s="129">
        <f t="shared" si="1"/>
        <v>0</v>
      </c>
      <c r="W59" s="130">
        <v>0</v>
      </c>
      <c r="X59" s="130">
        <v>0</v>
      </c>
      <c r="Y59" s="130">
        <v>500</v>
      </c>
      <c r="Z59" s="108" t="b">
        <v>0</v>
      </c>
      <c r="AA59" s="108"/>
      <c r="AB59" s="108"/>
      <c r="AC59" s="108"/>
      <c r="AD59" s="108"/>
      <c r="AE59" s="131" t="e">
        <f>SUMIF('[2]TONG XUAT BUN 2026'!$B:$F,A59,'[2]TONG XUAT BUN 2026'!$F:$F)</f>
        <v>#VALUE!</v>
      </c>
      <c r="AF59" s="111" t="s">
        <v>60</v>
      </c>
    </row>
    <row r="60" spans="1:32" s="111" customFormat="1" ht="60" x14ac:dyDescent="0.3">
      <c r="A60" s="132"/>
      <c r="B60" s="132"/>
      <c r="C60" s="133"/>
      <c r="D60" s="136"/>
      <c r="E60" s="135"/>
      <c r="F60" s="158"/>
      <c r="G60" s="158"/>
      <c r="H60" s="153"/>
      <c r="I60" s="138"/>
      <c r="J60" s="139"/>
      <c r="K60" s="159"/>
      <c r="L60" s="159"/>
      <c r="M60" s="159"/>
      <c r="N60" s="141"/>
      <c r="O60" s="143"/>
      <c r="P60" s="143"/>
      <c r="Q60" s="144"/>
      <c r="R60" s="145"/>
      <c r="S60" s="146"/>
      <c r="T60" s="147"/>
      <c r="U60" s="128"/>
      <c r="V60" s="129">
        <f t="shared" si="1"/>
        <v>0</v>
      </c>
      <c r="W60" s="130"/>
      <c r="X60" s="130"/>
      <c r="Y60" s="130"/>
      <c r="Z60" s="108"/>
      <c r="AA60" s="108"/>
      <c r="AB60" s="108"/>
      <c r="AC60" s="108"/>
      <c r="AD60" s="108"/>
      <c r="AE60" s="108"/>
      <c r="AF60" s="111" t="s">
        <v>60</v>
      </c>
    </row>
    <row r="61" spans="1:32" s="111" customFormat="1" ht="60" x14ac:dyDescent="0.3">
      <c r="A61" s="164" t="s">
        <v>204</v>
      </c>
      <c r="B61" s="164" t="s">
        <v>205</v>
      </c>
      <c r="C61" s="172" t="s">
        <v>167</v>
      </c>
      <c r="D61" s="115" t="s">
        <v>133</v>
      </c>
      <c r="E61" s="116" t="s">
        <v>206</v>
      </c>
      <c r="F61" s="156" t="s">
        <v>207</v>
      </c>
      <c r="G61" s="156" t="s">
        <v>208</v>
      </c>
      <c r="H61" s="149">
        <v>1000</v>
      </c>
      <c r="I61" s="120">
        <v>31</v>
      </c>
      <c r="J61" s="121">
        <v>31</v>
      </c>
      <c r="K61" s="157" t="s">
        <v>137</v>
      </c>
      <c r="L61" s="157" t="s">
        <v>76</v>
      </c>
      <c r="M61" s="157" t="s">
        <v>56</v>
      </c>
      <c r="N61" s="166">
        <v>31</v>
      </c>
      <c r="O61" s="123"/>
      <c r="P61" s="123" t="s">
        <v>58</v>
      </c>
      <c r="Q61" s="150">
        <v>46129</v>
      </c>
      <c r="R61" s="145"/>
      <c r="S61" s="126">
        <v>46132</v>
      </c>
      <c r="T61" s="127" t="s">
        <v>59</v>
      </c>
      <c r="U61" s="128">
        <v>31</v>
      </c>
      <c r="V61" s="129">
        <f t="shared" si="1"/>
        <v>0</v>
      </c>
      <c r="W61" s="130">
        <v>0</v>
      </c>
      <c r="X61" s="130">
        <v>0</v>
      </c>
      <c r="Y61" s="130">
        <v>1000</v>
      </c>
      <c r="Z61" s="108" t="b">
        <v>0</v>
      </c>
      <c r="AA61" s="108"/>
      <c r="AB61" s="108"/>
      <c r="AC61" s="108"/>
      <c r="AD61" s="108"/>
      <c r="AE61" s="131" t="e">
        <f>SUMIF('[2]TONG XUAT BUN 2026'!$B:$F,A61,'[2]TONG XUAT BUN 2026'!$F:$F)</f>
        <v>#VALUE!</v>
      </c>
      <c r="AF61" s="111" t="s">
        <v>60</v>
      </c>
    </row>
    <row r="62" spans="1:32" s="111" customFormat="1" ht="60" x14ac:dyDescent="0.3">
      <c r="A62" s="132"/>
      <c r="B62" s="132"/>
      <c r="C62" s="133"/>
      <c r="D62" s="136"/>
      <c r="E62" s="135"/>
      <c r="F62" s="158"/>
      <c r="G62" s="158"/>
      <c r="H62" s="153"/>
      <c r="I62" s="138"/>
      <c r="J62" s="139"/>
      <c r="K62" s="159"/>
      <c r="L62" s="159"/>
      <c r="M62" s="159"/>
      <c r="N62" s="141"/>
      <c r="O62" s="143"/>
      <c r="P62" s="143"/>
      <c r="Q62" s="144"/>
      <c r="S62" s="146"/>
      <c r="T62" s="147"/>
      <c r="U62" s="128"/>
      <c r="V62" s="129">
        <f t="shared" si="1"/>
        <v>0</v>
      </c>
      <c r="W62" s="130"/>
      <c r="X62" s="130"/>
      <c r="Y62" s="130"/>
      <c r="Z62" s="108"/>
      <c r="AA62" s="108"/>
      <c r="AB62" s="108"/>
      <c r="AC62" s="108"/>
      <c r="AD62" s="108"/>
      <c r="AE62" s="108"/>
      <c r="AF62" s="111" t="s">
        <v>60</v>
      </c>
    </row>
    <row r="63" spans="1:32" s="111" customFormat="1" ht="60" x14ac:dyDescent="0.3">
      <c r="A63" s="173" t="s">
        <v>209</v>
      </c>
      <c r="B63" s="113" t="s">
        <v>210</v>
      </c>
      <c r="C63" s="172" t="s">
        <v>167</v>
      </c>
      <c r="D63" s="115" t="s">
        <v>133</v>
      </c>
      <c r="E63" s="116" t="s">
        <v>134</v>
      </c>
      <c r="F63" s="156" t="s">
        <v>135</v>
      </c>
      <c r="G63" s="156" t="s">
        <v>136</v>
      </c>
      <c r="H63" s="149">
        <v>2000</v>
      </c>
      <c r="I63" s="120">
        <v>61</v>
      </c>
      <c r="J63" s="121">
        <v>61</v>
      </c>
      <c r="K63" s="157" t="s">
        <v>137</v>
      </c>
      <c r="L63" s="157" t="s">
        <v>76</v>
      </c>
      <c r="M63" s="157" t="s">
        <v>56</v>
      </c>
      <c r="N63" s="122">
        <v>61</v>
      </c>
      <c r="O63" s="174" t="s">
        <v>176</v>
      </c>
      <c r="P63" s="123" t="s">
        <v>58</v>
      </c>
      <c r="Q63" s="150">
        <v>46130</v>
      </c>
      <c r="R63" s="185">
        <f>S63-1</f>
        <v>46132</v>
      </c>
      <c r="S63" s="126">
        <v>46133</v>
      </c>
      <c r="T63" s="127" t="s">
        <v>211</v>
      </c>
      <c r="U63" s="128">
        <f>23+40-2</f>
        <v>61</v>
      </c>
      <c r="V63" s="129">
        <f t="shared" si="1"/>
        <v>0</v>
      </c>
      <c r="W63" s="130">
        <v>0</v>
      </c>
      <c r="X63" s="130">
        <v>0</v>
      </c>
      <c r="Y63" s="130">
        <v>2000</v>
      </c>
      <c r="Z63" s="108" t="b">
        <v>0</v>
      </c>
      <c r="AA63" s="108" t="s">
        <v>212</v>
      </c>
      <c r="AB63" s="108"/>
      <c r="AC63" s="108"/>
      <c r="AD63" s="108"/>
      <c r="AE63" s="131" t="e">
        <f>SUMIF('[2]TONG XUAT BUN 2026'!$B:$F,A63,'[2]TONG XUAT BUN 2026'!$F:$F)</f>
        <v>#VALUE!</v>
      </c>
      <c r="AF63" s="111" t="s">
        <v>60</v>
      </c>
    </row>
    <row r="64" spans="1:32" s="111" customFormat="1" ht="60" x14ac:dyDescent="0.3">
      <c r="A64" s="132"/>
      <c r="B64" s="132"/>
      <c r="C64" s="160"/>
      <c r="D64" s="140"/>
      <c r="E64" s="135"/>
      <c r="F64" s="134"/>
      <c r="G64" s="152"/>
      <c r="H64" s="169"/>
      <c r="I64" s="138"/>
      <c r="J64" s="139"/>
      <c r="K64" s="140"/>
      <c r="L64" s="140"/>
      <c r="M64" s="140"/>
      <c r="N64" s="141"/>
      <c r="O64" s="143"/>
      <c r="P64" s="143"/>
      <c r="Q64" s="144"/>
      <c r="R64" s="145"/>
      <c r="S64" s="146"/>
      <c r="T64" s="147"/>
      <c r="U64" s="128"/>
      <c r="V64" s="129">
        <f t="shared" si="1"/>
        <v>0</v>
      </c>
      <c r="W64" s="130"/>
      <c r="X64" s="130"/>
      <c r="Y64" s="130"/>
      <c r="Z64" s="108"/>
      <c r="AA64" s="108"/>
      <c r="AB64" s="108"/>
      <c r="AC64" s="108"/>
      <c r="AD64" s="108"/>
      <c r="AE64" s="108"/>
      <c r="AF64" s="111" t="s">
        <v>60</v>
      </c>
    </row>
    <row r="65" spans="1:32" s="111" customFormat="1" ht="60" x14ac:dyDescent="0.3">
      <c r="A65" s="164" t="s">
        <v>213</v>
      </c>
      <c r="B65" s="164" t="s">
        <v>214</v>
      </c>
      <c r="C65" s="172" t="s">
        <v>167</v>
      </c>
      <c r="D65" s="115" t="s">
        <v>179</v>
      </c>
      <c r="E65" s="116" t="s">
        <v>215</v>
      </c>
      <c r="F65" s="148" t="s">
        <v>216</v>
      </c>
      <c r="G65" s="113" t="s">
        <v>217</v>
      </c>
      <c r="H65" s="168">
        <v>357</v>
      </c>
      <c r="I65" s="120">
        <v>18</v>
      </c>
      <c r="J65" s="121">
        <v>18</v>
      </c>
      <c r="K65" s="117" t="s">
        <v>183</v>
      </c>
      <c r="L65" s="117" t="s">
        <v>55</v>
      </c>
      <c r="M65" s="117" t="s">
        <v>56</v>
      </c>
      <c r="N65" s="166">
        <v>18</v>
      </c>
      <c r="O65" s="123"/>
      <c r="P65" s="123" t="s">
        <v>58</v>
      </c>
      <c r="Q65" s="124">
        <v>46130</v>
      </c>
      <c r="R65" s="125">
        <f>S65-1</f>
        <v>46133</v>
      </c>
      <c r="S65" s="126">
        <v>46134</v>
      </c>
      <c r="T65" s="127" t="s">
        <v>59</v>
      </c>
      <c r="U65" s="128">
        <v>18</v>
      </c>
      <c r="V65" s="129">
        <f t="shared" si="1"/>
        <v>0</v>
      </c>
      <c r="W65" s="130">
        <v>0</v>
      </c>
      <c r="X65" s="130">
        <v>0</v>
      </c>
      <c r="Y65" s="130">
        <v>357</v>
      </c>
      <c r="Z65" s="108" t="b">
        <v>1</v>
      </c>
      <c r="AA65" s="108"/>
      <c r="AB65" s="108"/>
      <c r="AC65" s="108"/>
      <c r="AD65" s="108"/>
      <c r="AE65" s="131" t="e">
        <f>SUMIF('[2]TONG XUAT BUN 2026'!$B:$F,A65,'[2]TONG XUAT BUN 2026'!$F:$F)</f>
        <v>#VALUE!</v>
      </c>
      <c r="AF65" s="111" t="s">
        <v>60</v>
      </c>
    </row>
    <row r="66" spans="1:32" s="111" customFormat="1" ht="60" x14ac:dyDescent="0.3">
      <c r="A66" s="132"/>
      <c r="B66" s="132"/>
      <c r="C66" s="133"/>
      <c r="D66" s="136"/>
      <c r="E66" s="135"/>
      <c r="F66" s="134"/>
      <c r="G66" s="152"/>
      <c r="H66" s="169"/>
      <c r="I66" s="138"/>
      <c r="J66" s="139"/>
      <c r="K66" s="140"/>
      <c r="L66" s="140"/>
      <c r="M66" s="140"/>
      <c r="N66" s="141"/>
      <c r="O66" s="143"/>
      <c r="P66" s="143"/>
      <c r="Q66" s="144"/>
      <c r="R66" s="145"/>
      <c r="S66" s="146"/>
      <c r="T66" s="147"/>
      <c r="U66" s="128"/>
      <c r="V66" s="129">
        <f t="shared" si="1"/>
        <v>0</v>
      </c>
      <c r="W66" s="130"/>
      <c r="X66" s="130"/>
      <c r="Y66" s="130"/>
      <c r="Z66" s="108"/>
      <c r="AA66" s="108"/>
      <c r="AB66" s="108"/>
      <c r="AC66" s="108"/>
      <c r="AD66" s="108"/>
      <c r="AE66" s="108"/>
      <c r="AF66" s="111" t="s">
        <v>60</v>
      </c>
    </row>
    <row r="67" spans="1:32" s="111" customFormat="1" ht="60" x14ac:dyDescent="0.3">
      <c r="A67" s="164" t="s">
        <v>218</v>
      </c>
      <c r="B67" s="164" t="s">
        <v>219</v>
      </c>
      <c r="C67" s="172" t="s">
        <v>167</v>
      </c>
      <c r="D67" s="115" t="s">
        <v>63</v>
      </c>
      <c r="E67" s="116" t="s">
        <v>220</v>
      </c>
      <c r="F67" s="148" t="s">
        <v>221</v>
      </c>
      <c r="G67" s="113" t="s">
        <v>222</v>
      </c>
      <c r="H67" s="149">
        <v>250</v>
      </c>
      <c r="I67" s="120">
        <v>10</v>
      </c>
      <c r="J67" s="121">
        <v>10</v>
      </c>
      <c r="K67" s="117" t="s">
        <v>223</v>
      </c>
      <c r="L67" s="117" t="s">
        <v>55</v>
      </c>
      <c r="M67" s="117" t="s">
        <v>56</v>
      </c>
      <c r="N67" s="166">
        <v>10</v>
      </c>
      <c r="O67" s="123"/>
      <c r="P67" s="123" t="s">
        <v>58</v>
      </c>
      <c r="Q67" s="124">
        <v>46130</v>
      </c>
      <c r="R67" s="125">
        <f>S67-1</f>
        <v>46132</v>
      </c>
      <c r="S67" s="126">
        <v>46133</v>
      </c>
      <c r="T67" s="127" t="s">
        <v>59</v>
      </c>
      <c r="U67" s="128">
        <f>6+4</f>
        <v>10</v>
      </c>
      <c r="V67" s="129">
        <f t="shared" si="1"/>
        <v>0</v>
      </c>
      <c r="W67" s="130">
        <v>0</v>
      </c>
      <c r="X67" s="130">
        <v>0</v>
      </c>
      <c r="Y67" s="130">
        <v>250</v>
      </c>
      <c r="Z67" s="108" t="b">
        <v>1</v>
      </c>
      <c r="AA67" s="108"/>
      <c r="AB67" s="108"/>
      <c r="AC67" s="108"/>
      <c r="AD67" s="108"/>
      <c r="AE67" s="131" t="e">
        <f>SUMIF('[2]TONG XUAT BUN 2026'!$B:$F,A67,'[2]TONG XUAT BUN 2026'!$F:$F)</f>
        <v>#VALUE!</v>
      </c>
      <c r="AF67" s="111" t="s">
        <v>60</v>
      </c>
    </row>
    <row r="68" spans="1:32" s="111" customFormat="1" ht="60" x14ac:dyDescent="0.3">
      <c r="A68" s="132"/>
      <c r="B68" s="132"/>
      <c r="C68" s="133"/>
      <c r="D68" s="136"/>
      <c r="E68" s="135"/>
      <c r="F68" s="134"/>
      <c r="G68" s="152"/>
      <c r="H68" s="153"/>
      <c r="I68" s="138"/>
      <c r="J68" s="139"/>
      <c r="K68" s="140"/>
      <c r="L68" s="140"/>
      <c r="M68" s="140"/>
      <c r="N68" s="141"/>
      <c r="O68" s="143"/>
      <c r="P68" s="143"/>
      <c r="Q68" s="144"/>
      <c r="R68" s="145"/>
      <c r="S68" s="146"/>
      <c r="T68" s="147"/>
      <c r="U68" s="128"/>
      <c r="V68" s="129">
        <f t="shared" si="1"/>
        <v>0</v>
      </c>
      <c r="W68" s="130"/>
      <c r="X68" s="130"/>
      <c r="Y68" s="130"/>
      <c r="Z68" s="108"/>
      <c r="AA68" s="108"/>
      <c r="AB68" s="108"/>
      <c r="AC68" s="108"/>
      <c r="AD68" s="108"/>
      <c r="AE68" s="108"/>
      <c r="AF68" s="111" t="s">
        <v>60</v>
      </c>
    </row>
    <row r="69" spans="1:32" s="111" customFormat="1" ht="60" x14ac:dyDescent="0.3">
      <c r="A69" s="164" t="s">
        <v>224</v>
      </c>
      <c r="B69" s="164" t="s">
        <v>225</v>
      </c>
      <c r="C69" s="172" t="s">
        <v>167</v>
      </c>
      <c r="D69" s="115" t="s">
        <v>63</v>
      </c>
      <c r="E69" s="116" t="s">
        <v>226</v>
      </c>
      <c r="F69" s="148" t="s">
        <v>227</v>
      </c>
      <c r="G69" s="113" t="s">
        <v>228</v>
      </c>
      <c r="H69" s="149">
        <v>500</v>
      </c>
      <c r="I69" s="120">
        <v>20</v>
      </c>
      <c r="J69" s="121">
        <v>20</v>
      </c>
      <c r="K69" s="117" t="s">
        <v>223</v>
      </c>
      <c r="L69" s="117" t="s">
        <v>55</v>
      </c>
      <c r="M69" s="117" t="s">
        <v>56</v>
      </c>
      <c r="N69" s="166">
        <v>20</v>
      </c>
      <c r="O69" s="123"/>
      <c r="P69" s="123" t="s">
        <v>58</v>
      </c>
      <c r="Q69" s="124">
        <v>46130</v>
      </c>
      <c r="R69" s="125">
        <f>S69-1</f>
        <v>46132</v>
      </c>
      <c r="S69" s="126">
        <v>46133</v>
      </c>
      <c r="T69" s="127" t="s">
        <v>59</v>
      </c>
      <c r="U69" s="128">
        <f>21-1</f>
        <v>20</v>
      </c>
      <c r="V69" s="129">
        <f t="shared" si="1"/>
        <v>0</v>
      </c>
      <c r="W69" s="130">
        <v>0</v>
      </c>
      <c r="X69" s="130">
        <v>0</v>
      </c>
      <c r="Y69" s="130">
        <v>500</v>
      </c>
      <c r="Z69" s="108" t="b">
        <v>1</v>
      </c>
      <c r="AA69" s="108"/>
      <c r="AB69" s="108"/>
      <c r="AC69" s="108"/>
      <c r="AD69" s="108"/>
      <c r="AE69" s="131" t="e">
        <f>SUMIF('[2]TONG XUAT BUN 2026'!$B:$F,A69,'[2]TONG XUAT BUN 2026'!$F:$F)</f>
        <v>#VALUE!</v>
      </c>
      <c r="AF69" s="111" t="s">
        <v>60</v>
      </c>
    </row>
    <row r="70" spans="1:32" s="111" customFormat="1" ht="60" x14ac:dyDescent="0.3">
      <c r="A70" s="132"/>
      <c r="B70" s="132"/>
      <c r="C70" s="133"/>
      <c r="D70" s="136"/>
      <c r="E70" s="135"/>
      <c r="F70" s="134"/>
      <c r="G70" s="152"/>
      <c r="H70" s="153"/>
      <c r="I70" s="138"/>
      <c r="J70" s="139"/>
      <c r="K70" s="140"/>
      <c r="L70" s="140"/>
      <c r="M70" s="140"/>
      <c r="N70" s="141"/>
      <c r="O70" s="143"/>
      <c r="P70" s="143"/>
      <c r="Q70" s="144"/>
      <c r="R70" s="145"/>
      <c r="S70" s="146"/>
      <c r="T70" s="147"/>
      <c r="U70" s="128"/>
      <c r="V70" s="129">
        <f t="shared" si="1"/>
        <v>0</v>
      </c>
      <c r="W70" s="130"/>
      <c r="X70" s="130"/>
      <c r="Y70" s="130"/>
      <c r="Z70" s="108"/>
      <c r="AA70" s="108"/>
      <c r="AB70" s="108"/>
      <c r="AC70" s="108"/>
      <c r="AD70" s="108"/>
      <c r="AE70" s="108"/>
      <c r="AF70" s="111" t="s">
        <v>60</v>
      </c>
    </row>
    <row r="71" spans="1:32" s="111" customFormat="1" ht="60" x14ac:dyDescent="0.3">
      <c r="A71" s="164" t="s">
        <v>229</v>
      </c>
      <c r="B71" s="164" t="s">
        <v>230</v>
      </c>
      <c r="C71" s="172" t="s">
        <v>167</v>
      </c>
      <c r="D71" s="115" t="s">
        <v>63</v>
      </c>
      <c r="E71" s="116" t="s">
        <v>231</v>
      </c>
      <c r="F71" s="148" t="s">
        <v>232</v>
      </c>
      <c r="G71" s="113" t="s">
        <v>233</v>
      </c>
      <c r="H71" s="149">
        <v>1000</v>
      </c>
      <c r="I71" s="120">
        <v>40</v>
      </c>
      <c r="J71" s="121">
        <v>40</v>
      </c>
      <c r="K71" s="117" t="s">
        <v>83</v>
      </c>
      <c r="L71" s="117" t="s">
        <v>55</v>
      </c>
      <c r="M71" s="117" t="s">
        <v>56</v>
      </c>
      <c r="N71" s="166">
        <v>40</v>
      </c>
      <c r="O71" s="123"/>
      <c r="P71" s="123" t="s">
        <v>58</v>
      </c>
      <c r="Q71" s="124">
        <v>46130</v>
      </c>
      <c r="R71" s="125">
        <f>S71-1</f>
        <v>46132</v>
      </c>
      <c r="S71" s="126">
        <v>46133</v>
      </c>
      <c r="T71" s="127" t="s">
        <v>59</v>
      </c>
      <c r="U71" s="128">
        <v>40</v>
      </c>
      <c r="V71" s="129">
        <f t="shared" si="1"/>
        <v>0</v>
      </c>
      <c r="W71" s="130">
        <v>0</v>
      </c>
      <c r="X71" s="130">
        <v>0</v>
      </c>
      <c r="Y71" s="130">
        <v>1000</v>
      </c>
      <c r="Z71" s="108" t="b">
        <v>1</v>
      </c>
      <c r="AA71" s="108"/>
      <c r="AB71" s="108"/>
      <c r="AC71" s="108"/>
      <c r="AD71" s="108"/>
      <c r="AE71" s="131" t="e">
        <f>SUMIF('[2]TONG XUAT BUN 2026'!$B:$F,A71,'[2]TONG XUAT BUN 2026'!$F:$F)</f>
        <v>#VALUE!</v>
      </c>
      <c r="AF71" s="111" t="s">
        <v>60</v>
      </c>
    </row>
    <row r="72" spans="1:32" s="111" customFormat="1" ht="60" x14ac:dyDescent="0.3">
      <c r="A72" s="132"/>
      <c r="B72" s="132"/>
      <c r="C72" s="133"/>
      <c r="D72" s="136"/>
      <c r="E72" s="135"/>
      <c r="F72" s="134"/>
      <c r="G72" s="152"/>
      <c r="H72" s="153"/>
      <c r="I72" s="138"/>
      <c r="J72" s="139"/>
      <c r="K72" s="140"/>
      <c r="L72" s="140"/>
      <c r="M72" s="140"/>
      <c r="N72" s="141"/>
      <c r="O72" s="143"/>
      <c r="P72" s="143"/>
      <c r="Q72" s="144"/>
      <c r="R72" s="145"/>
      <c r="S72" s="146"/>
      <c r="T72" s="147"/>
      <c r="U72" s="128"/>
      <c r="V72" s="129">
        <f t="shared" si="1"/>
        <v>0</v>
      </c>
      <c r="W72" s="130"/>
      <c r="X72" s="130"/>
      <c r="Y72" s="130"/>
      <c r="Z72" s="108"/>
      <c r="AA72" s="108"/>
      <c r="AB72" s="108"/>
      <c r="AC72" s="108"/>
      <c r="AD72" s="108"/>
      <c r="AE72" s="108"/>
      <c r="AF72" s="111" t="s">
        <v>60</v>
      </c>
    </row>
    <row r="73" spans="1:32" s="111" customFormat="1" ht="79.2" x14ac:dyDescent="0.3">
      <c r="A73" s="173" t="s">
        <v>234</v>
      </c>
      <c r="B73" s="164" t="s">
        <v>235</v>
      </c>
      <c r="C73" s="172" t="s">
        <v>167</v>
      </c>
      <c r="D73" s="115" t="s">
        <v>120</v>
      </c>
      <c r="E73" s="116" t="s">
        <v>236</v>
      </c>
      <c r="F73" s="148" t="s">
        <v>237</v>
      </c>
      <c r="G73" s="113" t="s">
        <v>238</v>
      </c>
      <c r="H73" s="168">
        <v>46</v>
      </c>
      <c r="I73" s="120">
        <v>3</v>
      </c>
      <c r="J73" s="121">
        <v>3</v>
      </c>
      <c r="K73" s="117" t="s">
        <v>75</v>
      </c>
      <c r="L73" s="117" t="s">
        <v>55</v>
      </c>
      <c r="M73" s="117" t="s">
        <v>56</v>
      </c>
      <c r="N73" s="166">
        <f>3-3</f>
        <v>0</v>
      </c>
      <c r="O73" s="174" t="s">
        <v>176</v>
      </c>
      <c r="P73" s="123" t="s">
        <v>58</v>
      </c>
      <c r="Q73" s="150">
        <v>46129</v>
      </c>
      <c r="R73" s="125">
        <f>S73-1-1</f>
        <v>46130</v>
      </c>
      <c r="S73" s="126">
        <v>46132</v>
      </c>
      <c r="T73" s="127" t="s">
        <v>59</v>
      </c>
      <c r="U73" s="128"/>
      <c r="V73" s="129">
        <f t="shared" si="1"/>
        <v>0</v>
      </c>
      <c r="W73" s="130">
        <v>0</v>
      </c>
      <c r="X73" s="130">
        <v>0</v>
      </c>
      <c r="Y73" s="130">
        <v>46</v>
      </c>
      <c r="Z73" s="108" t="b">
        <v>1</v>
      </c>
      <c r="AA73" s="108"/>
      <c r="AB73" s="108"/>
      <c r="AC73" s="108"/>
      <c r="AD73" s="108"/>
      <c r="AE73" s="131" t="e">
        <f>SUMIF('[2]TONG XUAT BUN 2026'!$B:$F,A73,'[2]TONG XUAT BUN 2026'!$F:$F)</f>
        <v>#VALUE!</v>
      </c>
      <c r="AF73" s="111" t="s">
        <v>60</v>
      </c>
    </row>
    <row r="74" spans="1:32" s="111" customFormat="1" ht="52.8" x14ac:dyDescent="0.3">
      <c r="A74" s="132"/>
      <c r="B74" s="132"/>
      <c r="C74" s="133"/>
      <c r="D74" s="136"/>
      <c r="E74" s="135"/>
      <c r="F74" s="134"/>
      <c r="G74" s="152"/>
      <c r="H74" s="169"/>
      <c r="I74" s="138"/>
      <c r="J74" s="139"/>
      <c r="K74" s="140"/>
      <c r="L74" s="140"/>
      <c r="M74" s="140"/>
      <c r="N74" s="93" t="s">
        <v>239</v>
      </c>
      <c r="O74" s="143"/>
      <c r="P74" s="143"/>
      <c r="Q74" s="144"/>
      <c r="R74" s="145"/>
      <c r="S74" s="146"/>
      <c r="T74" s="147"/>
      <c r="U74" s="128"/>
      <c r="V74" s="129" t="e">
        <f t="shared" si="1"/>
        <v>#VALUE!</v>
      </c>
      <c r="W74" s="130"/>
      <c r="X74" s="130"/>
      <c r="Y74" s="130"/>
      <c r="Z74" s="108"/>
      <c r="AA74" s="108"/>
      <c r="AB74" s="108"/>
      <c r="AC74" s="108"/>
      <c r="AD74" s="108"/>
      <c r="AE74" s="108"/>
      <c r="AF74" s="111" t="s">
        <v>60</v>
      </c>
    </row>
    <row r="75" spans="1:32" s="111" customFormat="1" ht="60" x14ac:dyDescent="0.3">
      <c r="A75" s="173" t="s">
        <v>240</v>
      </c>
      <c r="B75" s="164" t="s">
        <v>241</v>
      </c>
      <c r="C75" s="172" t="s">
        <v>167</v>
      </c>
      <c r="D75" s="117" t="s">
        <v>175</v>
      </c>
      <c r="E75" s="116" t="s">
        <v>242</v>
      </c>
      <c r="F75" s="148" t="s">
        <v>243</v>
      </c>
      <c r="G75" s="113" t="s">
        <v>244</v>
      </c>
      <c r="H75" s="168">
        <v>35</v>
      </c>
      <c r="I75" s="120">
        <v>1</v>
      </c>
      <c r="J75" s="121">
        <v>1</v>
      </c>
      <c r="K75" s="117" t="s">
        <v>83</v>
      </c>
      <c r="L75" s="117" t="s">
        <v>55</v>
      </c>
      <c r="M75" s="117" t="s">
        <v>94</v>
      </c>
      <c r="N75" s="166">
        <v>1</v>
      </c>
      <c r="O75" s="174" t="s">
        <v>176</v>
      </c>
      <c r="P75" s="123">
        <v>1</v>
      </c>
      <c r="Q75" s="150">
        <v>46130</v>
      </c>
      <c r="R75" s="125">
        <f>S75-1</f>
        <v>46132</v>
      </c>
      <c r="S75" s="126">
        <v>46133</v>
      </c>
      <c r="T75" s="127" t="s">
        <v>59</v>
      </c>
      <c r="U75" s="128"/>
      <c r="V75" s="129">
        <f t="shared" si="1"/>
        <v>-1</v>
      </c>
      <c r="W75" s="130">
        <v>0</v>
      </c>
      <c r="X75" s="130">
        <v>0</v>
      </c>
      <c r="Y75" s="130">
        <v>35</v>
      </c>
      <c r="Z75" s="108" t="b">
        <v>1</v>
      </c>
      <c r="AA75" s="108"/>
      <c r="AB75" s="108"/>
      <c r="AC75" s="108"/>
      <c r="AD75" s="108"/>
      <c r="AE75" s="131" t="e">
        <f>SUMIF('[2]TONG XUAT BUN 2026'!$B:$F,A75,'[2]TONG XUAT BUN 2026'!$F:$F)</f>
        <v>#VALUE!</v>
      </c>
      <c r="AF75" s="111" t="s">
        <v>60</v>
      </c>
    </row>
    <row r="76" spans="1:32" s="111" customFormat="1" ht="60" x14ac:dyDescent="0.3">
      <c r="A76" s="132"/>
      <c r="B76" s="132"/>
      <c r="C76" s="133"/>
      <c r="D76" s="140"/>
      <c r="E76" s="135"/>
      <c r="F76" s="134"/>
      <c r="G76" s="152"/>
      <c r="H76" s="169"/>
      <c r="I76" s="138"/>
      <c r="J76" s="139"/>
      <c r="K76" s="140"/>
      <c r="L76" s="140"/>
      <c r="M76" s="140"/>
      <c r="N76" s="141"/>
      <c r="O76" s="143"/>
      <c r="P76" s="143"/>
      <c r="Q76" s="144"/>
      <c r="R76" s="145"/>
      <c r="S76" s="146"/>
      <c r="T76" s="147"/>
      <c r="U76" s="128"/>
      <c r="V76" s="129">
        <f t="shared" si="1"/>
        <v>0</v>
      </c>
      <c r="W76" s="130"/>
      <c r="X76" s="130"/>
      <c r="Y76" s="130"/>
      <c r="Z76" s="108"/>
      <c r="AA76" s="108"/>
      <c r="AB76" s="108"/>
      <c r="AC76" s="108"/>
      <c r="AD76" s="108"/>
      <c r="AE76" s="108"/>
      <c r="AF76" s="111" t="s">
        <v>60</v>
      </c>
    </row>
    <row r="77" spans="1:32" s="111" customFormat="1" ht="60" x14ac:dyDescent="0.3">
      <c r="A77" s="164" t="s">
        <v>245</v>
      </c>
      <c r="B77" s="164" t="s">
        <v>246</v>
      </c>
      <c r="C77" s="172" t="s">
        <v>167</v>
      </c>
      <c r="D77" s="117" t="s">
        <v>175</v>
      </c>
      <c r="E77" s="116" t="s">
        <v>247</v>
      </c>
      <c r="F77" s="148" t="s">
        <v>248</v>
      </c>
      <c r="G77" s="186" t="s">
        <v>249</v>
      </c>
      <c r="H77" s="168">
        <v>124</v>
      </c>
      <c r="I77" s="120">
        <v>5</v>
      </c>
      <c r="J77" s="121">
        <v>5</v>
      </c>
      <c r="K77" s="117" t="s">
        <v>83</v>
      </c>
      <c r="L77" s="117" t="s">
        <v>55</v>
      </c>
      <c r="M77" s="117" t="s">
        <v>56</v>
      </c>
      <c r="N77" s="166">
        <v>5</v>
      </c>
      <c r="O77" s="123"/>
      <c r="P77" s="123">
        <v>5</v>
      </c>
      <c r="Q77" s="124">
        <v>46134</v>
      </c>
      <c r="R77" s="125">
        <f>S77-1</f>
        <v>46136</v>
      </c>
      <c r="S77" s="126">
        <v>46137</v>
      </c>
      <c r="T77" s="127" t="s">
        <v>59</v>
      </c>
      <c r="U77" s="128"/>
      <c r="V77" s="129">
        <f t="shared" ref="V77:V140" si="2">U77-N77</f>
        <v>-5</v>
      </c>
      <c r="W77" s="130">
        <v>0</v>
      </c>
      <c r="X77" s="130">
        <v>0</v>
      </c>
      <c r="Y77" s="130">
        <v>124</v>
      </c>
      <c r="Z77" s="108" t="b">
        <v>1</v>
      </c>
      <c r="AA77" s="108"/>
      <c r="AB77" s="108"/>
      <c r="AC77" s="108"/>
      <c r="AD77" s="108"/>
      <c r="AE77" s="131" t="e">
        <f>SUMIF('[2]TONG XUAT BUN 2026'!$B:$F,A77,'[2]TONG XUAT BUN 2026'!$F:$F)</f>
        <v>#VALUE!</v>
      </c>
      <c r="AF77" s="111" t="s">
        <v>60</v>
      </c>
    </row>
    <row r="78" spans="1:32" s="111" customFormat="1" ht="60" x14ac:dyDescent="0.3">
      <c r="A78" s="132"/>
      <c r="B78" s="132"/>
      <c r="C78" s="133"/>
      <c r="D78" s="140"/>
      <c r="E78" s="135"/>
      <c r="F78" s="134"/>
      <c r="G78" s="187"/>
      <c r="H78" s="169"/>
      <c r="I78" s="138"/>
      <c r="J78" s="139"/>
      <c r="K78" s="140"/>
      <c r="L78" s="140"/>
      <c r="M78" s="140"/>
      <c r="N78" s="141"/>
      <c r="O78" s="143"/>
      <c r="P78" s="143"/>
      <c r="Q78" s="144"/>
      <c r="R78" s="145"/>
      <c r="S78" s="146"/>
      <c r="T78" s="147"/>
      <c r="U78" s="128"/>
      <c r="V78" s="129">
        <f t="shared" si="2"/>
        <v>0</v>
      </c>
      <c r="W78" s="130"/>
      <c r="X78" s="130"/>
      <c r="Y78" s="130"/>
      <c r="Z78" s="108"/>
      <c r="AA78" s="108"/>
      <c r="AB78" s="108"/>
      <c r="AC78" s="108"/>
      <c r="AD78" s="108"/>
      <c r="AE78" s="108"/>
      <c r="AF78" s="111" t="s">
        <v>60</v>
      </c>
    </row>
    <row r="79" spans="1:32" s="111" customFormat="1" ht="60" x14ac:dyDescent="0.3">
      <c r="A79" s="173" t="s">
        <v>250</v>
      </c>
      <c r="B79" s="164" t="s">
        <v>251</v>
      </c>
      <c r="C79" s="172" t="s">
        <v>167</v>
      </c>
      <c r="D79" s="117" t="s">
        <v>175</v>
      </c>
      <c r="E79" s="116" t="s">
        <v>252</v>
      </c>
      <c r="F79" s="148" t="s">
        <v>253</v>
      </c>
      <c r="G79" s="113" t="s">
        <v>254</v>
      </c>
      <c r="H79" s="168">
        <v>350</v>
      </c>
      <c r="I79" s="120">
        <v>14</v>
      </c>
      <c r="J79" s="121">
        <v>14</v>
      </c>
      <c r="K79" s="117" t="s">
        <v>83</v>
      </c>
      <c r="L79" s="117" t="s">
        <v>55</v>
      </c>
      <c r="M79" s="117" t="s">
        <v>56</v>
      </c>
      <c r="N79" s="166">
        <v>14</v>
      </c>
      <c r="O79" s="174" t="s">
        <v>176</v>
      </c>
      <c r="P79" s="123" t="s">
        <v>58</v>
      </c>
      <c r="Q79" s="150">
        <v>46130</v>
      </c>
      <c r="R79" s="125">
        <f>S79-1</f>
        <v>46133</v>
      </c>
      <c r="S79" s="126">
        <v>46134</v>
      </c>
      <c r="T79" s="127" t="s">
        <v>59</v>
      </c>
      <c r="U79" s="128">
        <v>14</v>
      </c>
      <c r="V79" s="129">
        <f t="shared" si="2"/>
        <v>0</v>
      </c>
      <c r="W79" s="130">
        <v>0</v>
      </c>
      <c r="X79" s="130">
        <v>0</v>
      </c>
      <c r="Y79" s="130">
        <v>350</v>
      </c>
      <c r="Z79" s="108" t="b">
        <v>1</v>
      </c>
      <c r="AA79" s="108"/>
      <c r="AB79" s="108"/>
      <c r="AC79" s="108"/>
      <c r="AD79" s="108"/>
      <c r="AE79" s="131" t="e">
        <f>SUMIF('[2]TONG XUAT BUN 2026'!$B:$F,A79,'[2]TONG XUAT BUN 2026'!$F:$F)</f>
        <v>#VALUE!</v>
      </c>
      <c r="AF79" s="111" t="s">
        <v>60</v>
      </c>
    </row>
    <row r="80" spans="1:32" s="111" customFormat="1" ht="60" x14ac:dyDescent="0.3">
      <c r="A80" s="132"/>
      <c r="B80" s="132"/>
      <c r="C80" s="133"/>
      <c r="D80" s="140"/>
      <c r="E80" s="135"/>
      <c r="F80" s="134"/>
      <c r="G80" s="152"/>
      <c r="H80" s="169"/>
      <c r="I80" s="138"/>
      <c r="J80" s="139"/>
      <c r="K80" s="140"/>
      <c r="L80" s="140"/>
      <c r="M80" s="140"/>
      <c r="N80" s="141"/>
      <c r="O80" s="143"/>
      <c r="P80" s="143"/>
      <c r="Q80" s="144"/>
      <c r="R80" s="145"/>
      <c r="S80" s="146"/>
      <c r="T80" s="147"/>
      <c r="U80" s="128"/>
      <c r="V80" s="129">
        <f t="shared" si="2"/>
        <v>0</v>
      </c>
      <c r="W80" s="130"/>
      <c r="X80" s="130"/>
      <c r="Y80" s="130"/>
      <c r="Z80" s="108"/>
      <c r="AA80" s="108"/>
      <c r="AB80" s="108"/>
      <c r="AC80" s="108"/>
      <c r="AD80" s="108"/>
      <c r="AE80" s="108"/>
      <c r="AF80" s="111" t="s">
        <v>60</v>
      </c>
    </row>
    <row r="81" spans="1:42" s="111" customFormat="1" ht="60" x14ac:dyDescent="0.3">
      <c r="A81" s="164" t="s">
        <v>255</v>
      </c>
      <c r="B81" s="164" t="s">
        <v>256</v>
      </c>
      <c r="C81" s="172" t="s">
        <v>167</v>
      </c>
      <c r="D81" s="117" t="s">
        <v>175</v>
      </c>
      <c r="E81" s="116" t="s">
        <v>257</v>
      </c>
      <c r="F81" s="148" t="s">
        <v>258</v>
      </c>
      <c r="G81" s="186" t="s">
        <v>259</v>
      </c>
      <c r="H81" s="168">
        <v>84</v>
      </c>
      <c r="I81" s="120">
        <v>3</v>
      </c>
      <c r="J81" s="121">
        <v>3</v>
      </c>
      <c r="K81" s="117" t="s">
        <v>260</v>
      </c>
      <c r="L81" s="117" t="s">
        <v>55</v>
      </c>
      <c r="M81" s="117" t="s">
        <v>94</v>
      </c>
      <c r="N81" s="166">
        <v>38</v>
      </c>
      <c r="O81" s="123"/>
      <c r="P81" s="123" t="s">
        <v>58</v>
      </c>
      <c r="Q81" s="124">
        <v>46134</v>
      </c>
      <c r="R81" s="125">
        <f>S81-1</f>
        <v>46136</v>
      </c>
      <c r="S81" s="126">
        <v>46137</v>
      </c>
      <c r="T81" s="127" t="s">
        <v>59</v>
      </c>
      <c r="U81" s="128">
        <f>23+15</f>
        <v>38</v>
      </c>
      <c r="V81" s="129">
        <f t="shared" si="2"/>
        <v>0</v>
      </c>
      <c r="W81" s="130">
        <v>0</v>
      </c>
      <c r="X81" s="130">
        <v>0</v>
      </c>
      <c r="Y81" s="130">
        <v>84</v>
      </c>
      <c r="Z81" s="108" t="b">
        <v>1</v>
      </c>
      <c r="AA81" s="108"/>
      <c r="AB81" s="108"/>
      <c r="AC81" s="108"/>
      <c r="AD81" s="108"/>
      <c r="AE81" s="131" t="e">
        <f>SUMIF('[2]TONG XUAT BUN 2026'!$B:$F,A81,'[2]TONG XUAT BUN 2026'!$F:$F)</f>
        <v>#VALUE!</v>
      </c>
      <c r="AF81" s="111" t="s">
        <v>60</v>
      </c>
    </row>
    <row r="82" spans="1:42" s="111" customFormat="1" ht="60" x14ac:dyDescent="0.3">
      <c r="A82" s="164" t="s">
        <v>261</v>
      </c>
      <c r="B82" s="164" t="s">
        <v>262</v>
      </c>
      <c r="C82" s="92" t="s">
        <v>263</v>
      </c>
      <c r="D82" s="117" t="s">
        <v>175</v>
      </c>
      <c r="E82" s="116" t="s">
        <v>257</v>
      </c>
      <c r="F82" s="148" t="s">
        <v>264</v>
      </c>
      <c r="G82" s="188" t="s">
        <v>265</v>
      </c>
      <c r="H82" s="168">
        <v>315</v>
      </c>
      <c r="I82" s="120">
        <v>35</v>
      </c>
      <c r="J82" s="121">
        <v>35</v>
      </c>
      <c r="K82" s="117" t="s">
        <v>266</v>
      </c>
      <c r="L82" s="117" t="s">
        <v>55</v>
      </c>
      <c r="M82" s="117" t="s">
        <v>56</v>
      </c>
      <c r="N82" s="166"/>
      <c r="O82" s="123"/>
      <c r="P82" s="123" t="s">
        <v>58</v>
      </c>
      <c r="Q82" s="124">
        <v>46134</v>
      </c>
      <c r="R82" s="125">
        <f>S82-1</f>
        <v>46136</v>
      </c>
      <c r="S82" s="126">
        <v>46137</v>
      </c>
      <c r="T82" s="127" t="s">
        <v>59</v>
      </c>
      <c r="U82" s="128"/>
      <c r="V82" s="129">
        <f t="shared" si="2"/>
        <v>0</v>
      </c>
      <c r="W82" s="130">
        <v>0</v>
      </c>
      <c r="X82" s="130">
        <v>0</v>
      </c>
      <c r="Y82" s="130">
        <v>315</v>
      </c>
      <c r="Z82" s="108" t="b">
        <v>1</v>
      </c>
      <c r="AA82" s="108"/>
      <c r="AB82" s="108"/>
      <c r="AC82" s="108"/>
      <c r="AD82" s="108"/>
      <c r="AE82" s="131" t="e">
        <f>SUMIF('[2]TONG XUAT BUN 2026'!$B:$F,A82,'[2]TONG XUAT BUN 2026'!$F:$F)</f>
        <v>#VALUE!</v>
      </c>
      <c r="AF82" s="111" t="s">
        <v>60</v>
      </c>
    </row>
    <row r="83" spans="1:42" s="209" customFormat="1" ht="60" x14ac:dyDescent="0.3">
      <c r="A83" s="189"/>
      <c r="B83" s="190"/>
      <c r="C83" s="191"/>
      <c r="D83" s="190"/>
      <c r="E83" s="192"/>
      <c r="F83" s="189"/>
      <c r="G83" s="193" t="s">
        <v>267</v>
      </c>
      <c r="H83" s="194"/>
      <c r="I83" s="195"/>
      <c r="J83" s="191"/>
      <c r="K83" s="196"/>
      <c r="L83" s="197"/>
      <c r="M83" s="197"/>
      <c r="N83" s="198"/>
      <c r="O83" s="199"/>
      <c r="P83" s="200"/>
      <c r="Q83" s="201"/>
      <c r="R83" s="202"/>
      <c r="S83" s="203"/>
      <c r="T83" s="204"/>
      <c r="U83" s="205"/>
      <c r="V83" s="129">
        <f t="shared" si="2"/>
        <v>0</v>
      </c>
      <c r="W83" s="206"/>
      <c r="X83" s="206"/>
      <c r="Y83" s="206"/>
      <c r="Z83" s="207"/>
      <c r="AA83" s="208"/>
      <c r="AB83" s="207"/>
      <c r="AC83" s="207"/>
      <c r="AD83" s="207"/>
      <c r="AE83" s="207"/>
      <c r="AF83" s="111" t="s">
        <v>60</v>
      </c>
      <c r="AI83" s="210"/>
      <c r="AJ83" s="210"/>
      <c r="AK83" s="210"/>
      <c r="AL83" s="210"/>
      <c r="AM83" s="210"/>
      <c r="AN83" s="211"/>
      <c r="AO83" s="211"/>
      <c r="AP83" s="210"/>
    </row>
    <row r="84" spans="1:42" s="111" customFormat="1" ht="60" x14ac:dyDescent="0.3">
      <c r="A84" s="212" t="s">
        <v>268</v>
      </c>
      <c r="B84" s="213" t="s">
        <v>269</v>
      </c>
      <c r="C84" s="214" t="s">
        <v>270</v>
      </c>
      <c r="D84" s="215" t="s">
        <v>271</v>
      </c>
      <c r="E84" s="216" t="s">
        <v>272</v>
      </c>
      <c r="F84" s="217" t="s">
        <v>273</v>
      </c>
      <c r="G84" s="213" t="s">
        <v>274</v>
      </c>
      <c r="H84" s="218">
        <v>27</v>
      </c>
      <c r="I84" s="219">
        <v>3</v>
      </c>
      <c r="J84" s="220">
        <v>3</v>
      </c>
      <c r="K84" s="221" t="s">
        <v>144</v>
      </c>
      <c r="L84" s="221" t="s">
        <v>55</v>
      </c>
      <c r="M84" s="221" t="s">
        <v>56</v>
      </c>
      <c r="N84" s="222">
        <v>3</v>
      </c>
      <c r="O84" s="223"/>
      <c r="P84" s="223" t="s">
        <v>58</v>
      </c>
      <c r="Q84" s="224">
        <v>46130</v>
      </c>
      <c r="R84" s="225">
        <f>S84-1</f>
        <v>46133</v>
      </c>
      <c r="S84" s="226">
        <v>46134</v>
      </c>
      <c r="T84" s="227" t="s">
        <v>68</v>
      </c>
      <c r="U84" s="228">
        <v>3</v>
      </c>
      <c r="V84" s="129">
        <f t="shared" si="2"/>
        <v>0</v>
      </c>
      <c r="W84" s="229">
        <v>0</v>
      </c>
      <c r="X84" s="229">
        <v>0</v>
      </c>
      <c r="Y84" s="229">
        <v>27</v>
      </c>
      <c r="Z84" s="230" t="b">
        <v>0</v>
      </c>
      <c r="AA84" s="230"/>
      <c r="AB84" s="230"/>
      <c r="AC84" s="230"/>
      <c r="AD84" s="230"/>
      <c r="AE84" s="131" t="e">
        <f>SUMIF('[2]TONG XUAT BUN 2026'!$B:$F,A84,'[2]TONG XUAT BUN 2026'!$F:$F)</f>
        <v>#VALUE!</v>
      </c>
    </row>
    <row r="85" spans="1:42" s="94" customFormat="1" ht="60" x14ac:dyDescent="0.3">
      <c r="A85" s="231"/>
      <c r="B85" s="232"/>
      <c r="C85" s="233"/>
      <c r="D85" s="234"/>
      <c r="E85" s="235"/>
      <c r="F85" s="236"/>
      <c r="G85" s="236"/>
      <c r="H85" s="237"/>
      <c r="I85" s="238"/>
      <c r="J85" s="239"/>
      <c r="K85" s="234"/>
      <c r="L85" s="234"/>
      <c r="M85" s="234"/>
      <c r="N85" s="240"/>
      <c r="O85" s="241"/>
      <c r="P85" s="241"/>
      <c r="Q85" s="242"/>
      <c r="R85" s="243"/>
      <c r="S85" s="244"/>
      <c r="T85" s="245"/>
      <c r="U85" s="228"/>
      <c r="V85" s="129">
        <f t="shared" si="2"/>
        <v>0</v>
      </c>
      <c r="W85" s="229"/>
      <c r="X85" s="229"/>
      <c r="Y85" s="229"/>
      <c r="Z85" s="230"/>
      <c r="AA85" s="230"/>
      <c r="AB85" s="230"/>
      <c r="AC85" s="230"/>
      <c r="AD85" s="230"/>
      <c r="AE85" s="230"/>
    </row>
    <row r="86" spans="1:42" s="94" customFormat="1" ht="105.6" x14ac:dyDescent="0.3">
      <c r="A86" s="212" t="s">
        <v>275</v>
      </c>
      <c r="B86" s="213" t="s">
        <v>276</v>
      </c>
      <c r="C86" s="214" t="s">
        <v>270</v>
      </c>
      <c r="D86" s="221" t="s">
        <v>277</v>
      </c>
      <c r="E86" s="216" t="s">
        <v>272</v>
      </c>
      <c r="F86" s="215" t="s">
        <v>273</v>
      </c>
      <c r="G86" s="215" t="s">
        <v>274</v>
      </c>
      <c r="H86" s="246">
        <v>36</v>
      </c>
      <c r="I86" s="219">
        <v>4</v>
      </c>
      <c r="J86" s="220">
        <v>4</v>
      </c>
      <c r="K86" s="221" t="s">
        <v>144</v>
      </c>
      <c r="L86" s="221" t="s">
        <v>55</v>
      </c>
      <c r="M86" s="221" t="s">
        <v>56</v>
      </c>
      <c r="N86" s="222">
        <v>4</v>
      </c>
      <c r="O86" s="223"/>
      <c r="P86" s="223" t="s">
        <v>58</v>
      </c>
      <c r="Q86" s="224">
        <v>46130</v>
      </c>
      <c r="R86" s="225">
        <f>S86-1</f>
        <v>46133</v>
      </c>
      <c r="S86" s="226">
        <v>46134</v>
      </c>
      <c r="T86" s="227" t="s">
        <v>68</v>
      </c>
      <c r="U86" s="228">
        <f>9-3</f>
        <v>6</v>
      </c>
      <c r="V86" s="129">
        <f t="shared" si="2"/>
        <v>2</v>
      </c>
      <c r="W86" s="229">
        <v>0</v>
      </c>
      <c r="X86" s="229">
        <v>0</v>
      </c>
      <c r="Y86" s="229">
        <v>36</v>
      </c>
      <c r="Z86" s="230" t="b">
        <v>0</v>
      </c>
      <c r="AA86" s="230"/>
      <c r="AB86" s="230"/>
      <c r="AC86" s="230"/>
      <c r="AD86" s="230"/>
      <c r="AE86" s="131" t="e">
        <f>SUMIF('[2]TONG XUAT BUN 2026'!$B:$F,A86,'[2]TONG XUAT BUN 2026'!$F:$F)</f>
        <v>#VALUE!</v>
      </c>
    </row>
    <row r="87" spans="1:42" s="94" customFormat="1" ht="60" x14ac:dyDescent="0.3">
      <c r="A87" s="231"/>
      <c r="B87" s="232"/>
      <c r="C87" s="233"/>
      <c r="D87" s="234"/>
      <c r="E87" s="235"/>
      <c r="F87" s="236"/>
      <c r="G87" s="236"/>
      <c r="H87" s="237"/>
      <c r="I87" s="238"/>
      <c r="J87" s="239"/>
      <c r="K87" s="234"/>
      <c r="L87" s="234"/>
      <c r="M87" s="234"/>
      <c r="N87" s="240"/>
      <c r="O87" s="241"/>
      <c r="P87" s="241"/>
      <c r="Q87" s="242"/>
      <c r="R87" s="243"/>
      <c r="S87" s="244"/>
      <c r="T87" s="245"/>
      <c r="U87" s="228"/>
      <c r="V87" s="129">
        <f t="shared" si="2"/>
        <v>0</v>
      </c>
      <c r="W87" s="229"/>
      <c r="X87" s="229"/>
      <c r="Y87" s="229"/>
      <c r="Z87" s="230"/>
      <c r="AA87" s="230"/>
      <c r="AB87" s="230"/>
      <c r="AC87" s="230"/>
      <c r="AD87" s="230"/>
      <c r="AE87" s="230"/>
    </row>
    <row r="88" spans="1:42" s="111" customFormat="1" ht="105.6" x14ac:dyDescent="0.3">
      <c r="A88" s="212" t="s">
        <v>278</v>
      </c>
      <c r="B88" s="213" t="s">
        <v>279</v>
      </c>
      <c r="C88" s="214" t="s">
        <v>270</v>
      </c>
      <c r="D88" s="221" t="s">
        <v>277</v>
      </c>
      <c r="E88" s="216" t="s">
        <v>86</v>
      </c>
      <c r="F88" s="215" t="s">
        <v>280</v>
      </c>
      <c r="G88" s="215" t="s">
        <v>281</v>
      </c>
      <c r="H88" s="246">
        <v>175</v>
      </c>
      <c r="I88" s="219">
        <v>5</v>
      </c>
      <c r="J88" s="220">
        <v>5</v>
      </c>
      <c r="K88" s="221" t="s">
        <v>282</v>
      </c>
      <c r="L88" s="221" t="s">
        <v>55</v>
      </c>
      <c r="M88" s="221" t="s">
        <v>94</v>
      </c>
      <c r="N88" s="222">
        <v>5</v>
      </c>
      <c r="O88" s="223"/>
      <c r="P88" s="223" t="s">
        <v>58</v>
      </c>
      <c r="Q88" s="224">
        <v>46130</v>
      </c>
      <c r="R88" s="225">
        <f>S88-1</f>
        <v>46133</v>
      </c>
      <c r="S88" s="226">
        <v>46134</v>
      </c>
      <c r="T88" s="227" t="s">
        <v>68</v>
      </c>
      <c r="U88" s="228">
        <v>5</v>
      </c>
      <c r="V88" s="129">
        <f t="shared" si="2"/>
        <v>0</v>
      </c>
      <c r="W88" s="229">
        <v>0</v>
      </c>
      <c r="X88" s="229">
        <v>0</v>
      </c>
      <c r="Y88" s="229">
        <v>175</v>
      </c>
      <c r="Z88" s="230" t="b">
        <v>0</v>
      </c>
      <c r="AA88" s="230"/>
      <c r="AB88" s="230"/>
      <c r="AC88" s="230"/>
      <c r="AD88" s="230"/>
      <c r="AE88" s="131" t="e">
        <f>SUMIF('[2]TONG XUAT BUN 2026'!$B:$F,A88,'[2]TONG XUAT BUN 2026'!$F:$F)</f>
        <v>#VALUE!</v>
      </c>
    </row>
    <row r="89" spans="1:42" s="111" customFormat="1" ht="60" x14ac:dyDescent="0.3">
      <c r="A89" s="231"/>
      <c r="B89" s="232"/>
      <c r="C89" s="233"/>
      <c r="D89" s="234"/>
      <c r="E89" s="235"/>
      <c r="F89" s="236"/>
      <c r="G89" s="236"/>
      <c r="H89" s="237"/>
      <c r="I89" s="238"/>
      <c r="J89" s="239"/>
      <c r="K89" s="234"/>
      <c r="L89" s="234"/>
      <c r="M89" s="234"/>
      <c r="N89" s="240"/>
      <c r="O89" s="241"/>
      <c r="P89" s="241"/>
      <c r="Q89" s="242"/>
      <c r="R89" s="243"/>
      <c r="S89" s="244"/>
      <c r="T89" s="245"/>
      <c r="U89" s="228"/>
      <c r="V89" s="129">
        <f t="shared" si="2"/>
        <v>0</v>
      </c>
      <c r="W89" s="229"/>
      <c r="X89" s="229"/>
      <c r="Y89" s="229"/>
      <c r="Z89" s="230"/>
      <c r="AA89" s="230"/>
      <c r="AB89" s="230"/>
      <c r="AC89" s="230"/>
      <c r="AD89" s="230"/>
      <c r="AE89" s="230"/>
    </row>
    <row r="90" spans="1:42" s="111" customFormat="1" ht="105.6" x14ac:dyDescent="0.3">
      <c r="A90" s="212" t="s">
        <v>283</v>
      </c>
      <c r="B90" s="213" t="s">
        <v>284</v>
      </c>
      <c r="C90" s="214" t="s">
        <v>270</v>
      </c>
      <c r="D90" s="221" t="s">
        <v>277</v>
      </c>
      <c r="E90" s="216" t="s">
        <v>285</v>
      </c>
      <c r="F90" s="215" t="s">
        <v>286</v>
      </c>
      <c r="G90" s="215" t="s">
        <v>287</v>
      </c>
      <c r="H90" s="246">
        <v>25</v>
      </c>
      <c r="I90" s="219">
        <v>1</v>
      </c>
      <c r="J90" s="220">
        <v>1</v>
      </c>
      <c r="K90" s="221" t="s">
        <v>223</v>
      </c>
      <c r="L90" s="221" t="s">
        <v>55</v>
      </c>
      <c r="M90" s="221" t="s">
        <v>56</v>
      </c>
      <c r="N90" s="222">
        <v>1</v>
      </c>
      <c r="O90" s="223"/>
      <c r="P90" s="223" t="s">
        <v>58</v>
      </c>
      <c r="Q90" s="224">
        <v>46130</v>
      </c>
      <c r="R90" s="225">
        <f>S90-1</f>
        <v>46133</v>
      </c>
      <c r="S90" s="226">
        <v>46134</v>
      </c>
      <c r="T90" s="227" t="s">
        <v>68</v>
      </c>
      <c r="U90" s="228">
        <v>1</v>
      </c>
      <c r="V90" s="129">
        <f t="shared" si="2"/>
        <v>0</v>
      </c>
      <c r="W90" s="229">
        <v>0</v>
      </c>
      <c r="X90" s="229">
        <v>0</v>
      </c>
      <c r="Y90" s="229">
        <v>25</v>
      </c>
      <c r="Z90" s="230" t="b">
        <v>0</v>
      </c>
      <c r="AA90" s="230"/>
      <c r="AB90" s="230"/>
      <c r="AC90" s="230"/>
      <c r="AD90" s="230"/>
      <c r="AE90" s="131" t="e">
        <f>SUMIF('[2]TONG XUAT BUN 2026'!$B:$F,A90,'[2]TONG XUAT BUN 2026'!$F:$F)</f>
        <v>#VALUE!</v>
      </c>
    </row>
    <row r="91" spans="1:42" s="111" customFormat="1" ht="60" x14ac:dyDescent="0.3">
      <c r="A91" s="231"/>
      <c r="B91" s="232"/>
      <c r="C91" s="233"/>
      <c r="D91" s="234"/>
      <c r="E91" s="235"/>
      <c r="F91" s="236"/>
      <c r="G91" s="236"/>
      <c r="H91" s="237"/>
      <c r="I91" s="238"/>
      <c r="J91" s="239"/>
      <c r="K91" s="234"/>
      <c r="L91" s="234"/>
      <c r="M91" s="234"/>
      <c r="N91" s="240"/>
      <c r="O91" s="241"/>
      <c r="P91" s="241"/>
      <c r="Q91" s="242"/>
      <c r="R91" s="243"/>
      <c r="S91" s="244"/>
      <c r="T91" s="245"/>
      <c r="U91" s="228"/>
      <c r="V91" s="129">
        <f t="shared" si="2"/>
        <v>0</v>
      </c>
      <c r="W91" s="229"/>
      <c r="X91" s="229"/>
      <c r="Y91" s="229"/>
      <c r="Z91" s="230"/>
      <c r="AA91" s="230"/>
      <c r="AB91" s="230"/>
      <c r="AC91" s="230"/>
      <c r="AD91" s="230"/>
      <c r="AE91" s="230"/>
    </row>
    <row r="92" spans="1:42" s="170" customFormat="1" ht="79.2" x14ac:dyDescent="0.3">
      <c r="A92" s="212" t="s">
        <v>288</v>
      </c>
      <c r="B92" s="213" t="s">
        <v>289</v>
      </c>
      <c r="C92" s="214" t="s">
        <v>270</v>
      </c>
      <c r="D92" s="221" t="s">
        <v>290</v>
      </c>
      <c r="E92" s="216" t="s">
        <v>291</v>
      </c>
      <c r="F92" s="215" t="s">
        <v>292</v>
      </c>
      <c r="G92" s="215" t="s">
        <v>293</v>
      </c>
      <c r="H92" s="246">
        <v>280</v>
      </c>
      <c r="I92" s="219">
        <v>10</v>
      </c>
      <c r="J92" s="220">
        <v>10</v>
      </c>
      <c r="K92" s="221"/>
      <c r="L92" s="221" t="s">
        <v>294</v>
      </c>
      <c r="M92" s="221" t="s">
        <v>145</v>
      </c>
      <c r="N92" s="222">
        <v>10</v>
      </c>
      <c r="O92" s="223"/>
      <c r="P92" s="223">
        <v>10</v>
      </c>
      <c r="Q92" s="224">
        <v>46130</v>
      </c>
      <c r="R92" s="225">
        <f>S92-1</f>
        <v>46133</v>
      </c>
      <c r="S92" s="226">
        <v>46134</v>
      </c>
      <c r="T92" s="227" t="s">
        <v>68</v>
      </c>
      <c r="U92" s="228"/>
      <c r="V92" s="129">
        <f t="shared" si="2"/>
        <v>-10</v>
      </c>
      <c r="W92" s="229">
        <v>0</v>
      </c>
      <c r="X92" s="229">
        <v>0</v>
      </c>
      <c r="Y92" s="229">
        <v>280</v>
      </c>
      <c r="Z92" s="230" t="b">
        <v>0</v>
      </c>
      <c r="AA92" s="230"/>
      <c r="AB92" s="230"/>
      <c r="AC92" s="230"/>
      <c r="AD92" s="230"/>
      <c r="AE92" s="131" t="e">
        <f>SUMIF('[2]TONG XUAT BUN 2026'!$B:$F,A92,'[2]TONG XUAT BUN 2026'!$F:$F)</f>
        <v>#VALUE!</v>
      </c>
    </row>
    <row r="93" spans="1:42" s="170" customFormat="1" ht="60" x14ac:dyDescent="0.3">
      <c r="A93" s="231"/>
      <c r="B93" s="232"/>
      <c r="C93" s="233"/>
      <c r="D93" s="234"/>
      <c r="E93" s="235"/>
      <c r="F93" s="236"/>
      <c r="G93" s="236"/>
      <c r="H93" s="237"/>
      <c r="I93" s="238"/>
      <c r="J93" s="239"/>
      <c r="K93" s="234"/>
      <c r="L93" s="234"/>
      <c r="M93" s="234"/>
      <c r="N93" s="240"/>
      <c r="O93" s="241"/>
      <c r="P93" s="241"/>
      <c r="Q93" s="242"/>
      <c r="R93" s="243"/>
      <c r="S93" s="244"/>
      <c r="T93" s="245"/>
      <c r="U93" s="228"/>
      <c r="V93" s="129">
        <f t="shared" si="2"/>
        <v>0</v>
      </c>
      <c r="W93" s="229"/>
      <c r="X93" s="229"/>
      <c r="Y93" s="229"/>
      <c r="Z93" s="230"/>
      <c r="AA93" s="230"/>
      <c r="AB93" s="230"/>
      <c r="AC93" s="230"/>
      <c r="AD93" s="230"/>
      <c r="AE93" s="230"/>
    </row>
    <row r="94" spans="1:42" s="111" customFormat="1" ht="105.6" x14ac:dyDescent="0.3">
      <c r="A94" s="212" t="s">
        <v>295</v>
      </c>
      <c r="B94" s="213" t="s">
        <v>296</v>
      </c>
      <c r="C94" s="214" t="s">
        <v>270</v>
      </c>
      <c r="D94" s="221" t="s">
        <v>277</v>
      </c>
      <c r="E94" s="216" t="s">
        <v>297</v>
      </c>
      <c r="F94" s="215" t="s">
        <v>298</v>
      </c>
      <c r="G94" s="215" t="s">
        <v>299</v>
      </c>
      <c r="H94" s="246">
        <v>665</v>
      </c>
      <c r="I94" s="219">
        <v>19</v>
      </c>
      <c r="J94" s="220">
        <v>19</v>
      </c>
      <c r="K94" s="221" t="s">
        <v>137</v>
      </c>
      <c r="L94" s="221" t="s">
        <v>55</v>
      </c>
      <c r="M94" s="221" t="s">
        <v>300</v>
      </c>
      <c r="N94" s="222">
        <v>19</v>
      </c>
      <c r="O94" s="223"/>
      <c r="P94" s="223" t="s">
        <v>58</v>
      </c>
      <c r="Q94" s="224">
        <v>46130</v>
      </c>
      <c r="R94" s="225">
        <f>S94-1</f>
        <v>46133</v>
      </c>
      <c r="S94" s="226">
        <v>46134</v>
      </c>
      <c r="T94" s="227" t="s">
        <v>68</v>
      </c>
      <c r="U94" s="228">
        <v>20</v>
      </c>
      <c r="V94" s="129">
        <f t="shared" si="2"/>
        <v>1</v>
      </c>
      <c r="W94" s="229">
        <v>0</v>
      </c>
      <c r="X94" s="229">
        <v>0</v>
      </c>
      <c r="Y94" s="229">
        <v>665</v>
      </c>
      <c r="Z94" s="230" t="b">
        <v>0</v>
      </c>
      <c r="AA94" s="230"/>
      <c r="AB94" s="230"/>
      <c r="AC94" s="230"/>
      <c r="AD94" s="230"/>
      <c r="AE94" s="131" t="e">
        <f>SUMIF('[2]TONG XUAT BUN 2026'!$B:$F,A94,'[2]TONG XUAT BUN 2026'!$F:$F)</f>
        <v>#VALUE!</v>
      </c>
    </row>
    <row r="95" spans="1:42" s="111" customFormat="1" ht="60" x14ac:dyDescent="0.3">
      <c r="A95" s="231"/>
      <c r="B95" s="232"/>
      <c r="C95" s="233"/>
      <c r="D95" s="234"/>
      <c r="E95" s="235"/>
      <c r="F95" s="236"/>
      <c r="G95" s="236"/>
      <c r="H95" s="237"/>
      <c r="I95" s="238"/>
      <c r="J95" s="239"/>
      <c r="K95" s="234"/>
      <c r="L95" s="234"/>
      <c r="M95" s="234"/>
      <c r="N95" s="240"/>
      <c r="O95" s="241"/>
      <c r="P95" s="241"/>
      <c r="Q95" s="242"/>
      <c r="R95" s="243"/>
      <c r="S95" s="244"/>
      <c r="T95" s="245"/>
      <c r="U95" s="228"/>
      <c r="V95" s="129">
        <f t="shared" si="2"/>
        <v>0</v>
      </c>
      <c r="W95" s="229"/>
      <c r="X95" s="229"/>
      <c r="Y95" s="229"/>
      <c r="Z95" s="230"/>
      <c r="AA95" s="230"/>
      <c r="AB95" s="230"/>
      <c r="AC95" s="230"/>
      <c r="AD95" s="230"/>
      <c r="AE95" s="230"/>
    </row>
    <row r="96" spans="1:42" s="111" customFormat="1" ht="60" x14ac:dyDescent="0.3">
      <c r="A96" s="213" t="s">
        <v>301</v>
      </c>
      <c r="B96" s="213" t="s">
        <v>302</v>
      </c>
      <c r="C96" s="214" t="s">
        <v>270</v>
      </c>
      <c r="D96" s="215" t="s">
        <v>140</v>
      </c>
      <c r="E96" s="216" t="s">
        <v>141</v>
      </c>
      <c r="F96" s="247" t="s">
        <v>142</v>
      </c>
      <c r="G96" s="247" t="s">
        <v>143</v>
      </c>
      <c r="H96" s="218">
        <v>2000</v>
      </c>
      <c r="I96" s="219">
        <v>58</v>
      </c>
      <c r="J96" s="220">
        <v>58</v>
      </c>
      <c r="K96" s="247" t="s">
        <v>144</v>
      </c>
      <c r="L96" s="215" t="s">
        <v>76</v>
      </c>
      <c r="M96" s="247" t="s">
        <v>145</v>
      </c>
      <c r="N96" s="222">
        <v>58</v>
      </c>
      <c r="O96" s="223"/>
      <c r="P96" s="223">
        <v>58</v>
      </c>
      <c r="Q96" s="224">
        <v>46132</v>
      </c>
      <c r="R96" s="225">
        <f>S96-1</f>
        <v>46134</v>
      </c>
      <c r="S96" s="226">
        <v>46135</v>
      </c>
      <c r="T96" s="227" t="s">
        <v>68</v>
      </c>
      <c r="U96" s="228"/>
      <c r="V96" s="129">
        <f t="shared" si="2"/>
        <v>-58</v>
      </c>
      <c r="W96" s="229">
        <v>0</v>
      </c>
      <c r="X96" s="229">
        <v>0</v>
      </c>
      <c r="Y96" s="229">
        <v>2000</v>
      </c>
      <c r="Z96" s="230" t="b">
        <v>0</v>
      </c>
      <c r="AA96" s="230" t="s">
        <v>303</v>
      </c>
      <c r="AB96" s="230"/>
      <c r="AC96" s="230"/>
      <c r="AD96" s="230"/>
      <c r="AE96" s="131" t="e">
        <f>SUMIF('[2]TONG XUAT BUN 2026'!$B:$F,A96,'[2]TONG XUAT BUN 2026'!$F:$F)</f>
        <v>#VALUE!</v>
      </c>
    </row>
    <row r="97" spans="1:42" s="111" customFormat="1" ht="60" x14ac:dyDescent="0.3">
      <c r="A97" s="231"/>
      <c r="B97" s="232"/>
      <c r="C97" s="233"/>
      <c r="D97" s="236"/>
      <c r="E97" s="235"/>
      <c r="F97" s="248"/>
      <c r="G97" s="248"/>
      <c r="H97" s="237"/>
      <c r="I97" s="238"/>
      <c r="J97" s="239"/>
      <c r="K97" s="249"/>
      <c r="L97" s="249"/>
      <c r="M97" s="249"/>
      <c r="N97" s="240"/>
      <c r="O97" s="241"/>
      <c r="P97" s="241"/>
      <c r="Q97" s="242"/>
      <c r="R97" s="243"/>
      <c r="S97" s="244"/>
      <c r="T97" s="245"/>
      <c r="U97" s="228"/>
      <c r="V97" s="129">
        <f t="shared" si="2"/>
        <v>0</v>
      </c>
      <c r="W97" s="229"/>
      <c r="X97" s="229"/>
      <c r="Y97" s="229"/>
      <c r="Z97" s="230"/>
      <c r="AA97" s="230"/>
      <c r="AB97" s="230"/>
      <c r="AC97" s="230"/>
      <c r="AD97" s="230"/>
      <c r="AE97" s="230"/>
    </row>
    <row r="98" spans="1:42" s="111" customFormat="1" ht="60" x14ac:dyDescent="0.3">
      <c r="A98" s="212" t="s">
        <v>304</v>
      </c>
      <c r="B98" s="213" t="s">
        <v>305</v>
      </c>
      <c r="C98" s="250" t="s">
        <v>306</v>
      </c>
      <c r="D98" s="215" t="s">
        <v>71</v>
      </c>
      <c r="E98" s="216" t="s">
        <v>150</v>
      </c>
      <c r="F98" s="247" t="s">
        <v>151</v>
      </c>
      <c r="G98" s="247" t="s">
        <v>152</v>
      </c>
      <c r="H98" s="223">
        <v>1700</v>
      </c>
      <c r="I98" s="219">
        <v>148</v>
      </c>
      <c r="J98" s="220">
        <v>148</v>
      </c>
      <c r="K98" s="251" t="s">
        <v>75</v>
      </c>
      <c r="L98" s="251" t="s">
        <v>76</v>
      </c>
      <c r="M98" s="251" t="s">
        <v>56</v>
      </c>
      <c r="N98" s="222">
        <v>148</v>
      </c>
      <c r="O98" s="223"/>
      <c r="P98" s="223">
        <v>148</v>
      </c>
      <c r="Q98" s="224">
        <v>46132</v>
      </c>
      <c r="R98" s="225">
        <f>S98-1</f>
        <v>46134</v>
      </c>
      <c r="S98" s="226">
        <v>46135</v>
      </c>
      <c r="T98" s="227" t="s">
        <v>68</v>
      </c>
      <c r="U98" s="228"/>
      <c r="V98" s="129">
        <f t="shared" si="2"/>
        <v>-148</v>
      </c>
      <c r="W98" s="229">
        <v>0</v>
      </c>
      <c r="X98" s="229">
        <v>0</v>
      </c>
      <c r="Y98" s="229">
        <v>1700</v>
      </c>
      <c r="Z98" s="230" t="b">
        <v>1</v>
      </c>
      <c r="AA98" s="230" t="s">
        <v>307</v>
      </c>
      <c r="AB98" s="230"/>
      <c r="AC98" s="230"/>
      <c r="AD98" s="230"/>
      <c r="AE98" s="131" t="e">
        <f>SUMIF('[2]TONG XUAT BUN 2026'!$B:$F,A98,'[2]TONG XUAT BUN 2026'!$F:$F)</f>
        <v>#VALUE!</v>
      </c>
    </row>
    <row r="99" spans="1:42" s="111" customFormat="1" ht="60" x14ac:dyDescent="0.3">
      <c r="A99" s="231"/>
      <c r="B99" s="232"/>
      <c r="C99" s="233"/>
      <c r="D99" s="236"/>
      <c r="E99" s="235"/>
      <c r="F99" s="248"/>
      <c r="G99" s="248"/>
      <c r="H99" s="241"/>
      <c r="I99" s="238"/>
      <c r="J99" s="239"/>
      <c r="K99" s="249"/>
      <c r="L99" s="249"/>
      <c r="M99" s="249"/>
      <c r="N99" s="240"/>
      <c r="O99" s="241"/>
      <c r="P99" s="241"/>
      <c r="Q99" s="242"/>
      <c r="R99" s="243"/>
      <c r="S99" s="244"/>
      <c r="T99" s="245"/>
      <c r="U99" s="228"/>
      <c r="V99" s="129">
        <f t="shared" si="2"/>
        <v>0</v>
      </c>
      <c r="W99" s="229"/>
      <c r="X99" s="229"/>
      <c r="Y99" s="229"/>
      <c r="Z99" s="230"/>
      <c r="AA99" s="230"/>
      <c r="AB99" s="230"/>
      <c r="AC99" s="230"/>
      <c r="AD99" s="230"/>
      <c r="AE99" s="230"/>
    </row>
    <row r="100" spans="1:42" s="111" customFormat="1" ht="105.6" x14ac:dyDescent="0.3">
      <c r="A100" s="212" t="s">
        <v>308</v>
      </c>
      <c r="B100" s="213" t="s">
        <v>309</v>
      </c>
      <c r="C100" s="252" t="s">
        <v>310</v>
      </c>
      <c r="D100" s="221" t="s">
        <v>277</v>
      </c>
      <c r="E100" s="216" t="s">
        <v>311</v>
      </c>
      <c r="F100" s="215" t="s">
        <v>312</v>
      </c>
      <c r="G100" s="253" t="s">
        <v>313</v>
      </c>
      <c r="H100" s="246">
        <v>13</v>
      </c>
      <c r="I100" s="219">
        <v>1</v>
      </c>
      <c r="J100" s="220">
        <v>1</v>
      </c>
      <c r="K100" s="221" t="s">
        <v>144</v>
      </c>
      <c r="L100" s="221" t="s">
        <v>55</v>
      </c>
      <c r="M100" s="221" t="s">
        <v>56</v>
      </c>
      <c r="N100" s="222">
        <v>354</v>
      </c>
      <c r="O100" s="223"/>
      <c r="P100" s="223" t="s">
        <v>58</v>
      </c>
      <c r="Q100" s="224">
        <v>46132</v>
      </c>
      <c r="R100" s="225">
        <f>S100-1</f>
        <v>46134</v>
      </c>
      <c r="S100" s="226">
        <v>46135</v>
      </c>
      <c r="T100" s="227" t="s">
        <v>68</v>
      </c>
      <c r="U100" s="228">
        <f>189-178-5+93-7</f>
        <v>92</v>
      </c>
      <c r="V100" s="129">
        <f t="shared" si="2"/>
        <v>-262</v>
      </c>
      <c r="W100" s="229">
        <v>0</v>
      </c>
      <c r="X100" s="229">
        <v>0</v>
      </c>
      <c r="Y100" s="229">
        <v>13</v>
      </c>
      <c r="Z100" s="230" t="b">
        <v>0</v>
      </c>
      <c r="AA100" s="230"/>
      <c r="AB100" s="230"/>
      <c r="AC100" s="230"/>
      <c r="AD100" s="230"/>
      <c r="AE100" s="131" t="e">
        <f>SUMIF('[2]TONG XUAT BUN 2026'!$B:$F,A100,'[2]TONG XUAT BUN 2026'!$F:$F)</f>
        <v>#VALUE!</v>
      </c>
    </row>
    <row r="101" spans="1:42" s="111" customFormat="1" ht="60" x14ac:dyDescent="0.3">
      <c r="A101" s="213" t="s">
        <v>314</v>
      </c>
      <c r="B101" s="213" t="s">
        <v>315</v>
      </c>
      <c r="C101" s="254" t="s">
        <v>306</v>
      </c>
      <c r="D101" s="215" t="s">
        <v>140</v>
      </c>
      <c r="E101" s="216" t="s">
        <v>311</v>
      </c>
      <c r="F101" s="247" t="s">
        <v>316</v>
      </c>
      <c r="G101" s="247" t="s">
        <v>317</v>
      </c>
      <c r="H101" s="218">
        <v>7000</v>
      </c>
      <c r="I101" s="219">
        <v>153</v>
      </c>
      <c r="J101" s="220">
        <v>153</v>
      </c>
      <c r="K101" s="247" t="s">
        <v>144</v>
      </c>
      <c r="L101" s="215" t="s">
        <v>76</v>
      </c>
      <c r="M101" s="247" t="s">
        <v>145</v>
      </c>
      <c r="N101" s="222"/>
      <c r="O101" s="223"/>
      <c r="P101" s="223">
        <v>62</v>
      </c>
      <c r="Q101" s="224">
        <v>46132</v>
      </c>
      <c r="R101" s="225">
        <f>S101-1</f>
        <v>46134</v>
      </c>
      <c r="S101" s="226">
        <v>46135</v>
      </c>
      <c r="T101" s="227" t="s">
        <v>68</v>
      </c>
      <c r="U101" s="228"/>
      <c r="V101" s="129">
        <f t="shared" si="2"/>
        <v>0</v>
      </c>
      <c r="W101" s="229">
        <v>0</v>
      </c>
      <c r="X101" s="229">
        <v>0</v>
      </c>
      <c r="Y101" s="229">
        <v>7000</v>
      </c>
      <c r="Z101" s="230" t="b">
        <v>0</v>
      </c>
      <c r="AA101" s="230" t="s">
        <v>318</v>
      </c>
      <c r="AB101" s="230"/>
      <c r="AC101" s="230"/>
      <c r="AD101" s="230"/>
      <c r="AE101" s="131" t="e">
        <f>SUMIF('[2]TONG XUAT BUN 2026'!$B:$F,A101,'[2]TONG XUAT BUN 2026'!$F:$F)</f>
        <v>#VALUE!</v>
      </c>
    </row>
    <row r="102" spans="1:42" s="111" customFormat="1" ht="60" x14ac:dyDescent="0.3">
      <c r="A102" s="255" t="s">
        <v>319</v>
      </c>
      <c r="B102" s="213" t="s">
        <v>320</v>
      </c>
      <c r="C102" s="252" t="s">
        <v>310</v>
      </c>
      <c r="D102" s="215" t="s">
        <v>140</v>
      </c>
      <c r="E102" s="216" t="s">
        <v>311</v>
      </c>
      <c r="F102" s="247" t="s">
        <v>321</v>
      </c>
      <c r="G102" s="256" t="s">
        <v>322</v>
      </c>
      <c r="H102" s="218">
        <v>7000</v>
      </c>
      <c r="I102" s="219">
        <v>200</v>
      </c>
      <c r="J102" s="220">
        <v>200</v>
      </c>
      <c r="K102" s="247" t="s">
        <v>144</v>
      </c>
      <c r="L102" s="215" t="s">
        <v>76</v>
      </c>
      <c r="M102" s="247" t="s">
        <v>145</v>
      </c>
      <c r="N102" s="222"/>
      <c r="O102" s="223"/>
      <c r="P102" s="223">
        <v>200</v>
      </c>
      <c r="Q102" s="224">
        <v>46132</v>
      </c>
      <c r="R102" s="225">
        <f>S102-1</f>
        <v>46134</v>
      </c>
      <c r="S102" s="226">
        <v>46135</v>
      </c>
      <c r="T102" s="227" t="s">
        <v>68</v>
      </c>
      <c r="U102" s="228"/>
      <c r="V102" s="129">
        <f t="shared" si="2"/>
        <v>0</v>
      </c>
      <c r="W102" s="229">
        <v>0</v>
      </c>
      <c r="X102" s="229">
        <v>0</v>
      </c>
      <c r="Y102" s="229">
        <v>7000</v>
      </c>
      <c r="Z102" s="230" t="b">
        <v>0</v>
      </c>
      <c r="AA102" s="230" t="s">
        <v>212</v>
      </c>
      <c r="AB102" s="230"/>
      <c r="AC102" s="230"/>
      <c r="AD102" s="230"/>
      <c r="AE102" s="131" t="e">
        <f>SUMIF('[2]TONG XUAT BUN 2026'!$B:$F,A102,'[2]TONG XUAT BUN 2026'!$F:$F)</f>
        <v>#VALUE!</v>
      </c>
    </row>
    <row r="103" spans="1:42" s="111" customFormat="1" ht="60" x14ac:dyDescent="0.3">
      <c r="A103" s="231"/>
      <c r="B103" s="232"/>
      <c r="C103" s="233"/>
      <c r="D103" s="236"/>
      <c r="E103" s="235"/>
      <c r="F103" s="248"/>
      <c r="G103" s="248"/>
      <c r="H103" s="237"/>
      <c r="I103" s="238"/>
      <c r="J103" s="239"/>
      <c r="K103" s="249"/>
      <c r="L103" s="249"/>
      <c r="M103" s="249"/>
      <c r="N103" s="240"/>
      <c r="O103" s="241"/>
      <c r="P103" s="241"/>
      <c r="Q103" s="242"/>
      <c r="R103" s="243"/>
      <c r="S103" s="244"/>
      <c r="T103" s="245"/>
      <c r="U103" s="228"/>
      <c r="V103" s="129">
        <f t="shared" si="2"/>
        <v>0</v>
      </c>
      <c r="W103" s="229"/>
      <c r="X103" s="229"/>
      <c r="Y103" s="229"/>
      <c r="Z103" s="230"/>
      <c r="AA103" s="230"/>
      <c r="AB103" s="230"/>
      <c r="AC103" s="230"/>
      <c r="AD103" s="230"/>
      <c r="AE103" s="230"/>
    </row>
    <row r="104" spans="1:42" s="111" customFormat="1" ht="60" x14ac:dyDescent="0.3">
      <c r="A104" s="212" t="s">
        <v>323</v>
      </c>
      <c r="B104" s="213" t="s">
        <v>324</v>
      </c>
      <c r="C104" s="252" t="s">
        <v>310</v>
      </c>
      <c r="D104" s="217" t="s">
        <v>325</v>
      </c>
      <c r="E104" s="216" t="s">
        <v>51</v>
      </c>
      <c r="F104" s="247" t="s">
        <v>326</v>
      </c>
      <c r="G104" s="247" t="s">
        <v>327</v>
      </c>
      <c r="H104" s="246">
        <v>670</v>
      </c>
      <c r="I104" s="219">
        <v>17</v>
      </c>
      <c r="J104" s="220">
        <v>17</v>
      </c>
      <c r="K104" s="247" t="s">
        <v>328</v>
      </c>
      <c r="L104" s="215" t="s">
        <v>76</v>
      </c>
      <c r="M104" s="247" t="s">
        <v>56</v>
      </c>
      <c r="N104" s="222">
        <v>17</v>
      </c>
      <c r="O104" s="223"/>
      <c r="P104" s="223" t="s">
        <v>58</v>
      </c>
      <c r="Q104" s="224">
        <v>46133</v>
      </c>
      <c r="R104" s="225">
        <f>S104-1</f>
        <v>46135</v>
      </c>
      <c r="S104" s="226">
        <v>46136</v>
      </c>
      <c r="T104" s="227" t="s">
        <v>68</v>
      </c>
      <c r="U104" s="228">
        <f>7-3-2+20</f>
        <v>22</v>
      </c>
      <c r="V104" s="129">
        <f t="shared" si="2"/>
        <v>5</v>
      </c>
      <c r="W104" s="229">
        <v>0</v>
      </c>
      <c r="X104" s="229">
        <v>0</v>
      </c>
      <c r="Y104" s="229">
        <v>670</v>
      </c>
      <c r="Z104" s="230" t="b">
        <v>0</v>
      </c>
      <c r="AA104" s="230"/>
      <c r="AB104" s="230"/>
      <c r="AC104" s="230"/>
      <c r="AD104" s="230"/>
      <c r="AE104" s="131" t="e">
        <f>SUMIF('[2]TONG XUAT BUN 2026'!$B:$F,A104,'[2]TONG XUAT BUN 2026'!$F:$F)</f>
        <v>#VALUE!</v>
      </c>
    </row>
    <row r="105" spans="1:42" s="111" customFormat="1" ht="60" x14ac:dyDescent="0.3">
      <c r="A105" s="231"/>
      <c r="B105" s="232"/>
      <c r="C105" s="233"/>
      <c r="D105" s="236"/>
      <c r="E105" s="235"/>
      <c r="F105" s="248"/>
      <c r="G105" s="248"/>
      <c r="H105" s="237"/>
      <c r="I105" s="238"/>
      <c r="J105" s="239"/>
      <c r="K105" s="249"/>
      <c r="L105" s="249"/>
      <c r="M105" s="249"/>
      <c r="N105" s="240"/>
      <c r="O105" s="241"/>
      <c r="P105" s="241"/>
      <c r="Q105" s="242"/>
      <c r="R105" s="243"/>
      <c r="S105" s="244"/>
      <c r="T105" s="245"/>
      <c r="U105" s="228"/>
      <c r="V105" s="129">
        <f t="shared" si="2"/>
        <v>0</v>
      </c>
      <c r="W105" s="229"/>
      <c r="X105" s="229"/>
      <c r="Y105" s="229"/>
      <c r="Z105" s="230"/>
      <c r="AA105" s="230"/>
      <c r="AB105" s="230"/>
      <c r="AC105" s="230"/>
      <c r="AD105" s="230"/>
      <c r="AE105" s="230"/>
    </row>
    <row r="106" spans="1:42" s="111" customFormat="1" ht="60" x14ac:dyDescent="0.3">
      <c r="A106" s="212" t="s">
        <v>329</v>
      </c>
      <c r="B106" s="213" t="s">
        <v>330</v>
      </c>
      <c r="C106" s="250" t="s">
        <v>331</v>
      </c>
      <c r="D106" s="215" t="s">
        <v>133</v>
      </c>
      <c r="E106" s="216" t="s">
        <v>201</v>
      </c>
      <c r="F106" s="247" t="s">
        <v>202</v>
      </c>
      <c r="G106" s="247" t="s">
        <v>203</v>
      </c>
      <c r="H106" s="246">
        <v>1000</v>
      </c>
      <c r="I106" s="219">
        <v>39</v>
      </c>
      <c r="J106" s="220">
        <v>39</v>
      </c>
      <c r="K106" s="251" t="s">
        <v>137</v>
      </c>
      <c r="L106" s="251" t="s">
        <v>76</v>
      </c>
      <c r="M106" s="251" t="s">
        <v>56</v>
      </c>
      <c r="N106" s="222">
        <v>39</v>
      </c>
      <c r="O106" s="223"/>
      <c r="P106" s="223">
        <v>26</v>
      </c>
      <c r="Q106" s="224">
        <v>46133</v>
      </c>
      <c r="R106" s="225">
        <f>S106-1</f>
        <v>46135</v>
      </c>
      <c r="S106" s="226">
        <v>46136</v>
      </c>
      <c r="T106" s="227" t="s">
        <v>68</v>
      </c>
      <c r="U106" s="228">
        <f>13</f>
        <v>13</v>
      </c>
      <c r="V106" s="129">
        <f t="shared" si="2"/>
        <v>-26</v>
      </c>
      <c r="W106" s="229">
        <v>0</v>
      </c>
      <c r="X106" s="229">
        <v>0</v>
      </c>
      <c r="Y106" s="229">
        <v>1000</v>
      </c>
      <c r="Z106" s="230" t="b">
        <v>0</v>
      </c>
      <c r="AA106" s="230" t="s">
        <v>212</v>
      </c>
      <c r="AB106" s="230"/>
      <c r="AC106" s="230"/>
      <c r="AD106" s="230"/>
      <c r="AE106" s="131" t="e">
        <f>SUMIF('[2]TONG XUAT BUN 2026'!$B:$F,A106,'[2]TONG XUAT BUN 2026'!$F:$F)</f>
        <v>#VALUE!</v>
      </c>
    </row>
    <row r="107" spans="1:42" s="209" customFormat="1" ht="60" x14ac:dyDescent="0.3">
      <c r="A107" s="189"/>
      <c r="B107" s="190"/>
      <c r="C107" s="191"/>
      <c r="D107" s="190"/>
      <c r="E107" s="192"/>
      <c r="F107" s="189"/>
      <c r="G107" s="193" t="s">
        <v>332</v>
      </c>
      <c r="H107" s="194"/>
      <c r="I107" s="195"/>
      <c r="J107" s="191"/>
      <c r="K107" s="196"/>
      <c r="L107" s="197"/>
      <c r="M107" s="197"/>
      <c r="N107" s="198"/>
      <c r="O107" s="199"/>
      <c r="P107" s="200"/>
      <c r="Q107" s="201"/>
      <c r="R107" s="202"/>
      <c r="S107" s="203"/>
      <c r="T107" s="204"/>
      <c r="U107" s="205"/>
      <c r="V107" s="129">
        <f t="shared" si="2"/>
        <v>0</v>
      </c>
      <c r="W107" s="206"/>
      <c r="X107" s="206"/>
      <c r="Y107" s="206"/>
      <c r="Z107" s="207"/>
      <c r="AA107" s="208"/>
      <c r="AB107" s="207"/>
      <c r="AC107" s="207"/>
      <c r="AD107" s="207"/>
      <c r="AE107" s="207"/>
      <c r="AI107" s="210"/>
      <c r="AJ107" s="210"/>
      <c r="AK107" s="210"/>
      <c r="AL107" s="210"/>
      <c r="AM107" s="210"/>
      <c r="AN107" s="211"/>
      <c r="AO107" s="211"/>
      <c r="AP107" s="210"/>
    </row>
    <row r="108" spans="1:42" s="209" customFormat="1" ht="37.799999999999997" x14ac:dyDescent="0.3">
      <c r="A108" s="257"/>
      <c r="B108" s="257"/>
      <c r="C108" s="258"/>
      <c r="D108" s="259"/>
      <c r="E108" s="260"/>
      <c r="F108" s="261"/>
      <c r="G108" s="262"/>
      <c r="H108" s="263">
        <f>SUM(H12:H106)</f>
        <v>48699</v>
      </c>
      <c r="I108" s="263">
        <f>SUM(I12:I106)</f>
        <v>2028</v>
      </c>
      <c r="J108" s="263">
        <f>SUM(J12:J106)</f>
        <v>2028</v>
      </c>
      <c r="K108" s="259"/>
      <c r="L108" s="259"/>
      <c r="M108" s="261"/>
      <c r="N108" s="263">
        <f>SUM(N12:N106)</f>
        <v>1938</v>
      </c>
      <c r="O108" s="264">
        <f>N108-M7</f>
        <v>23</v>
      </c>
      <c r="P108" s="265"/>
      <c r="Q108" s="266"/>
      <c r="R108" s="266"/>
      <c r="S108" s="266"/>
      <c r="T108" s="266"/>
      <c r="U108" s="266"/>
      <c r="V108" s="129">
        <f t="shared" si="2"/>
        <v>-1938</v>
      </c>
      <c r="W108" s="206"/>
      <c r="X108" s="206"/>
      <c r="Y108" s="206"/>
      <c r="Z108" s="207"/>
      <c r="AA108" s="207"/>
      <c r="AB108" s="207"/>
      <c r="AC108" s="207"/>
      <c r="AD108" s="207"/>
      <c r="AE108" s="267"/>
      <c r="AF108" s="268"/>
      <c r="AG108" s="268"/>
    </row>
    <row r="109" spans="1:42" s="111" customFormat="1" ht="60" x14ac:dyDescent="0.3">
      <c r="A109" s="112" t="s">
        <v>333</v>
      </c>
      <c r="B109" s="113" t="s">
        <v>334</v>
      </c>
      <c r="C109" s="172" t="s">
        <v>49</v>
      </c>
      <c r="D109" s="148" t="s">
        <v>79</v>
      </c>
      <c r="E109" s="116" t="s">
        <v>335</v>
      </c>
      <c r="F109" s="115" t="s">
        <v>336</v>
      </c>
      <c r="G109" s="115" t="s">
        <v>337</v>
      </c>
      <c r="H109" s="119">
        <v>1000</v>
      </c>
      <c r="I109" s="120">
        <v>33</v>
      </c>
      <c r="J109" s="121">
        <v>33</v>
      </c>
      <c r="K109" s="115" t="s">
        <v>83</v>
      </c>
      <c r="L109" s="117" t="s">
        <v>76</v>
      </c>
      <c r="M109" s="115" t="s">
        <v>56</v>
      </c>
      <c r="N109" s="122">
        <v>6</v>
      </c>
      <c r="O109" s="93" t="s">
        <v>57</v>
      </c>
      <c r="P109" s="123" t="s">
        <v>58</v>
      </c>
      <c r="Q109" s="124">
        <v>46125</v>
      </c>
      <c r="R109" s="151">
        <f>S109-1</f>
        <v>46127</v>
      </c>
      <c r="S109" s="126">
        <v>46128</v>
      </c>
      <c r="T109" s="127" t="s">
        <v>68</v>
      </c>
      <c r="U109" s="128">
        <f>13-1</f>
        <v>12</v>
      </c>
      <c r="V109" s="129">
        <f t="shared" si="2"/>
        <v>6</v>
      </c>
      <c r="W109" s="130">
        <v>0</v>
      </c>
      <c r="X109" s="130">
        <v>0</v>
      </c>
      <c r="Y109" s="130">
        <v>1000</v>
      </c>
      <c r="Z109" s="108" t="b">
        <v>0</v>
      </c>
      <c r="AA109" s="108"/>
      <c r="AB109" s="108"/>
      <c r="AC109" s="108"/>
      <c r="AD109" s="108"/>
      <c r="AE109" s="131" t="e">
        <f>SUMIF('[2]TONG XUAT BUN 2026'!$B:$F,A109,'[2]TONG XUAT BUN 2026'!$F:$F)</f>
        <v>#VALUE!</v>
      </c>
      <c r="AF109" s="111" t="s">
        <v>338</v>
      </c>
    </row>
    <row r="110" spans="1:42" s="111" customFormat="1" ht="60" x14ac:dyDescent="0.3">
      <c r="A110" s="132"/>
      <c r="B110" s="152"/>
      <c r="C110" s="160"/>
      <c r="D110" s="134"/>
      <c r="E110" s="135"/>
      <c r="F110" s="136"/>
      <c r="G110" s="136"/>
      <c r="H110" s="137"/>
      <c r="I110" s="138"/>
      <c r="J110" s="139"/>
      <c r="K110" s="136"/>
      <c r="L110" s="140"/>
      <c r="M110" s="136"/>
      <c r="N110" s="154"/>
      <c r="O110" s="143"/>
      <c r="P110" s="143"/>
      <c r="Q110" s="144"/>
      <c r="R110" s="155"/>
      <c r="S110" s="146"/>
      <c r="T110" s="147"/>
      <c r="U110" s="128"/>
      <c r="V110" s="129">
        <f t="shared" si="2"/>
        <v>0</v>
      </c>
      <c r="W110" s="130"/>
      <c r="X110" s="130"/>
      <c r="Y110" s="130"/>
      <c r="Z110" s="108"/>
      <c r="AA110" s="108"/>
      <c r="AB110" s="108"/>
      <c r="AC110" s="108"/>
      <c r="AD110" s="108"/>
      <c r="AE110" s="108"/>
      <c r="AF110" s="111" t="s">
        <v>338</v>
      </c>
    </row>
    <row r="111" spans="1:42" s="111" customFormat="1" ht="60" x14ac:dyDescent="0.3">
      <c r="A111" s="164" t="s">
        <v>339</v>
      </c>
      <c r="B111" s="164" t="s">
        <v>340</v>
      </c>
      <c r="C111" s="172" t="s">
        <v>49</v>
      </c>
      <c r="D111" s="148" t="s">
        <v>341</v>
      </c>
      <c r="E111" s="116" t="s">
        <v>342</v>
      </c>
      <c r="F111" s="156" t="s">
        <v>343</v>
      </c>
      <c r="G111" s="156" t="s">
        <v>344</v>
      </c>
      <c r="H111" s="149">
        <v>500</v>
      </c>
      <c r="I111" s="120">
        <v>18</v>
      </c>
      <c r="J111" s="121">
        <v>18</v>
      </c>
      <c r="K111" s="156" t="s">
        <v>345</v>
      </c>
      <c r="L111" s="115" t="s">
        <v>76</v>
      </c>
      <c r="M111" s="156" t="s">
        <v>94</v>
      </c>
      <c r="N111" s="166">
        <v>18</v>
      </c>
      <c r="O111" s="123"/>
      <c r="P111" s="123" t="s">
        <v>58</v>
      </c>
      <c r="Q111" s="124">
        <v>46126</v>
      </c>
      <c r="R111" s="125">
        <f>S111-1</f>
        <v>46128</v>
      </c>
      <c r="S111" s="126">
        <v>46129</v>
      </c>
      <c r="T111" s="127" t="s">
        <v>59</v>
      </c>
      <c r="U111" s="128">
        <v>18</v>
      </c>
      <c r="V111" s="129">
        <f t="shared" si="2"/>
        <v>0</v>
      </c>
      <c r="W111" s="130">
        <v>0</v>
      </c>
      <c r="X111" s="130">
        <v>0</v>
      </c>
      <c r="Y111" s="130">
        <v>500</v>
      </c>
      <c r="Z111" s="108" t="b">
        <v>0</v>
      </c>
      <c r="AA111" s="108"/>
      <c r="AB111" s="108"/>
      <c r="AC111" s="108"/>
      <c r="AD111" s="108"/>
      <c r="AE111" s="131" t="e">
        <f>SUMIF('[2]TONG XUAT BUN 2026'!$B:$F,A111,'[2]TONG XUAT BUN 2026'!$F:$F)</f>
        <v>#VALUE!</v>
      </c>
      <c r="AF111" s="111" t="s">
        <v>338</v>
      </c>
    </row>
    <row r="112" spans="1:42" s="111" customFormat="1" ht="60" x14ac:dyDescent="0.3">
      <c r="A112" s="132"/>
      <c r="B112" s="132"/>
      <c r="C112" s="160"/>
      <c r="D112" s="134"/>
      <c r="E112" s="135"/>
      <c r="F112" s="158"/>
      <c r="G112" s="158"/>
      <c r="H112" s="153"/>
      <c r="I112" s="138"/>
      <c r="J112" s="139"/>
      <c r="K112" s="158"/>
      <c r="L112" s="136"/>
      <c r="M112" s="158"/>
      <c r="N112" s="141"/>
      <c r="O112" s="143"/>
      <c r="P112" s="143"/>
      <c r="Q112" s="144"/>
      <c r="R112" s="145"/>
      <c r="S112" s="146"/>
      <c r="T112" s="147"/>
      <c r="U112" s="128"/>
      <c r="V112" s="129">
        <f t="shared" si="2"/>
        <v>0</v>
      </c>
      <c r="W112" s="130"/>
      <c r="X112" s="130"/>
      <c r="Y112" s="130"/>
      <c r="Z112" s="108"/>
      <c r="AA112" s="108"/>
      <c r="AB112" s="108"/>
      <c r="AC112" s="108"/>
      <c r="AD112" s="108"/>
      <c r="AE112" s="108"/>
      <c r="AF112" s="111" t="s">
        <v>338</v>
      </c>
    </row>
    <row r="113" spans="1:32" s="111" customFormat="1" ht="60" x14ac:dyDescent="0.3">
      <c r="A113" s="164" t="s">
        <v>346</v>
      </c>
      <c r="B113" s="164" t="s">
        <v>347</v>
      </c>
      <c r="C113" s="172" t="s">
        <v>49</v>
      </c>
      <c r="D113" s="148" t="s">
        <v>341</v>
      </c>
      <c r="E113" s="116" t="s">
        <v>348</v>
      </c>
      <c r="F113" s="156" t="s">
        <v>349</v>
      </c>
      <c r="G113" s="156" t="s">
        <v>350</v>
      </c>
      <c r="H113" s="149">
        <v>200</v>
      </c>
      <c r="I113" s="120">
        <v>8</v>
      </c>
      <c r="J113" s="121">
        <v>8</v>
      </c>
      <c r="K113" s="156" t="s">
        <v>345</v>
      </c>
      <c r="L113" s="115" t="s">
        <v>76</v>
      </c>
      <c r="M113" s="156" t="s">
        <v>94</v>
      </c>
      <c r="N113" s="166">
        <v>62</v>
      </c>
      <c r="O113" s="167" t="s">
        <v>112</v>
      </c>
      <c r="P113" s="123" t="s">
        <v>58</v>
      </c>
      <c r="Q113" s="150">
        <v>46126</v>
      </c>
      <c r="R113" s="125">
        <f>S113-1</f>
        <v>46127</v>
      </c>
      <c r="S113" s="126">
        <v>46128</v>
      </c>
      <c r="T113" s="127" t="s">
        <v>59</v>
      </c>
      <c r="U113" s="128">
        <v>62</v>
      </c>
      <c r="V113" s="129">
        <f t="shared" si="2"/>
        <v>0</v>
      </c>
      <c r="W113" s="130">
        <v>0</v>
      </c>
      <c r="X113" s="130">
        <v>0</v>
      </c>
      <c r="Y113" s="130">
        <v>200</v>
      </c>
      <c r="Z113" s="108" t="b">
        <v>0</v>
      </c>
      <c r="AA113" s="108"/>
      <c r="AB113" s="108"/>
      <c r="AC113" s="108"/>
      <c r="AD113" s="108"/>
      <c r="AE113" s="131" t="e">
        <f>SUMIF('[2]TONG XUAT BUN 2026'!$B:$F,A113,'[2]TONG XUAT BUN 2026'!$F:$F)</f>
        <v>#VALUE!</v>
      </c>
      <c r="AF113" s="111" t="s">
        <v>338</v>
      </c>
    </row>
    <row r="114" spans="1:32" s="111" customFormat="1" ht="60" x14ac:dyDescent="0.3">
      <c r="A114" s="164" t="s">
        <v>351</v>
      </c>
      <c r="B114" s="164" t="s">
        <v>352</v>
      </c>
      <c r="C114" s="172" t="s">
        <v>49</v>
      </c>
      <c r="D114" s="148" t="s">
        <v>341</v>
      </c>
      <c r="E114" s="116" t="s">
        <v>348</v>
      </c>
      <c r="F114" s="156" t="s">
        <v>349</v>
      </c>
      <c r="G114" s="156" t="s">
        <v>350</v>
      </c>
      <c r="H114" s="149">
        <v>32</v>
      </c>
      <c r="I114" s="120">
        <v>2</v>
      </c>
      <c r="J114" s="121">
        <v>2</v>
      </c>
      <c r="K114" s="156" t="s">
        <v>345</v>
      </c>
      <c r="L114" s="115" t="s">
        <v>76</v>
      </c>
      <c r="M114" s="156" t="s">
        <v>94</v>
      </c>
      <c r="N114" s="166"/>
      <c r="O114" s="167" t="s">
        <v>112</v>
      </c>
      <c r="P114" s="123" t="s">
        <v>58</v>
      </c>
      <c r="Q114" s="150">
        <v>46126</v>
      </c>
      <c r="R114" s="125">
        <f>S114-1</f>
        <v>46127</v>
      </c>
      <c r="S114" s="126">
        <v>46128</v>
      </c>
      <c r="T114" s="127" t="s">
        <v>59</v>
      </c>
      <c r="U114" s="128"/>
      <c r="V114" s="129">
        <f t="shared" si="2"/>
        <v>0</v>
      </c>
      <c r="W114" s="130">
        <v>0</v>
      </c>
      <c r="X114" s="130">
        <v>0</v>
      </c>
      <c r="Y114" s="130">
        <v>32</v>
      </c>
      <c r="Z114" s="108" t="b">
        <v>0</v>
      </c>
      <c r="AA114" s="108"/>
      <c r="AB114" s="108"/>
      <c r="AC114" s="108"/>
      <c r="AD114" s="108"/>
      <c r="AE114" s="131" t="e">
        <f>SUMIF('[2]TONG XUAT BUN 2026'!$B:$F,A114,'[2]TONG XUAT BUN 2026'!$F:$F)</f>
        <v>#VALUE!</v>
      </c>
      <c r="AF114" s="111" t="s">
        <v>338</v>
      </c>
    </row>
    <row r="115" spans="1:32" s="111" customFormat="1" ht="60" x14ac:dyDescent="0.3">
      <c r="A115" s="164" t="s">
        <v>353</v>
      </c>
      <c r="B115" s="164" t="s">
        <v>354</v>
      </c>
      <c r="C115" s="172" t="s">
        <v>49</v>
      </c>
      <c r="D115" s="148" t="s">
        <v>341</v>
      </c>
      <c r="E115" s="116" t="s">
        <v>348</v>
      </c>
      <c r="F115" s="156" t="s">
        <v>349</v>
      </c>
      <c r="G115" s="156" t="s">
        <v>350</v>
      </c>
      <c r="H115" s="149">
        <v>11</v>
      </c>
      <c r="I115" s="120">
        <v>1</v>
      </c>
      <c r="J115" s="121">
        <v>1</v>
      </c>
      <c r="K115" s="156" t="s">
        <v>345</v>
      </c>
      <c r="L115" s="115" t="s">
        <v>76</v>
      </c>
      <c r="M115" s="156" t="s">
        <v>94</v>
      </c>
      <c r="N115" s="166"/>
      <c r="O115" s="167" t="s">
        <v>112</v>
      </c>
      <c r="P115" s="123" t="s">
        <v>58</v>
      </c>
      <c r="Q115" s="150">
        <v>46126</v>
      </c>
      <c r="R115" s="125">
        <f>S115-1</f>
        <v>46127</v>
      </c>
      <c r="S115" s="126">
        <v>46128</v>
      </c>
      <c r="T115" s="127" t="s">
        <v>59</v>
      </c>
      <c r="U115" s="128"/>
      <c r="V115" s="129">
        <f t="shared" si="2"/>
        <v>0</v>
      </c>
      <c r="W115" s="130">
        <v>0</v>
      </c>
      <c r="X115" s="130">
        <v>0</v>
      </c>
      <c r="Y115" s="130">
        <v>11</v>
      </c>
      <c r="Z115" s="108" t="b">
        <v>0</v>
      </c>
      <c r="AA115" s="108"/>
      <c r="AB115" s="108"/>
      <c r="AC115" s="108"/>
      <c r="AD115" s="108"/>
      <c r="AE115" s="131" t="e">
        <f>SUMIF('[2]TONG XUAT BUN 2026'!$B:$F,A115,'[2]TONG XUAT BUN 2026'!$F:$F)</f>
        <v>#VALUE!</v>
      </c>
      <c r="AF115" s="111" t="s">
        <v>338</v>
      </c>
    </row>
    <row r="116" spans="1:32" s="111" customFormat="1" ht="60" x14ac:dyDescent="0.3">
      <c r="A116" s="162" t="s">
        <v>355</v>
      </c>
      <c r="B116" s="164" t="s">
        <v>356</v>
      </c>
      <c r="C116" s="172" t="s">
        <v>49</v>
      </c>
      <c r="D116" s="148" t="s">
        <v>341</v>
      </c>
      <c r="E116" s="116" t="s">
        <v>348</v>
      </c>
      <c r="F116" s="156" t="s">
        <v>349</v>
      </c>
      <c r="G116" s="156" t="s">
        <v>350</v>
      </c>
      <c r="H116" s="149">
        <v>407</v>
      </c>
      <c r="I116" s="120">
        <v>15</v>
      </c>
      <c r="J116" s="121">
        <v>15</v>
      </c>
      <c r="K116" s="156" t="s">
        <v>345</v>
      </c>
      <c r="L116" s="115" t="s">
        <v>76</v>
      </c>
      <c r="M116" s="156" t="s">
        <v>94</v>
      </c>
      <c r="N116" s="166"/>
      <c r="O116" s="167" t="s">
        <v>112</v>
      </c>
      <c r="P116" s="123" t="s">
        <v>58</v>
      </c>
      <c r="Q116" s="150">
        <v>46126</v>
      </c>
      <c r="R116" s="125">
        <f>S116-1</f>
        <v>46127</v>
      </c>
      <c r="S116" s="126">
        <v>46128</v>
      </c>
      <c r="T116" s="127" t="s">
        <v>59</v>
      </c>
      <c r="U116" s="128"/>
      <c r="V116" s="129">
        <f t="shared" si="2"/>
        <v>0</v>
      </c>
      <c r="W116" s="130">
        <v>0</v>
      </c>
      <c r="X116" s="130">
        <v>0</v>
      </c>
      <c r="Y116" s="130">
        <v>407</v>
      </c>
      <c r="Z116" s="108" t="b">
        <v>0</v>
      </c>
      <c r="AA116" s="108"/>
      <c r="AB116" s="108"/>
      <c r="AC116" s="108"/>
      <c r="AD116" s="108"/>
      <c r="AE116" s="131" t="e">
        <f>SUMIF('[2]TONG XUAT BUN 2026'!$B:$F,A116,'[2]TONG XUAT BUN 2026'!$F:$F)</f>
        <v>#VALUE!</v>
      </c>
      <c r="AF116" s="111" t="s">
        <v>338</v>
      </c>
    </row>
    <row r="117" spans="1:32" s="111" customFormat="1" ht="60" x14ac:dyDescent="0.3">
      <c r="A117" s="164" t="s">
        <v>357</v>
      </c>
      <c r="B117" s="164" t="s">
        <v>358</v>
      </c>
      <c r="C117" s="172" t="s">
        <v>49</v>
      </c>
      <c r="D117" s="148" t="s">
        <v>341</v>
      </c>
      <c r="E117" s="116" t="s">
        <v>348</v>
      </c>
      <c r="F117" s="156" t="s">
        <v>349</v>
      </c>
      <c r="G117" s="156" t="s">
        <v>350</v>
      </c>
      <c r="H117" s="149">
        <v>1000</v>
      </c>
      <c r="I117" s="120">
        <v>36</v>
      </c>
      <c r="J117" s="121">
        <v>36</v>
      </c>
      <c r="K117" s="156" t="s">
        <v>345</v>
      </c>
      <c r="L117" s="115" t="s">
        <v>76</v>
      </c>
      <c r="M117" s="156" t="s">
        <v>94</v>
      </c>
      <c r="N117" s="166"/>
      <c r="O117" s="123"/>
      <c r="P117" s="123" t="s">
        <v>58</v>
      </c>
      <c r="Q117" s="124">
        <v>46130</v>
      </c>
      <c r="R117" s="125">
        <f>S117-1</f>
        <v>46132</v>
      </c>
      <c r="S117" s="126">
        <v>46133</v>
      </c>
      <c r="T117" s="127" t="s">
        <v>59</v>
      </c>
      <c r="U117" s="128"/>
      <c r="V117" s="129">
        <f t="shared" si="2"/>
        <v>0</v>
      </c>
      <c r="W117" s="130">
        <v>0</v>
      </c>
      <c r="X117" s="130">
        <v>0</v>
      </c>
      <c r="Y117" s="130">
        <v>1000</v>
      </c>
      <c r="Z117" s="108" t="b">
        <v>1</v>
      </c>
      <c r="AA117" s="108"/>
      <c r="AB117" s="108"/>
      <c r="AC117" s="108"/>
      <c r="AD117" s="108"/>
      <c r="AE117" s="131" t="e">
        <f>SUMIF('[2]TONG XUAT BUN 2026'!$B:$F,A117,'[2]TONG XUAT BUN 2026'!$F:$F)</f>
        <v>#VALUE!</v>
      </c>
      <c r="AF117" s="111" t="s">
        <v>338</v>
      </c>
    </row>
    <row r="118" spans="1:32" s="111" customFormat="1" ht="60" x14ac:dyDescent="0.3">
      <c r="A118" s="132"/>
      <c r="B118" s="132"/>
      <c r="C118" s="160"/>
      <c r="D118" s="134"/>
      <c r="E118" s="135"/>
      <c r="F118" s="158"/>
      <c r="G118" s="158"/>
      <c r="H118" s="153"/>
      <c r="I118" s="138"/>
      <c r="J118" s="139"/>
      <c r="K118" s="158"/>
      <c r="L118" s="136"/>
      <c r="M118" s="158"/>
      <c r="N118" s="141"/>
      <c r="O118" s="143"/>
      <c r="Q118" s="144"/>
      <c r="R118" s="145"/>
      <c r="S118" s="146"/>
      <c r="T118" s="147"/>
      <c r="U118" s="128"/>
      <c r="V118" s="129">
        <f t="shared" si="2"/>
        <v>0</v>
      </c>
      <c r="W118" s="130"/>
      <c r="X118" s="130"/>
      <c r="Y118" s="130"/>
      <c r="Z118" s="108"/>
      <c r="AA118" s="108"/>
      <c r="AB118" s="108"/>
      <c r="AC118" s="108"/>
      <c r="AD118" s="108"/>
      <c r="AE118" s="108"/>
      <c r="AF118" s="111" t="s">
        <v>338</v>
      </c>
    </row>
    <row r="119" spans="1:32" s="111" customFormat="1" ht="60" x14ac:dyDescent="0.3">
      <c r="A119" s="269" t="s">
        <v>359</v>
      </c>
      <c r="B119" s="164" t="s">
        <v>360</v>
      </c>
      <c r="C119" s="172" t="s">
        <v>49</v>
      </c>
      <c r="D119" s="115" t="s">
        <v>140</v>
      </c>
      <c r="E119" s="116" t="s">
        <v>311</v>
      </c>
      <c r="F119" s="156" t="s">
        <v>321</v>
      </c>
      <c r="G119" s="156" t="s">
        <v>322</v>
      </c>
      <c r="H119" s="168">
        <v>2000</v>
      </c>
      <c r="I119" s="120">
        <v>58</v>
      </c>
      <c r="J119" s="121">
        <v>58</v>
      </c>
      <c r="K119" s="156" t="s">
        <v>144</v>
      </c>
      <c r="L119" s="115" t="s">
        <v>76</v>
      </c>
      <c r="M119" s="156" t="s">
        <v>145</v>
      </c>
      <c r="N119" s="166">
        <f>58-16</f>
        <v>42</v>
      </c>
      <c r="O119" s="93" t="s">
        <v>361</v>
      </c>
      <c r="P119" s="123" t="s">
        <v>58</v>
      </c>
      <c r="Q119" s="124">
        <v>46126</v>
      </c>
      <c r="R119" s="125">
        <f>S119-1</f>
        <v>46128</v>
      </c>
      <c r="S119" s="126">
        <v>46129</v>
      </c>
      <c r="T119" s="127" t="s">
        <v>59</v>
      </c>
      <c r="U119" s="128">
        <f>38+4</f>
        <v>42</v>
      </c>
      <c r="V119" s="129">
        <f t="shared" si="2"/>
        <v>0</v>
      </c>
      <c r="W119" s="130">
        <v>0</v>
      </c>
      <c r="X119" s="130">
        <v>0</v>
      </c>
      <c r="Y119" s="130">
        <v>2000</v>
      </c>
      <c r="Z119" s="108" t="b">
        <v>0</v>
      </c>
      <c r="AA119" s="108"/>
      <c r="AB119" s="108"/>
      <c r="AC119" s="108"/>
      <c r="AD119" s="108"/>
      <c r="AE119" s="131" t="e">
        <f>SUMIF('[2]TONG XUAT BUN 2026'!$B:$F,A119,'[2]TONG XUAT BUN 2026'!$F:$F)</f>
        <v>#VALUE!</v>
      </c>
      <c r="AF119" s="111" t="s">
        <v>338</v>
      </c>
    </row>
    <row r="120" spans="1:32" s="111" customFormat="1" ht="60" x14ac:dyDescent="0.3">
      <c r="A120" s="132"/>
      <c r="B120" s="132"/>
      <c r="C120" s="160"/>
      <c r="D120" s="140"/>
      <c r="E120" s="135"/>
      <c r="F120" s="134"/>
      <c r="G120" s="270"/>
      <c r="H120" s="169"/>
      <c r="I120" s="138"/>
      <c r="J120" s="139"/>
      <c r="K120" s="140"/>
      <c r="L120" s="140"/>
      <c r="M120" s="140"/>
      <c r="N120" s="141"/>
      <c r="O120" s="143"/>
      <c r="P120" s="143"/>
      <c r="Q120" s="144"/>
      <c r="R120" s="145"/>
      <c r="S120" s="146"/>
      <c r="T120" s="147"/>
      <c r="U120" s="128"/>
      <c r="V120" s="129">
        <f t="shared" si="2"/>
        <v>0</v>
      </c>
      <c r="W120" s="130"/>
      <c r="X120" s="130"/>
      <c r="Y120" s="130"/>
      <c r="Z120" s="108"/>
      <c r="AA120" s="108"/>
      <c r="AB120" s="108"/>
      <c r="AC120" s="108"/>
      <c r="AD120" s="108"/>
      <c r="AE120" s="108"/>
      <c r="AF120" s="111" t="s">
        <v>338</v>
      </c>
    </row>
    <row r="121" spans="1:32" s="111" customFormat="1" ht="79.2" x14ac:dyDescent="0.3">
      <c r="A121" s="113" t="s">
        <v>362</v>
      </c>
      <c r="B121" s="164" t="s">
        <v>363</v>
      </c>
      <c r="C121" s="172" t="s">
        <v>49</v>
      </c>
      <c r="D121" s="148" t="s">
        <v>364</v>
      </c>
      <c r="E121" s="116" t="s">
        <v>365</v>
      </c>
      <c r="F121" s="156" t="s">
        <v>366</v>
      </c>
      <c r="G121" s="156" t="s">
        <v>367</v>
      </c>
      <c r="H121" s="123">
        <v>3500</v>
      </c>
      <c r="I121" s="120">
        <v>100</v>
      </c>
      <c r="J121" s="121">
        <v>100</v>
      </c>
      <c r="K121" s="156" t="s">
        <v>368</v>
      </c>
      <c r="L121" s="271" t="s">
        <v>76</v>
      </c>
      <c r="M121" s="156" t="s">
        <v>94</v>
      </c>
      <c r="N121" s="166">
        <v>200</v>
      </c>
      <c r="O121" s="123"/>
      <c r="P121" s="123" t="s">
        <v>58</v>
      </c>
      <c r="Q121" s="124">
        <v>46126</v>
      </c>
      <c r="R121" s="125">
        <f>S121-1</f>
        <v>46128</v>
      </c>
      <c r="S121" s="126">
        <v>46129</v>
      </c>
      <c r="T121" s="127" t="s">
        <v>59</v>
      </c>
      <c r="U121" s="128">
        <f>27+83+90</f>
        <v>200</v>
      </c>
      <c r="V121" s="129">
        <f t="shared" si="2"/>
        <v>0</v>
      </c>
      <c r="W121" s="130">
        <v>0</v>
      </c>
      <c r="X121" s="130">
        <v>0</v>
      </c>
      <c r="Y121" s="130">
        <v>3500</v>
      </c>
      <c r="Z121" s="108" t="b">
        <v>0</v>
      </c>
      <c r="AA121" s="108"/>
      <c r="AB121" s="108"/>
      <c r="AC121" s="108"/>
      <c r="AD121" s="108"/>
      <c r="AE121" s="131" t="e">
        <f>SUMIF('[2]TONG XUAT BUN 2026'!$B:$F,A121,'[2]TONG XUAT BUN 2026'!$F:$F)</f>
        <v>#VALUE!</v>
      </c>
      <c r="AF121" s="111" t="s">
        <v>338</v>
      </c>
    </row>
    <row r="122" spans="1:32" s="111" customFormat="1" ht="79.2" x14ac:dyDescent="0.3">
      <c r="A122" s="113" t="s">
        <v>369</v>
      </c>
      <c r="B122" s="164" t="s">
        <v>370</v>
      </c>
      <c r="C122" s="163" t="s">
        <v>371</v>
      </c>
      <c r="D122" s="148" t="s">
        <v>364</v>
      </c>
      <c r="E122" s="116" t="s">
        <v>365</v>
      </c>
      <c r="F122" s="156" t="s">
        <v>366</v>
      </c>
      <c r="G122" s="156" t="s">
        <v>367</v>
      </c>
      <c r="H122" s="123">
        <v>3500</v>
      </c>
      <c r="I122" s="120">
        <v>100</v>
      </c>
      <c r="J122" s="121">
        <v>100</v>
      </c>
      <c r="K122" s="156" t="s">
        <v>368</v>
      </c>
      <c r="L122" s="271" t="s">
        <v>76</v>
      </c>
      <c r="M122" s="156" t="s">
        <v>94</v>
      </c>
      <c r="N122" s="166"/>
      <c r="O122" s="123"/>
      <c r="P122" s="123" t="s">
        <v>58</v>
      </c>
      <c r="Q122" s="124">
        <v>46130</v>
      </c>
      <c r="R122" s="125">
        <f>S122-1</f>
        <v>46132</v>
      </c>
      <c r="S122" s="126">
        <v>46133</v>
      </c>
      <c r="T122" s="127" t="s">
        <v>59</v>
      </c>
      <c r="U122" s="128"/>
      <c r="V122" s="129">
        <f t="shared" si="2"/>
        <v>0</v>
      </c>
      <c r="W122" s="130">
        <v>0</v>
      </c>
      <c r="X122" s="130">
        <v>0</v>
      </c>
      <c r="Y122" s="130">
        <v>3500</v>
      </c>
      <c r="Z122" s="108" t="b">
        <v>0</v>
      </c>
      <c r="AA122" s="108"/>
      <c r="AB122" s="108"/>
      <c r="AC122" s="108"/>
      <c r="AD122" s="108"/>
      <c r="AE122" s="131" t="e">
        <f>SUMIF('[2]TONG XUAT BUN 2026'!$B:$F,A122,'[2]TONG XUAT BUN 2026'!$F:$F)</f>
        <v>#VALUE!</v>
      </c>
      <c r="AF122" s="111" t="s">
        <v>338</v>
      </c>
    </row>
    <row r="123" spans="1:32" s="111" customFormat="1" ht="60" x14ac:dyDescent="0.3">
      <c r="A123" s="152"/>
      <c r="B123" s="132"/>
      <c r="C123" s="160"/>
      <c r="D123" s="134"/>
      <c r="E123" s="135"/>
      <c r="F123" s="158"/>
      <c r="G123" s="158"/>
      <c r="H123" s="143"/>
      <c r="I123" s="138"/>
      <c r="J123" s="139"/>
      <c r="K123" s="158"/>
      <c r="L123" s="272"/>
      <c r="M123" s="158"/>
      <c r="N123" s="141"/>
      <c r="O123" s="143"/>
      <c r="P123" s="143"/>
      <c r="Q123" s="144"/>
      <c r="R123" s="145"/>
      <c r="S123" s="146"/>
      <c r="T123" s="147"/>
      <c r="U123" s="128"/>
      <c r="V123" s="129">
        <f t="shared" si="2"/>
        <v>0</v>
      </c>
      <c r="W123" s="130"/>
      <c r="X123" s="130"/>
      <c r="Y123" s="130"/>
      <c r="Z123" s="108"/>
      <c r="AA123" s="108"/>
      <c r="AB123" s="108"/>
      <c r="AC123" s="108"/>
      <c r="AD123" s="108"/>
      <c r="AE123" s="108"/>
      <c r="AF123" s="111" t="s">
        <v>338</v>
      </c>
    </row>
    <row r="124" spans="1:32" s="111" customFormat="1" ht="60" x14ac:dyDescent="0.3">
      <c r="A124" s="164" t="s">
        <v>372</v>
      </c>
      <c r="B124" s="164" t="s">
        <v>373</v>
      </c>
      <c r="C124" s="172" t="s">
        <v>102</v>
      </c>
      <c r="D124" s="115" t="s">
        <v>133</v>
      </c>
      <c r="E124" s="116" t="s">
        <v>374</v>
      </c>
      <c r="F124" s="156" t="s">
        <v>375</v>
      </c>
      <c r="G124" s="156" t="s">
        <v>376</v>
      </c>
      <c r="H124" s="149">
        <v>1000</v>
      </c>
      <c r="I124" s="120">
        <v>22</v>
      </c>
      <c r="J124" s="121">
        <v>22</v>
      </c>
      <c r="K124" s="157" t="s">
        <v>137</v>
      </c>
      <c r="L124" s="157" t="s">
        <v>76</v>
      </c>
      <c r="M124" s="157" t="s">
        <v>94</v>
      </c>
      <c r="N124" s="166">
        <v>122</v>
      </c>
      <c r="O124" s="123"/>
      <c r="P124" s="123" t="s">
        <v>58</v>
      </c>
      <c r="Q124" s="124">
        <v>46127</v>
      </c>
      <c r="R124" s="125">
        <f>S124-1</f>
        <v>46129</v>
      </c>
      <c r="S124" s="126">
        <v>46130</v>
      </c>
      <c r="T124" s="127" t="s">
        <v>59</v>
      </c>
      <c r="U124" s="128">
        <f>60+67</f>
        <v>127</v>
      </c>
      <c r="V124" s="129">
        <f t="shared" si="2"/>
        <v>5</v>
      </c>
      <c r="W124" s="130">
        <v>0</v>
      </c>
      <c r="X124" s="130">
        <v>0</v>
      </c>
      <c r="Y124" s="130">
        <v>1000</v>
      </c>
      <c r="Z124" s="108" t="b">
        <v>0</v>
      </c>
      <c r="AA124" s="108"/>
      <c r="AB124" s="108"/>
      <c r="AC124" s="108"/>
      <c r="AD124" s="108"/>
      <c r="AE124" s="131" t="e">
        <f>SUMIF('[2]TONG XUAT BUN 2026'!$B:$F,A124,'[2]TONG XUAT BUN 2026'!$F:$F)</f>
        <v>#VALUE!</v>
      </c>
      <c r="AF124" s="111" t="s">
        <v>338</v>
      </c>
    </row>
    <row r="125" spans="1:32" s="111" customFormat="1" ht="60" x14ac:dyDescent="0.3">
      <c r="A125" s="113" t="s">
        <v>377</v>
      </c>
      <c r="B125" s="164" t="s">
        <v>378</v>
      </c>
      <c r="C125" s="172" t="s">
        <v>102</v>
      </c>
      <c r="D125" s="117" t="s">
        <v>379</v>
      </c>
      <c r="E125" s="116" t="s">
        <v>374</v>
      </c>
      <c r="F125" s="156" t="s">
        <v>380</v>
      </c>
      <c r="G125" s="156" t="s">
        <v>381</v>
      </c>
      <c r="H125" s="168">
        <v>3500</v>
      </c>
      <c r="I125" s="120">
        <v>100</v>
      </c>
      <c r="J125" s="121">
        <v>100</v>
      </c>
      <c r="K125" s="157" t="s">
        <v>137</v>
      </c>
      <c r="L125" s="157" t="s">
        <v>76</v>
      </c>
      <c r="M125" s="157" t="s">
        <v>94</v>
      </c>
      <c r="N125" s="166"/>
      <c r="O125" s="117"/>
      <c r="P125" s="123" t="s">
        <v>58</v>
      </c>
      <c r="Q125" s="124">
        <v>46127</v>
      </c>
      <c r="R125" s="125">
        <f>S125-1</f>
        <v>46129</v>
      </c>
      <c r="S125" s="126">
        <v>46130</v>
      </c>
      <c r="T125" s="127" t="s">
        <v>59</v>
      </c>
      <c r="U125" s="128"/>
      <c r="V125" s="129">
        <f t="shared" si="2"/>
        <v>0</v>
      </c>
      <c r="W125" s="130">
        <v>0</v>
      </c>
      <c r="X125" s="130">
        <v>0</v>
      </c>
      <c r="Y125" s="130">
        <v>3500</v>
      </c>
      <c r="Z125" s="108" t="b">
        <v>0</v>
      </c>
      <c r="AA125" s="108"/>
      <c r="AB125" s="108"/>
      <c r="AC125" s="108"/>
      <c r="AD125" s="108"/>
      <c r="AE125" s="131" t="e">
        <f>SUMIF('[2]TONG XUAT BUN 2026'!$B:$F,A125,'[2]TONG XUAT BUN 2026'!$F:$F)</f>
        <v>#VALUE!</v>
      </c>
      <c r="AF125" s="111" t="s">
        <v>338</v>
      </c>
    </row>
    <row r="126" spans="1:32" s="111" customFormat="1" ht="60" x14ac:dyDescent="0.3">
      <c r="A126" s="152"/>
      <c r="B126" s="132"/>
      <c r="C126" s="160"/>
      <c r="D126" s="140"/>
      <c r="E126" s="135"/>
      <c r="F126" s="158"/>
      <c r="G126" s="158"/>
      <c r="H126" s="169"/>
      <c r="I126" s="138"/>
      <c r="J126" s="139"/>
      <c r="K126" s="159"/>
      <c r="L126" s="159"/>
      <c r="M126" s="159"/>
      <c r="N126" s="141"/>
      <c r="O126" s="140"/>
      <c r="P126" s="143"/>
      <c r="Q126" s="144"/>
      <c r="R126" s="145"/>
      <c r="S126" s="146"/>
      <c r="T126" s="147"/>
      <c r="U126" s="128"/>
      <c r="V126" s="129">
        <f t="shared" si="2"/>
        <v>0</v>
      </c>
      <c r="W126" s="130"/>
      <c r="X126" s="130"/>
      <c r="Y126" s="130"/>
      <c r="Z126" s="108"/>
      <c r="AA126" s="108"/>
      <c r="AB126" s="108"/>
      <c r="AC126" s="108"/>
      <c r="AD126" s="108"/>
      <c r="AE126" s="108"/>
      <c r="AF126" s="111" t="s">
        <v>338</v>
      </c>
    </row>
    <row r="127" spans="1:32" s="111" customFormat="1" ht="60" x14ac:dyDescent="0.3">
      <c r="A127" s="164" t="s">
        <v>382</v>
      </c>
      <c r="B127" s="164" t="s">
        <v>383</v>
      </c>
      <c r="C127" s="172" t="s">
        <v>102</v>
      </c>
      <c r="D127" s="115" t="s">
        <v>63</v>
      </c>
      <c r="E127" s="116" t="s">
        <v>384</v>
      </c>
      <c r="F127" s="148" t="s">
        <v>385</v>
      </c>
      <c r="G127" s="113" t="s">
        <v>386</v>
      </c>
      <c r="H127" s="149">
        <v>24</v>
      </c>
      <c r="I127" s="120">
        <v>3</v>
      </c>
      <c r="J127" s="121">
        <v>3</v>
      </c>
      <c r="K127" s="117" t="s">
        <v>387</v>
      </c>
      <c r="L127" s="117" t="s">
        <v>55</v>
      </c>
      <c r="M127" s="117" t="s">
        <v>56</v>
      </c>
      <c r="N127" s="166">
        <v>3</v>
      </c>
      <c r="O127" s="123"/>
      <c r="P127" s="123" t="s">
        <v>58</v>
      </c>
      <c r="Q127" s="124">
        <v>46130</v>
      </c>
      <c r="R127" s="125">
        <f>S127-1</f>
        <v>46132</v>
      </c>
      <c r="S127" s="126">
        <v>46133</v>
      </c>
      <c r="T127" s="127" t="s">
        <v>59</v>
      </c>
      <c r="U127" s="128">
        <v>3</v>
      </c>
      <c r="V127" s="129">
        <f t="shared" si="2"/>
        <v>0</v>
      </c>
      <c r="W127" s="130">
        <v>0</v>
      </c>
      <c r="X127" s="130">
        <v>0</v>
      </c>
      <c r="Y127" s="130">
        <v>24</v>
      </c>
      <c r="Z127" s="108" t="b">
        <v>1</v>
      </c>
      <c r="AA127" s="108"/>
      <c r="AB127" s="108"/>
      <c r="AC127" s="108"/>
      <c r="AD127" s="108"/>
      <c r="AE127" s="131" t="e">
        <f>SUMIF('[2]TONG XUAT BUN 2026'!$B:$F,A127,'[2]TONG XUAT BUN 2026'!$F:$F)</f>
        <v>#VALUE!</v>
      </c>
      <c r="AF127" s="111" t="s">
        <v>338</v>
      </c>
    </row>
    <row r="128" spans="1:32" s="111" customFormat="1" ht="60" x14ac:dyDescent="0.3">
      <c r="A128" s="132"/>
      <c r="B128" s="132"/>
      <c r="C128" s="160"/>
      <c r="D128" s="140"/>
      <c r="E128" s="135"/>
      <c r="F128" s="134"/>
      <c r="G128" s="152"/>
      <c r="H128" s="169"/>
      <c r="I128" s="138"/>
      <c r="J128" s="139"/>
      <c r="K128" s="140"/>
      <c r="L128" s="140"/>
      <c r="M128" s="140"/>
      <c r="N128" s="141"/>
      <c r="O128" s="143"/>
      <c r="P128" s="143"/>
      <c r="Q128" s="144"/>
      <c r="R128" s="145"/>
      <c r="S128" s="146"/>
      <c r="T128" s="147"/>
      <c r="U128" s="128"/>
      <c r="V128" s="129">
        <f t="shared" si="2"/>
        <v>0</v>
      </c>
      <c r="W128" s="130"/>
      <c r="X128" s="130"/>
      <c r="Y128" s="130"/>
      <c r="Z128" s="108"/>
      <c r="AA128" s="108"/>
      <c r="AB128" s="108"/>
      <c r="AC128" s="108"/>
      <c r="AD128" s="108"/>
      <c r="AE128" s="108"/>
      <c r="AF128" s="111" t="s">
        <v>338</v>
      </c>
    </row>
    <row r="129" spans="1:42" s="111" customFormat="1" ht="52.8" x14ac:dyDescent="0.3">
      <c r="A129" s="269" t="s">
        <v>388</v>
      </c>
      <c r="B129" s="164" t="s">
        <v>389</v>
      </c>
      <c r="C129" s="172" t="s">
        <v>102</v>
      </c>
      <c r="D129" s="115" t="s">
        <v>140</v>
      </c>
      <c r="E129" s="116" t="s">
        <v>311</v>
      </c>
      <c r="F129" s="156" t="s">
        <v>321</v>
      </c>
      <c r="G129" s="156" t="s">
        <v>322</v>
      </c>
      <c r="H129" s="168">
        <v>5000</v>
      </c>
      <c r="I129" s="120">
        <v>143</v>
      </c>
      <c r="J129" s="121">
        <v>143</v>
      </c>
      <c r="K129" s="156" t="s">
        <v>144</v>
      </c>
      <c r="L129" s="115" t="s">
        <v>76</v>
      </c>
      <c r="M129" s="156" t="s">
        <v>145</v>
      </c>
      <c r="N129" s="273">
        <v>566</v>
      </c>
      <c r="O129" s="123"/>
      <c r="P129" s="123" t="s">
        <v>58</v>
      </c>
      <c r="Q129" s="124">
        <v>46127</v>
      </c>
      <c r="R129" s="125">
        <f>S129-1</f>
        <v>46129</v>
      </c>
      <c r="S129" s="126">
        <v>46130</v>
      </c>
      <c r="T129" s="127" t="s">
        <v>59</v>
      </c>
      <c r="U129" s="128">
        <f>150-2-2-4+119+127+178</f>
        <v>566</v>
      </c>
      <c r="V129" s="129">
        <f t="shared" si="2"/>
        <v>0</v>
      </c>
      <c r="W129" s="130">
        <v>0</v>
      </c>
      <c r="X129" s="130">
        <v>0</v>
      </c>
      <c r="Y129" s="130">
        <v>5000</v>
      </c>
      <c r="Z129" s="108" t="b">
        <v>0</v>
      </c>
      <c r="AA129" s="108"/>
      <c r="AB129" s="108"/>
      <c r="AC129" s="108"/>
      <c r="AD129" s="108"/>
      <c r="AE129" s="131" t="e">
        <f>SUMIF('[2]TONG XUAT BUN 2026'!$B:$F,A129,'[2]TONG XUAT BUN 2026'!$F:$F)</f>
        <v>#VALUE!</v>
      </c>
      <c r="AF129" s="111" t="s">
        <v>338</v>
      </c>
    </row>
    <row r="130" spans="1:42" s="111" customFormat="1" ht="60" x14ac:dyDescent="0.3">
      <c r="A130" s="164" t="s">
        <v>390</v>
      </c>
      <c r="B130" s="164" t="s">
        <v>391</v>
      </c>
      <c r="C130" s="172" t="s">
        <v>102</v>
      </c>
      <c r="D130" s="115" t="s">
        <v>392</v>
      </c>
      <c r="E130" s="116" t="s">
        <v>311</v>
      </c>
      <c r="F130" s="186" t="s">
        <v>393</v>
      </c>
      <c r="G130" s="186" t="s">
        <v>394</v>
      </c>
      <c r="H130" s="168">
        <v>140</v>
      </c>
      <c r="I130" s="120">
        <v>3</v>
      </c>
      <c r="J130" s="121">
        <v>3</v>
      </c>
      <c r="K130" s="115"/>
      <c r="L130" s="117" t="s">
        <v>294</v>
      </c>
      <c r="M130" s="117" t="s">
        <v>145</v>
      </c>
      <c r="N130" s="166"/>
      <c r="O130" s="123"/>
      <c r="P130" s="123" t="s">
        <v>58</v>
      </c>
      <c r="Q130" s="124">
        <v>46128</v>
      </c>
      <c r="R130" s="125">
        <f>S130-1-1</f>
        <v>46130</v>
      </c>
      <c r="S130" s="126">
        <v>46132</v>
      </c>
      <c r="T130" s="127" t="s">
        <v>59</v>
      </c>
      <c r="U130" s="128"/>
      <c r="V130" s="129">
        <f t="shared" si="2"/>
        <v>0</v>
      </c>
      <c r="W130" s="130">
        <v>0</v>
      </c>
      <c r="X130" s="130">
        <v>0</v>
      </c>
      <c r="Y130" s="130">
        <v>140</v>
      </c>
      <c r="Z130" s="108" t="b">
        <v>0</v>
      </c>
      <c r="AA130" s="108"/>
      <c r="AB130" s="108"/>
      <c r="AC130" s="108"/>
      <c r="AD130" s="108"/>
      <c r="AE130" s="131" t="e">
        <f>SUMIF('[2]TONG XUAT BUN 2026'!$B:$F,A130,'[2]TONG XUAT BUN 2026'!$F:$F)</f>
        <v>#VALUE!</v>
      </c>
      <c r="AF130" s="111" t="s">
        <v>338</v>
      </c>
    </row>
    <row r="131" spans="1:42" s="111" customFormat="1" ht="60" x14ac:dyDescent="0.3">
      <c r="A131" s="113" t="s">
        <v>395</v>
      </c>
      <c r="B131" s="164" t="s">
        <v>396</v>
      </c>
      <c r="C131" s="163" t="s">
        <v>149</v>
      </c>
      <c r="D131" s="115" t="s">
        <v>140</v>
      </c>
      <c r="E131" s="116" t="s">
        <v>311</v>
      </c>
      <c r="F131" s="156" t="s">
        <v>321</v>
      </c>
      <c r="G131" s="156" t="s">
        <v>322</v>
      </c>
      <c r="H131" s="168">
        <v>7000</v>
      </c>
      <c r="I131" s="120">
        <v>200</v>
      </c>
      <c r="J131" s="121">
        <v>200</v>
      </c>
      <c r="K131" s="156" t="s">
        <v>144</v>
      </c>
      <c r="L131" s="115" t="s">
        <v>76</v>
      </c>
      <c r="M131" s="156" t="s">
        <v>145</v>
      </c>
      <c r="N131" s="166"/>
      <c r="O131" s="123"/>
      <c r="P131" s="123" t="s">
        <v>58</v>
      </c>
      <c r="Q131" s="124">
        <v>46128</v>
      </c>
      <c r="R131" s="125">
        <f>S131-1-1</f>
        <v>46130</v>
      </c>
      <c r="S131" s="126">
        <v>46132</v>
      </c>
      <c r="T131" s="127" t="s">
        <v>59</v>
      </c>
      <c r="U131" s="128"/>
      <c r="V131" s="129">
        <f t="shared" si="2"/>
        <v>0</v>
      </c>
      <c r="W131" s="130">
        <v>0</v>
      </c>
      <c r="X131" s="130">
        <v>0</v>
      </c>
      <c r="Y131" s="130">
        <v>7000</v>
      </c>
      <c r="Z131" s="108" t="b">
        <v>0</v>
      </c>
      <c r="AA131" s="108"/>
      <c r="AB131" s="108"/>
      <c r="AC131" s="108"/>
      <c r="AD131" s="108"/>
      <c r="AE131" s="131" t="e">
        <f>SUMIF('[2]TONG XUAT BUN 2026'!$B:$F,A131,'[2]TONG XUAT BUN 2026'!$F:$F)</f>
        <v>#VALUE!</v>
      </c>
      <c r="AF131" s="111" t="s">
        <v>338</v>
      </c>
    </row>
    <row r="132" spans="1:42" s="111" customFormat="1" ht="60" x14ac:dyDescent="0.3">
      <c r="A132" s="164" t="s">
        <v>397</v>
      </c>
      <c r="B132" s="113" t="s">
        <v>398</v>
      </c>
      <c r="C132" s="172" t="s">
        <v>155</v>
      </c>
      <c r="D132" s="148" t="s">
        <v>325</v>
      </c>
      <c r="E132" s="116" t="s">
        <v>311</v>
      </c>
      <c r="F132" s="156" t="s">
        <v>399</v>
      </c>
      <c r="G132" s="156" t="s">
        <v>400</v>
      </c>
      <c r="H132" s="149">
        <v>41</v>
      </c>
      <c r="I132" s="120">
        <v>2</v>
      </c>
      <c r="J132" s="121">
        <v>2</v>
      </c>
      <c r="K132" s="156" t="s">
        <v>401</v>
      </c>
      <c r="L132" s="115" t="s">
        <v>76</v>
      </c>
      <c r="M132" s="156" t="s">
        <v>56</v>
      </c>
      <c r="N132" s="122"/>
      <c r="O132" s="123"/>
      <c r="P132" s="123" t="s">
        <v>58</v>
      </c>
      <c r="Q132" s="124">
        <v>46130</v>
      </c>
      <c r="R132" s="185">
        <f>S132-1</f>
        <v>46133</v>
      </c>
      <c r="S132" s="126">
        <v>46134</v>
      </c>
      <c r="T132" s="127" t="s">
        <v>211</v>
      </c>
      <c r="U132" s="128"/>
      <c r="V132" s="129">
        <f t="shared" si="2"/>
        <v>0</v>
      </c>
      <c r="W132" s="130">
        <v>0</v>
      </c>
      <c r="X132" s="130">
        <v>0</v>
      </c>
      <c r="Y132" s="130">
        <v>41</v>
      </c>
      <c r="Z132" s="108" t="b">
        <v>0</v>
      </c>
      <c r="AA132" s="108" t="s">
        <v>212</v>
      </c>
      <c r="AB132" s="108"/>
      <c r="AC132" s="108"/>
      <c r="AD132" s="108"/>
      <c r="AE132" s="131" t="e">
        <f>SUMIF('[2]TONG XUAT BUN 2026'!$B:$F,A132,'[2]TONG XUAT BUN 2026'!$F:$F)</f>
        <v>#VALUE!</v>
      </c>
      <c r="AF132" s="111" t="s">
        <v>338</v>
      </c>
    </row>
    <row r="133" spans="1:42" s="111" customFormat="1" ht="60" x14ac:dyDescent="0.3">
      <c r="A133" s="113" t="s">
        <v>402</v>
      </c>
      <c r="B133" s="113" t="s">
        <v>403</v>
      </c>
      <c r="C133" s="172" t="s">
        <v>155</v>
      </c>
      <c r="D133" s="115" t="s">
        <v>140</v>
      </c>
      <c r="E133" s="116" t="s">
        <v>311</v>
      </c>
      <c r="F133" s="156" t="s">
        <v>399</v>
      </c>
      <c r="G133" s="156" t="s">
        <v>400</v>
      </c>
      <c r="H133" s="168">
        <v>300</v>
      </c>
      <c r="I133" s="120">
        <v>10</v>
      </c>
      <c r="J133" s="121">
        <v>10</v>
      </c>
      <c r="K133" s="156" t="s">
        <v>401</v>
      </c>
      <c r="L133" s="115" t="s">
        <v>76</v>
      </c>
      <c r="M133" s="156" t="s">
        <v>56</v>
      </c>
      <c r="N133" s="122"/>
      <c r="O133" s="123"/>
      <c r="P133" s="123" t="s">
        <v>58</v>
      </c>
      <c r="Q133" s="124">
        <v>46130</v>
      </c>
      <c r="R133" s="185">
        <f>S133-1</f>
        <v>46133</v>
      </c>
      <c r="S133" s="126">
        <v>46134</v>
      </c>
      <c r="T133" s="127" t="s">
        <v>211</v>
      </c>
      <c r="U133" s="128"/>
      <c r="V133" s="129">
        <f t="shared" si="2"/>
        <v>0</v>
      </c>
      <c r="W133" s="130">
        <v>0</v>
      </c>
      <c r="X133" s="130">
        <v>0</v>
      </c>
      <c r="Y133" s="130">
        <v>300</v>
      </c>
      <c r="Z133" s="108" t="b">
        <v>0</v>
      </c>
      <c r="AA133" s="108" t="s">
        <v>212</v>
      </c>
      <c r="AB133" s="108"/>
      <c r="AC133" s="108"/>
      <c r="AD133" s="108"/>
      <c r="AE133" s="131" t="e">
        <f>SUMIF('[2]TONG XUAT BUN 2026'!$B:$F,A133,'[2]TONG XUAT BUN 2026'!$F:$F)</f>
        <v>#VALUE!</v>
      </c>
      <c r="AF133" s="111" t="s">
        <v>338</v>
      </c>
    </row>
    <row r="134" spans="1:42" s="111" customFormat="1" ht="60" x14ac:dyDescent="0.3">
      <c r="A134" s="164" t="s">
        <v>404</v>
      </c>
      <c r="B134" s="164" t="s">
        <v>405</v>
      </c>
      <c r="C134" s="172" t="s">
        <v>155</v>
      </c>
      <c r="D134" s="117" t="s">
        <v>175</v>
      </c>
      <c r="E134" s="116" t="s">
        <v>311</v>
      </c>
      <c r="F134" s="148" t="s">
        <v>406</v>
      </c>
      <c r="G134" s="274" t="s">
        <v>407</v>
      </c>
      <c r="H134" s="168">
        <v>200</v>
      </c>
      <c r="I134" s="120">
        <v>8</v>
      </c>
      <c r="J134" s="121">
        <v>8</v>
      </c>
      <c r="K134" s="117" t="s">
        <v>266</v>
      </c>
      <c r="L134" s="117" t="s">
        <v>55</v>
      </c>
      <c r="M134" s="117" t="s">
        <v>56</v>
      </c>
      <c r="N134" s="166"/>
      <c r="O134" s="123"/>
      <c r="P134" s="123" t="s">
        <v>58</v>
      </c>
      <c r="Q134" s="124">
        <v>46134</v>
      </c>
      <c r="R134" s="125">
        <f>S134-1</f>
        <v>46136</v>
      </c>
      <c r="S134" s="126">
        <v>46137</v>
      </c>
      <c r="T134" s="127" t="s">
        <v>59</v>
      </c>
      <c r="U134" s="128"/>
      <c r="V134" s="129">
        <f t="shared" si="2"/>
        <v>0</v>
      </c>
      <c r="W134" s="130">
        <v>0</v>
      </c>
      <c r="X134" s="130">
        <v>0</v>
      </c>
      <c r="Y134" s="130">
        <v>200</v>
      </c>
      <c r="Z134" s="108" t="b">
        <v>1</v>
      </c>
      <c r="AA134" s="108"/>
      <c r="AB134" s="108"/>
      <c r="AC134" s="108"/>
      <c r="AD134" s="108"/>
      <c r="AE134" s="131" t="e">
        <f>SUMIF('[2]TONG XUAT BUN 2026'!$B:$F,A134,'[2]TONG XUAT BUN 2026'!$F:$F)</f>
        <v>#VALUE!</v>
      </c>
      <c r="AF134" s="111" t="s">
        <v>338</v>
      </c>
    </row>
    <row r="135" spans="1:42" s="111" customFormat="1" ht="60" x14ac:dyDescent="0.3">
      <c r="A135" s="113" t="s">
        <v>408</v>
      </c>
      <c r="B135" s="113" t="s">
        <v>409</v>
      </c>
      <c r="C135" s="163" t="s">
        <v>161</v>
      </c>
      <c r="D135" s="115" t="s">
        <v>140</v>
      </c>
      <c r="E135" s="116" t="s">
        <v>311</v>
      </c>
      <c r="F135" s="156" t="s">
        <v>321</v>
      </c>
      <c r="G135" s="156" t="s">
        <v>322</v>
      </c>
      <c r="H135" s="168">
        <v>7000</v>
      </c>
      <c r="I135" s="120">
        <v>200</v>
      </c>
      <c r="J135" s="121">
        <v>200</v>
      </c>
      <c r="K135" s="156" t="s">
        <v>144</v>
      </c>
      <c r="L135" s="115" t="s">
        <v>76</v>
      </c>
      <c r="M135" s="156" t="s">
        <v>145</v>
      </c>
      <c r="N135" s="122"/>
      <c r="O135" s="123"/>
      <c r="P135" s="123" t="s">
        <v>58</v>
      </c>
      <c r="Q135" s="124">
        <v>46130</v>
      </c>
      <c r="R135" s="185">
        <f>S135-1</f>
        <v>46133</v>
      </c>
      <c r="S135" s="126">
        <v>46134</v>
      </c>
      <c r="T135" s="127" t="s">
        <v>211</v>
      </c>
      <c r="U135" s="128"/>
      <c r="V135" s="129">
        <f t="shared" si="2"/>
        <v>0</v>
      </c>
      <c r="W135" s="130">
        <v>0</v>
      </c>
      <c r="X135" s="130">
        <v>0</v>
      </c>
      <c r="Y135" s="130">
        <v>7000</v>
      </c>
      <c r="Z135" s="108" t="b">
        <v>0</v>
      </c>
      <c r="AA135" s="108" t="s">
        <v>212</v>
      </c>
      <c r="AB135" s="108"/>
      <c r="AC135" s="108"/>
      <c r="AD135" s="108"/>
      <c r="AE135" s="131" t="e">
        <f>SUMIF('[2]TONG XUAT BUN 2026'!$B:$F,A135,'[2]TONG XUAT BUN 2026'!$F:$F)</f>
        <v>#VALUE!</v>
      </c>
      <c r="AF135" s="111" t="s">
        <v>338</v>
      </c>
    </row>
    <row r="136" spans="1:42" s="111" customFormat="1" ht="60" x14ac:dyDescent="0.3">
      <c r="A136" s="132"/>
      <c r="B136" s="132"/>
      <c r="C136" s="160"/>
      <c r="D136" s="140"/>
      <c r="E136" s="135"/>
      <c r="F136" s="134"/>
      <c r="G136" s="270"/>
      <c r="H136" s="169"/>
      <c r="I136" s="138"/>
      <c r="J136" s="139"/>
      <c r="K136" s="140"/>
      <c r="L136" s="140"/>
      <c r="M136" s="140"/>
      <c r="N136" s="141"/>
      <c r="O136" s="143"/>
      <c r="P136" s="143"/>
      <c r="Q136" s="144"/>
      <c r="R136" s="145"/>
      <c r="S136" s="146"/>
      <c r="T136" s="147"/>
      <c r="U136" s="128"/>
      <c r="V136" s="129">
        <f t="shared" si="2"/>
        <v>0</v>
      </c>
      <c r="W136" s="130"/>
      <c r="X136" s="130"/>
      <c r="Y136" s="130"/>
      <c r="Z136" s="108"/>
      <c r="AA136" s="108"/>
      <c r="AB136" s="108"/>
      <c r="AC136" s="108"/>
      <c r="AD136" s="108"/>
      <c r="AE136" s="108"/>
      <c r="AF136" s="111" t="s">
        <v>338</v>
      </c>
    </row>
    <row r="137" spans="1:42" s="111" customFormat="1" ht="79.2" x14ac:dyDescent="0.3">
      <c r="A137" s="173" t="s">
        <v>410</v>
      </c>
      <c r="B137" s="164" t="s">
        <v>411</v>
      </c>
      <c r="C137" s="172" t="s">
        <v>167</v>
      </c>
      <c r="D137" s="117" t="s">
        <v>175</v>
      </c>
      <c r="E137" s="116" t="s">
        <v>412</v>
      </c>
      <c r="F137" s="148" t="s">
        <v>413</v>
      </c>
      <c r="G137" s="113" t="s">
        <v>414</v>
      </c>
      <c r="H137" s="168">
        <v>105</v>
      </c>
      <c r="I137" s="120">
        <v>3</v>
      </c>
      <c r="J137" s="121">
        <v>3</v>
      </c>
      <c r="K137" s="117" t="s">
        <v>368</v>
      </c>
      <c r="L137" s="117" t="s">
        <v>55</v>
      </c>
      <c r="M137" s="117" t="s">
        <v>94</v>
      </c>
      <c r="N137" s="166">
        <v>0</v>
      </c>
      <c r="O137" s="174" t="s">
        <v>176</v>
      </c>
      <c r="P137" s="123" t="s">
        <v>58</v>
      </c>
      <c r="Q137" s="150">
        <v>46129</v>
      </c>
      <c r="R137" s="125">
        <f>S137-1</f>
        <v>46131</v>
      </c>
      <c r="S137" s="126">
        <v>46132</v>
      </c>
      <c r="T137" s="127" t="s">
        <v>59</v>
      </c>
      <c r="U137" s="128"/>
      <c r="V137" s="129">
        <f t="shared" si="2"/>
        <v>0</v>
      </c>
      <c r="W137" s="130">
        <v>0</v>
      </c>
      <c r="X137" s="130">
        <v>0</v>
      </c>
      <c r="Y137" s="130">
        <v>105</v>
      </c>
      <c r="Z137" s="108" t="b">
        <v>1</v>
      </c>
      <c r="AA137" s="108"/>
      <c r="AB137" s="108"/>
      <c r="AC137" s="108"/>
      <c r="AD137" s="108"/>
      <c r="AE137" s="131" t="e">
        <f>SUMIF('[2]TONG XUAT BUN 2026'!$B:$F,A137,'[2]TONG XUAT BUN 2026'!$F:$F)</f>
        <v>#VALUE!</v>
      </c>
      <c r="AF137" s="111" t="s">
        <v>338</v>
      </c>
    </row>
    <row r="138" spans="1:42" s="111" customFormat="1" x14ac:dyDescent="0.3">
      <c r="A138" s="132"/>
      <c r="B138" s="132"/>
      <c r="C138" s="160"/>
      <c r="D138" s="140"/>
      <c r="E138" s="135"/>
      <c r="F138" s="134"/>
      <c r="G138" s="152"/>
      <c r="H138" s="169"/>
      <c r="I138" s="138"/>
      <c r="J138" s="139"/>
      <c r="K138" s="140"/>
      <c r="L138" s="140"/>
      <c r="M138" s="140"/>
      <c r="N138" s="93" t="s">
        <v>415</v>
      </c>
      <c r="O138" s="143"/>
      <c r="P138" s="143"/>
      <c r="Q138" s="144"/>
      <c r="R138" s="145"/>
      <c r="S138" s="146"/>
      <c r="T138" s="147"/>
      <c r="U138" s="128"/>
      <c r="V138" s="129" t="e">
        <f t="shared" si="2"/>
        <v>#VALUE!</v>
      </c>
      <c r="W138" s="130"/>
      <c r="X138" s="130"/>
      <c r="Y138" s="130"/>
      <c r="Z138" s="108"/>
      <c r="AA138" s="108"/>
      <c r="AB138" s="108"/>
      <c r="AC138" s="108"/>
      <c r="AD138" s="108"/>
      <c r="AE138" s="108"/>
      <c r="AF138" s="111" t="s">
        <v>338</v>
      </c>
    </row>
    <row r="139" spans="1:42" s="111" customFormat="1" ht="60" x14ac:dyDescent="0.3">
      <c r="A139" s="164" t="s">
        <v>416</v>
      </c>
      <c r="B139" s="164" t="s">
        <v>417</v>
      </c>
      <c r="C139" s="172" t="s">
        <v>263</v>
      </c>
      <c r="D139" s="115" t="s">
        <v>71</v>
      </c>
      <c r="E139" s="116" t="s">
        <v>91</v>
      </c>
      <c r="F139" s="156" t="s">
        <v>98</v>
      </c>
      <c r="G139" s="156" t="s">
        <v>99</v>
      </c>
      <c r="H139" s="123">
        <v>2500</v>
      </c>
      <c r="I139" s="120">
        <v>218</v>
      </c>
      <c r="J139" s="121">
        <v>218</v>
      </c>
      <c r="K139" s="157" t="s">
        <v>75</v>
      </c>
      <c r="L139" s="157" t="s">
        <v>76</v>
      </c>
      <c r="M139" s="157" t="s">
        <v>56</v>
      </c>
      <c r="N139" s="166">
        <v>310</v>
      </c>
      <c r="O139" s="123"/>
      <c r="P139" s="123" t="s">
        <v>58</v>
      </c>
      <c r="Q139" s="124">
        <v>46130</v>
      </c>
      <c r="R139" s="125">
        <f>S139-1</f>
        <v>46132</v>
      </c>
      <c r="S139" s="126">
        <v>46133</v>
      </c>
      <c r="T139" s="127" t="s">
        <v>59</v>
      </c>
      <c r="U139" s="128">
        <f>76-71+34+127+144</f>
        <v>310</v>
      </c>
      <c r="V139" s="129">
        <f t="shared" si="2"/>
        <v>0</v>
      </c>
      <c r="W139" s="130">
        <v>0</v>
      </c>
      <c r="X139" s="130">
        <v>0</v>
      </c>
      <c r="Y139" s="130">
        <v>2500</v>
      </c>
      <c r="Z139" s="108" t="b">
        <v>0</v>
      </c>
      <c r="AA139" s="108"/>
      <c r="AB139" s="108"/>
      <c r="AC139" s="108"/>
      <c r="AD139" s="108"/>
      <c r="AE139" s="131" t="e">
        <f>SUMIF('[2]TONG XUAT BUN 2026'!$B:$F,A139,'[2]TONG XUAT BUN 2026'!$F:$F)</f>
        <v>#VALUE!</v>
      </c>
      <c r="AF139" s="111" t="s">
        <v>338</v>
      </c>
    </row>
    <row r="140" spans="1:42" s="111" customFormat="1" ht="60" x14ac:dyDescent="0.3">
      <c r="A140" s="275" t="s">
        <v>418</v>
      </c>
      <c r="B140" s="164" t="s">
        <v>419</v>
      </c>
      <c r="C140" s="254" t="s">
        <v>270</v>
      </c>
      <c r="D140" s="117" t="s">
        <v>175</v>
      </c>
      <c r="E140" s="116" t="s">
        <v>91</v>
      </c>
      <c r="F140" s="148" t="s">
        <v>420</v>
      </c>
      <c r="G140" s="113" t="s">
        <v>421</v>
      </c>
      <c r="H140" s="168">
        <v>6</v>
      </c>
      <c r="I140" s="120">
        <v>2</v>
      </c>
      <c r="J140" s="121">
        <v>2</v>
      </c>
      <c r="K140" s="117" t="s">
        <v>75</v>
      </c>
      <c r="L140" s="117" t="s">
        <v>55</v>
      </c>
      <c r="M140" s="117" t="s">
        <v>56</v>
      </c>
      <c r="N140" s="166"/>
      <c r="O140" s="174" t="s">
        <v>176</v>
      </c>
      <c r="P140" s="123" t="s">
        <v>58</v>
      </c>
      <c r="Q140" s="150">
        <v>46130</v>
      </c>
      <c r="R140" s="125">
        <f>S140-1</f>
        <v>46132</v>
      </c>
      <c r="S140" s="126">
        <v>46133</v>
      </c>
      <c r="T140" s="127" t="s">
        <v>59</v>
      </c>
      <c r="U140" s="128"/>
      <c r="V140" s="129">
        <f t="shared" si="2"/>
        <v>0</v>
      </c>
      <c r="W140" s="130">
        <v>0</v>
      </c>
      <c r="X140" s="130">
        <v>0</v>
      </c>
      <c r="Y140" s="130">
        <v>6</v>
      </c>
      <c r="Z140" s="108" t="b">
        <v>1</v>
      </c>
      <c r="AA140" s="108"/>
      <c r="AB140" s="108"/>
      <c r="AC140" s="108"/>
      <c r="AD140" s="108"/>
      <c r="AE140" s="131" t="e">
        <f>SUMIF('[2]TONG XUAT BUN 2026'!$B:$F,A140,'[2]TONG XUAT BUN 2026'!$F:$F)</f>
        <v>#VALUE!</v>
      </c>
      <c r="AF140" s="111" t="s">
        <v>338</v>
      </c>
    </row>
    <row r="141" spans="1:42" s="111" customFormat="1" ht="60" x14ac:dyDescent="0.3">
      <c r="A141" s="164" t="s">
        <v>422</v>
      </c>
      <c r="B141" s="113" t="s">
        <v>423</v>
      </c>
      <c r="C141" s="254" t="s">
        <v>270</v>
      </c>
      <c r="D141" s="115" t="s">
        <v>158</v>
      </c>
      <c r="E141" s="116" t="s">
        <v>91</v>
      </c>
      <c r="F141" s="156" t="s">
        <v>92</v>
      </c>
      <c r="G141" s="156" t="s">
        <v>93</v>
      </c>
      <c r="H141" s="123">
        <v>2500</v>
      </c>
      <c r="I141" s="120">
        <v>90</v>
      </c>
      <c r="J141" s="121">
        <v>90</v>
      </c>
      <c r="K141" s="157" t="s">
        <v>75</v>
      </c>
      <c r="L141" s="157" t="s">
        <v>76</v>
      </c>
      <c r="M141" s="157" t="s">
        <v>94</v>
      </c>
      <c r="N141" s="122"/>
      <c r="O141" s="76" t="s">
        <v>424</v>
      </c>
      <c r="P141" s="123" t="s">
        <v>58</v>
      </c>
      <c r="Q141" s="124">
        <v>46130</v>
      </c>
      <c r="R141" s="185">
        <f>S141-1</f>
        <v>46133</v>
      </c>
      <c r="S141" s="126">
        <v>46134</v>
      </c>
      <c r="T141" s="127" t="s">
        <v>211</v>
      </c>
      <c r="U141" s="128"/>
      <c r="V141" s="129">
        <f t="shared" ref="V141:V204" si="3">U141-N141</f>
        <v>0</v>
      </c>
      <c r="W141" s="130">
        <v>0</v>
      </c>
      <c r="X141" s="130">
        <v>0</v>
      </c>
      <c r="Y141" s="130">
        <v>2500</v>
      </c>
      <c r="Z141" s="108" t="b">
        <v>0</v>
      </c>
      <c r="AA141" s="108" t="s">
        <v>425</v>
      </c>
      <c r="AB141" s="108"/>
      <c r="AC141" s="108"/>
      <c r="AD141" s="108"/>
      <c r="AE141" s="131" t="e">
        <f>SUMIF('[2]TONG XUAT BUN 2026'!$B:$F,A141,'[2]TONG XUAT BUN 2026'!$F:$F)</f>
        <v>#VALUE!</v>
      </c>
      <c r="AF141" s="111" t="s">
        <v>338</v>
      </c>
    </row>
    <row r="142" spans="1:42" s="209" customFormat="1" ht="60" x14ac:dyDescent="0.3">
      <c r="A142" s="189"/>
      <c r="B142" s="190"/>
      <c r="C142" s="191"/>
      <c r="D142" s="190"/>
      <c r="E142" s="192"/>
      <c r="F142" s="189"/>
      <c r="G142" s="193" t="s">
        <v>267</v>
      </c>
      <c r="H142" s="194"/>
      <c r="I142" s="195"/>
      <c r="J142" s="191"/>
      <c r="K142" s="196"/>
      <c r="L142" s="197"/>
      <c r="M142" s="197"/>
      <c r="N142" s="198"/>
      <c r="O142" s="199"/>
      <c r="P142" s="200"/>
      <c r="Q142" s="201"/>
      <c r="R142" s="202"/>
      <c r="S142" s="203"/>
      <c r="T142" s="204"/>
      <c r="U142" s="205"/>
      <c r="V142" s="129">
        <f t="shared" si="3"/>
        <v>0</v>
      </c>
      <c r="W142" s="206"/>
      <c r="X142" s="206"/>
      <c r="Y142" s="206"/>
      <c r="Z142" s="207"/>
      <c r="AA142" s="208"/>
      <c r="AB142" s="207"/>
      <c r="AC142" s="207"/>
      <c r="AD142" s="207"/>
      <c r="AE142" s="207"/>
      <c r="AF142" s="111" t="s">
        <v>338</v>
      </c>
      <c r="AI142" s="210"/>
      <c r="AJ142" s="210"/>
      <c r="AK142" s="210"/>
      <c r="AL142" s="210"/>
      <c r="AM142" s="210"/>
      <c r="AN142" s="211"/>
      <c r="AO142" s="211"/>
      <c r="AP142" s="210"/>
    </row>
    <row r="143" spans="1:42" s="111" customFormat="1" ht="105.6" x14ac:dyDescent="0.3">
      <c r="A143" s="212" t="s">
        <v>426</v>
      </c>
      <c r="B143" s="213" t="s">
        <v>427</v>
      </c>
      <c r="C143" s="254" t="s">
        <v>270</v>
      </c>
      <c r="D143" s="221" t="s">
        <v>277</v>
      </c>
      <c r="E143" s="216" t="s">
        <v>428</v>
      </c>
      <c r="F143" s="215" t="s">
        <v>429</v>
      </c>
      <c r="G143" s="215" t="s">
        <v>430</v>
      </c>
      <c r="H143" s="246">
        <v>28</v>
      </c>
      <c r="I143" s="219">
        <v>1</v>
      </c>
      <c r="J143" s="220">
        <v>1</v>
      </c>
      <c r="K143" s="221" t="s">
        <v>137</v>
      </c>
      <c r="L143" s="221" t="s">
        <v>55</v>
      </c>
      <c r="M143" s="221" t="s">
        <v>56</v>
      </c>
      <c r="N143" s="222">
        <v>1</v>
      </c>
      <c r="O143" s="223"/>
      <c r="P143" s="123" t="s">
        <v>58</v>
      </c>
      <c r="Q143" s="224">
        <v>46130</v>
      </c>
      <c r="R143" s="225">
        <f>S143-1</f>
        <v>46133</v>
      </c>
      <c r="S143" s="226">
        <v>46134</v>
      </c>
      <c r="T143" s="227" t="s">
        <v>68</v>
      </c>
      <c r="U143" s="228">
        <v>1</v>
      </c>
      <c r="V143" s="129">
        <f t="shared" si="3"/>
        <v>0</v>
      </c>
      <c r="W143" s="229">
        <v>0</v>
      </c>
      <c r="X143" s="229">
        <v>0</v>
      </c>
      <c r="Y143" s="229">
        <v>28</v>
      </c>
      <c r="Z143" s="230" t="b">
        <v>0</v>
      </c>
      <c r="AA143" s="230"/>
      <c r="AB143" s="230"/>
      <c r="AC143" s="230"/>
      <c r="AD143" s="230"/>
      <c r="AE143" s="131" t="e">
        <f>SUMIF('[2]TONG XUAT BUN 2026'!$B:$F,A143,'[2]TONG XUAT BUN 2026'!$F:$F)</f>
        <v>#VALUE!</v>
      </c>
    </row>
    <row r="144" spans="1:42" s="111" customFormat="1" ht="60" x14ac:dyDescent="0.3">
      <c r="A144" s="231"/>
      <c r="B144" s="232"/>
      <c r="C144" s="276"/>
      <c r="D144" s="234"/>
      <c r="E144" s="235"/>
      <c r="F144" s="236"/>
      <c r="G144" s="236"/>
      <c r="H144" s="237"/>
      <c r="I144" s="238"/>
      <c r="J144" s="239"/>
      <c r="K144" s="234"/>
      <c r="L144" s="234"/>
      <c r="M144" s="234"/>
      <c r="N144" s="240"/>
      <c r="O144" s="241"/>
      <c r="P144" s="241"/>
      <c r="Q144" s="242"/>
      <c r="R144" s="243"/>
      <c r="S144" s="244"/>
      <c r="T144" s="245"/>
      <c r="U144" s="228"/>
      <c r="V144" s="129">
        <f t="shared" si="3"/>
        <v>0</v>
      </c>
      <c r="W144" s="229"/>
      <c r="X144" s="229"/>
      <c r="Y144" s="229"/>
      <c r="Z144" s="230"/>
      <c r="AA144" s="230"/>
      <c r="AB144" s="230"/>
      <c r="AC144" s="230"/>
      <c r="AD144" s="230"/>
      <c r="AE144" s="230"/>
    </row>
    <row r="145" spans="1:42" s="111" customFormat="1" ht="60" x14ac:dyDescent="0.3">
      <c r="A145" s="212" t="s">
        <v>431</v>
      </c>
      <c r="B145" s="213" t="s">
        <v>432</v>
      </c>
      <c r="C145" s="254" t="s">
        <v>270</v>
      </c>
      <c r="D145" s="215" t="s">
        <v>271</v>
      </c>
      <c r="E145" s="216" t="s">
        <v>428</v>
      </c>
      <c r="F145" s="217" t="s">
        <v>429</v>
      </c>
      <c r="G145" s="213" t="s">
        <v>430</v>
      </c>
      <c r="H145" s="218">
        <v>56</v>
      </c>
      <c r="I145" s="219">
        <v>2</v>
      </c>
      <c r="J145" s="220">
        <v>2</v>
      </c>
      <c r="K145" s="221" t="s">
        <v>137</v>
      </c>
      <c r="L145" s="221" t="s">
        <v>55</v>
      </c>
      <c r="M145" s="221" t="s">
        <v>56</v>
      </c>
      <c r="N145" s="222">
        <v>2</v>
      </c>
      <c r="O145" s="223"/>
      <c r="P145" s="123" t="s">
        <v>58</v>
      </c>
      <c r="Q145" s="224">
        <v>46130</v>
      </c>
      <c r="R145" s="225">
        <f>S145-1</f>
        <v>46133</v>
      </c>
      <c r="S145" s="226">
        <v>46134</v>
      </c>
      <c r="T145" s="227" t="s">
        <v>68</v>
      </c>
      <c r="U145" s="228">
        <f>3-1</f>
        <v>2</v>
      </c>
      <c r="V145" s="129">
        <f t="shared" si="3"/>
        <v>0</v>
      </c>
      <c r="W145" s="229">
        <v>0</v>
      </c>
      <c r="X145" s="229">
        <v>0</v>
      </c>
      <c r="Y145" s="229">
        <v>56</v>
      </c>
      <c r="Z145" s="230" t="b">
        <v>0</v>
      </c>
      <c r="AA145" s="230"/>
      <c r="AB145" s="230"/>
      <c r="AC145" s="230"/>
      <c r="AD145" s="230"/>
      <c r="AE145" s="131" t="e">
        <f>SUMIF('[2]TONG XUAT BUN 2026'!$B:$F,A145,'[2]TONG XUAT BUN 2026'!$F:$F)</f>
        <v>#VALUE!</v>
      </c>
    </row>
    <row r="146" spans="1:42" s="111" customFormat="1" ht="60" x14ac:dyDescent="0.3">
      <c r="A146" s="231"/>
      <c r="B146" s="232"/>
      <c r="C146" s="276"/>
      <c r="D146" s="234"/>
      <c r="E146" s="235"/>
      <c r="F146" s="236"/>
      <c r="G146" s="236"/>
      <c r="H146" s="237"/>
      <c r="I146" s="238"/>
      <c r="J146" s="239"/>
      <c r="K146" s="234"/>
      <c r="L146" s="234"/>
      <c r="M146" s="234"/>
      <c r="N146" s="240"/>
      <c r="O146" s="241"/>
      <c r="P146" s="241"/>
      <c r="Q146" s="242"/>
      <c r="R146" s="243"/>
      <c r="S146" s="244"/>
      <c r="T146" s="245"/>
      <c r="U146" s="228"/>
      <c r="V146" s="129">
        <f t="shared" si="3"/>
        <v>0</v>
      </c>
      <c r="W146" s="229"/>
      <c r="X146" s="229"/>
      <c r="Y146" s="229"/>
      <c r="Z146" s="230"/>
      <c r="AA146" s="230"/>
      <c r="AB146" s="230"/>
      <c r="AC146" s="230"/>
      <c r="AD146" s="230"/>
      <c r="AE146" s="230"/>
    </row>
    <row r="147" spans="1:42" s="111" customFormat="1" ht="105.6" x14ac:dyDescent="0.3">
      <c r="A147" s="212" t="s">
        <v>433</v>
      </c>
      <c r="B147" s="213" t="s">
        <v>434</v>
      </c>
      <c r="C147" s="254" t="s">
        <v>270</v>
      </c>
      <c r="D147" s="221" t="s">
        <v>277</v>
      </c>
      <c r="E147" s="216" t="s">
        <v>412</v>
      </c>
      <c r="F147" s="215" t="s">
        <v>413</v>
      </c>
      <c r="G147" s="215" t="s">
        <v>414</v>
      </c>
      <c r="H147" s="246">
        <v>595</v>
      </c>
      <c r="I147" s="219">
        <v>17</v>
      </c>
      <c r="J147" s="220">
        <v>17</v>
      </c>
      <c r="K147" s="221" t="s">
        <v>368</v>
      </c>
      <c r="L147" s="221" t="s">
        <v>55</v>
      </c>
      <c r="M147" s="221" t="s">
        <v>94</v>
      </c>
      <c r="N147" s="222">
        <v>17</v>
      </c>
      <c r="O147" s="223"/>
      <c r="P147" s="123" t="s">
        <v>58</v>
      </c>
      <c r="Q147" s="224">
        <v>46130</v>
      </c>
      <c r="R147" s="225">
        <f>S147-1</f>
        <v>46133</v>
      </c>
      <c r="S147" s="226">
        <v>46134</v>
      </c>
      <c r="T147" s="227" t="s">
        <v>68</v>
      </c>
      <c r="U147" s="228">
        <f>27</f>
        <v>27</v>
      </c>
      <c r="V147" s="129">
        <f t="shared" si="3"/>
        <v>10</v>
      </c>
      <c r="W147" s="229">
        <v>0</v>
      </c>
      <c r="X147" s="229">
        <v>0</v>
      </c>
      <c r="Y147" s="229">
        <v>595</v>
      </c>
      <c r="Z147" s="230" t="b">
        <v>0</v>
      </c>
      <c r="AA147" s="230"/>
      <c r="AB147" s="230"/>
      <c r="AC147" s="230"/>
      <c r="AD147" s="230"/>
      <c r="AE147" s="131" t="e">
        <f>SUMIF('[2]TONG XUAT BUN 2026'!$B:$F,A147,'[2]TONG XUAT BUN 2026'!$F:$F)</f>
        <v>#VALUE!</v>
      </c>
    </row>
    <row r="148" spans="1:42" s="111" customFormat="1" ht="60" x14ac:dyDescent="0.3">
      <c r="A148" s="231"/>
      <c r="B148" s="232"/>
      <c r="C148" s="276"/>
      <c r="D148" s="234"/>
      <c r="E148" s="235"/>
      <c r="F148" s="236"/>
      <c r="G148" s="236"/>
      <c r="H148" s="237"/>
      <c r="I148" s="238"/>
      <c r="J148" s="239"/>
      <c r="K148" s="234"/>
      <c r="L148" s="234"/>
      <c r="M148" s="234"/>
      <c r="N148" s="240"/>
      <c r="O148" s="241"/>
      <c r="P148" s="241"/>
      <c r="Q148" s="242"/>
      <c r="R148" s="243"/>
      <c r="S148" s="244"/>
      <c r="T148" s="245"/>
      <c r="U148" s="228"/>
      <c r="V148" s="129">
        <f t="shared" si="3"/>
        <v>0</v>
      </c>
      <c r="W148" s="229"/>
      <c r="X148" s="229"/>
      <c r="Y148" s="229"/>
      <c r="Z148" s="230"/>
      <c r="AA148" s="230"/>
      <c r="AB148" s="230"/>
      <c r="AC148" s="230"/>
      <c r="AD148" s="230"/>
      <c r="AE148" s="230"/>
    </row>
    <row r="149" spans="1:42" s="111" customFormat="1" ht="60" x14ac:dyDescent="0.3">
      <c r="A149" s="212" t="s">
        <v>435</v>
      </c>
      <c r="B149" s="213" t="s">
        <v>436</v>
      </c>
      <c r="C149" s="254" t="s">
        <v>270</v>
      </c>
      <c r="D149" s="215" t="s">
        <v>271</v>
      </c>
      <c r="E149" s="216" t="s">
        <v>311</v>
      </c>
      <c r="F149" s="217" t="s">
        <v>312</v>
      </c>
      <c r="G149" s="213" t="s">
        <v>313</v>
      </c>
      <c r="H149" s="218">
        <v>91</v>
      </c>
      <c r="I149" s="219">
        <v>7</v>
      </c>
      <c r="J149" s="220">
        <v>7</v>
      </c>
      <c r="K149" s="221" t="s">
        <v>144</v>
      </c>
      <c r="L149" s="221" t="s">
        <v>55</v>
      </c>
      <c r="M149" s="221" t="s">
        <v>56</v>
      </c>
      <c r="N149" s="222">
        <v>7</v>
      </c>
      <c r="O149" s="223"/>
      <c r="P149" s="223">
        <v>7</v>
      </c>
      <c r="Q149" s="224">
        <v>46132</v>
      </c>
      <c r="R149" s="225">
        <f>S149-1</f>
        <v>46134</v>
      </c>
      <c r="S149" s="226">
        <v>46135</v>
      </c>
      <c r="T149" s="227" t="s">
        <v>68</v>
      </c>
      <c r="U149" s="228"/>
      <c r="V149" s="129">
        <f t="shared" si="3"/>
        <v>-7</v>
      </c>
      <c r="W149" s="229">
        <v>0</v>
      </c>
      <c r="X149" s="229">
        <v>0</v>
      </c>
      <c r="Y149" s="229">
        <v>91</v>
      </c>
      <c r="Z149" s="230" t="b">
        <v>0</v>
      </c>
      <c r="AA149" s="230"/>
      <c r="AB149" s="230"/>
      <c r="AC149" s="230"/>
      <c r="AD149" s="230"/>
      <c r="AE149" s="131" t="e">
        <f>SUMIF('[2]TONG XUAT BUN 2026'!$B:$F,A149,'[2]TONG XUAT BUN 2026'!$F:$F)</f>
        <v>#VALUE!</v>
      </c>
    </row>
    <row r="150" spans="1:42" s="111" customFormat="1" ht="60" x14ac:dyDescent="0.3">
      <c r="A150" s="231"/>
      <c r="B150" s="232"/>
      <c r="C150" s="276"/>
      <c r="D150" s="236"/>
      <c r="E150" s="235"/>
      <c r="F150" s="277"/>
      <c r="G150" s="232"/>
      <c r="H150" s="278"/>
      <c r="I150" s="238"/>
      <c r="J150" s="239"/>
      <c r="K150" s="234"/>
      <c r="L150" s="234"/>
      <c r="M150" s="234"/>
      <c r="N150" s="240"/>
      <c r="O150" s="241"/>
      <c r="P150" s="241"/>
      <c r="Q150" s="242"/>
      <c r="R150" s="243"/>
      <c r="S150" s="244"/>
      <c r="T150" s="245"/>
      <c r="U150" s="228"/>
      <c r="V150" s="129">
        <f t="shared" si="3"/>
        <v>0</v>
      </c>
      <c r="W150" s="229"/>
      <c r="X150" s="229"/>
      <c r="Y150" s="229"/>
      <c r="Z150" s="230"/>
      <c r="AA150" s="230"/>
      <c r="AB150" s="230"/>
      <c r="AC150" s="230"/>
      <c r="AD150" s="230"/>
      <c r="AE150" s="230"/>
    </row>
    <row r="151" spans="1:42" s="111" customFormat="1" ht="60" x14ac:dyDescent="0.3">
      <c r="A151" s="212" t="s">
        <v>437</v>
      </c>
      <c r="B151" s="213" t="s">
        <v>438</v>
      </c>
      <c r="C151" s="254" t="s">
        <v>270</v>
      </c>
      <c r="D151" s="215" t="s">
        <v>71</v>
      </c>
      <c r="E151" s="216" t="s">
        <v>91</v>
      </c>
      <c r="F151" s="247" t="s">
        <v>92</v>
      </c>
      <c r="G151" s="247" t="s">
        <v>93</v>
      </c>
      <c r="H151" s="223">
        <v>2500</v>
      </c>
      <c r="I151" s="219">
        <v>90</v>
      </c>
      <c r="J151" s="220">
        <v>90</v>
      </c>
      <c r="K151" s="251" t="s">
        <v>75</v>
      </c>
      <c r="L151" s="251" t="s">
        <v>76</v>
      </c>
      <c r="M151" s="251" t="s">
        <v>94</v>
      </c>
      <c r="N151" s="222">
        <v>363</v>
      </c>
      <c r="O151" s="223"/>
      <c r="P151" s="223" t="s">
        <v>58</v>
      </c>
      <c r="Q151" s="224">
        <v>46132</v>
      </c>
      <c r="R151" s="225">
        <f>S151-1</f>
        <v>46134</v>
      </c>
      <c r="S151" s="226">
        <v>46135</v>
      </c>
      <c r="T151" s="227" t="s">
        <v>68</v>
      </c>
      <c r="U151" s="228">
        <f>148-144+95+116-5+95</f>
        <v>305</v>
      </c>
      <c r="V151" s="129">
        <f t="shared" si="3"/>
        <v>-58</v>
      </c>
      <c r="W151" s="229">
        <v>0</v>
      </c>
      <c r="X151" s="229">
        <v>0</v>
      </c>
      <c r="Y151" s="229">
        <v>2500</v>
      </c>
      <c r="Z151" s="230" t="b">
        <v>0</v>
      </c>
      <c r="AA151" s="230" t="s">
        <v>439</v>
      </c>
      <c r="AB151" s="230"/>
      <c r="AC151" s="230"/>
      <c r="AD151" s="230"/>
      <c r="AE151" s="131" t="e">
        <f>SUMIF('[2]TONG XUAT BUN 2026'!$B:$F,A151,'[2]TONG XUAT BUN 2026'!$F:$F)</f>
        <v>#VALUE!</v>
      </c>
    </row>
    <row r="152" spans="1:42" s="111" customFormat="1" ht="60" x14ac:dyDescent="0.3">
      <c r="A152" s="212" t="s">
        <v>440</v>
      </c>
      <c r="B152" s="213" t="s">
        <v>441</v>
      </c>
      <c r="C152" s="254" t="s">
        <v>306</v>
      </c>
      <c r="D152" s="217" t="s">
        <v>442</v>
      </c>
      <c r="E152" s="216" t="s">
        <v>91</v>
      </c>
      <c r="F152" s="247" t="s">
        <v>98</v>
      </c>
      <c r="G152" s="247" t="s">
        <v>99</v>
      </c>
      <c r="H152" s="223">
        <v>2100</v>
      </c>
      <c r="I152" s="219">
        <v>183</v>
      </c>
      <c r="J152" s="220">
        <v>183</v>
      </c>
      <c r="K152" s="221" t="s">
        <v>75</v>
      </c>
      <c r="L152" s="221" t="s">
        <v>76</v>
      </c>
      <c r="M152" s="221" t="s">
        <v>56</v>
      </c>
      <c r="N152" s="222"/>
      <c r="O152" s="223"/>
      <c r="P152" s="223" t="s">
        <v>58</v>
      </c>
      <c r="Q152" s="224">
        <v>46133</v>
      </c>
      <c r="R152" s="225">
        <f>S152-1</f>
        <v>46135</v>
      </c>
      <c r="S152" s="226">
        <v>46136</v>
      </c>
      <c r="T152" s="227" t="s">
        <v>68</v>
      </c>
      <c r="U152" s="228"/>
      <c r="V152" s="129">
        <f t="shared" si="3"/>
        <v>0</v>
      </c>
      <c r="W152" s="229">
        <v>0</v>
      </c>
      <c r="X152" s="229">
        <v>0</v>
      </c>
      <c r="Y152" s="229">
        <v>2100</v>
      </c>
      <c r="Z152" s="230" t="b">
        <v>0</v>
      </c>
      <c r="AA152" s="230" t="s">
        <v>212</v>
      </c>
      <c r="AB152" s="230"/>
      <c r="AC152" s="230"/>
      <c r="AD152" s="230"/>
      <c r="AE152" s="131" t="e">
        <f>SUMIF('[2]TONG XUAT BUN 2026'!$B:$F,A152,'[2]TONG XUAT BUN 2026'!$F:$F)</f>
        <v>#VALUE!</v>
      </c>
    </row>
    <row r="153" spans="1:42" s="111" customFormat="1" ht="60" x14ac:dyDescent="0.3">
      <c r="A153" s="212" t="s">
        <v>443</v>
      </c>
      <c r="B153" s="213" t="s">
        <v>444</v>
      </c>
      <c r="C153" s="252" t="s">
        <v>310</v>
      </c>
      <c r="D153" s="217" t="s">
        <v>442</v>
      </c>
      <c r="E153" s="216" t="s">
        <v>91</v>
      </c>
      <c r="F153" s="247" t="s">
        <v>92</v>
      </c>
      <c r="G153" s="247" t="s">
        <v>93</v>
      </c>
      <c r="H153" s="223">
        <v>2500</v>
      </c>
      <c r="I153" s="219">
        <v>90</v>
      </c>
      <c r="J153" s="220">
        <v>90</v>
      </c>
      <c r="K153" s="221" t="s">
        <v>75</v>
      </c>
      <c r="L153" s="221" t="s">
        <v>76</v>
      </c>
      <c r="M153" s="221" t="s">
        <v>94</v>
      </c>
      <c r="N153" s="222"/>
      <c r="O153" s="223"/>
      <c r="P153" s="223">
        <v>58</v>
      </c>
      <c r="Q153" s="224">
        <v>46133</v>
      </c>
      <c r="R153" s="225">
        <f>S153-1</f>
        <v>46135</v>
      </c>
      <c r="S153" s="226">
        <v>46136</v>
      </c>
      <c r="T153" s="227" t="s">
        <v>68</v>
      </c>
      <c r="U153" s="228"/>
      <c r="V153" s="129">
        <f t="shared" si="3"/>
        <v>0</v>
      </c>
      <c r="W153" s="229">
        <v>0</v>
      </c>
      <c r="X153" s="229">
        <v>0</v>
      </c>
      <c r="Y153" s="229">
        <v>2500</v>
      </c>
      <c r="Z153" s="230" t="b">
        <v>0</v>
      </c>
      <c r="AA153" s="230"/>
      <c r="AB153" s="230"/>
      <c r="AC153" s="230"/>
      <c r="AD153" s="230"/>
      <c r="AE153" s="131" t="e">
        <f>SUMIF('[2]TONG XUAT BUN 2026'!$B:$F,A153,'[2]TONG XUAT BUN 2026'!$F:$F)</f>
        <v>#VALUE!</v>
      </c>
    </row>
    <row r="154" spans="1:42" s="111" customFormat="1" ht="60" x14ac:dyDescent="0.3">
      <c r="A154" s="231"/>
      <c r="B154" s="232"/>
      <c r="C154" s="276"/>
      <c r="D154" s="277"/>
      <c r="E154" s="235"/>
      <c r="F154" s="248"/>
      <c r="G154" s="248"/>
      <c r="H154" s="241"/>
      <c r="I154" s="238"/>
      <c r="J154" s="239"/>
      <c r="K154" s="234"/>
      <c r="L154" s="234"/>
      <c r="M154" s="234"/>
      <c r="N154" s="240"/>
      <c r="O154" s="241"/>
      <c r="P154" s="241"/>
      <c r="Q154" s="242"/>
      <c r="R154" s="243"/>
      <c r="S154" s="244"/>
      <c r="T154" s="245"/>
      <c r="U154" s="228"/>
      <c r="V154" s="129">
        <f t="shared" si="3"/>
        <v>0</v>
      </c>
      <c r="W154" s="229"/>
      <c r="X154" s="229"/>
      <c r="Y154" s="229"/>
      <c r="Z154" s="230"/>
      <c r="AA154" s="230"/>
      <c r="AB154" s="230"/>
      <c r="AC154" s="230"/>
      <c r="AD154" s="230"/>
      <c r="AE154" s="230"/>
    </row>
    <row r="155" spans="1:42" s="111" customFormat="1" ht="105.6" x14ac:dyDescent="0.3">
      <c r="A155" s="212" t="s">
        <v>445</v>
      </c>
      <c r="B155" s="213" t="s">
        <v>446</v>
      </c>
      <c r="C155" s="252" t="s">
        <v>310</v>
      </c>
      <c r="D155" s="221" t="s">
        <v>277</v>
      </c>
      <c r="E155" s="216" t="s">
        <v>365</v>
      </c>
      <c r="F155" s="215" t="s">
        <v>447</v>
      </c>
      <c r="G155" s="215" t="s">
        <v>448</v>
      </c>
      <c r="H155" s="246">
        <v>50</v>
      </c>
      <c r="I155" s="219">
        <v>5</v>
      </c>
      <c r="J155" s="220">
        <v>5</v>
      </c>
      <c r="K155" s="221" t="s">
        <v>368</v>
      </c>
      <c r="L155" s="221" t="s">
        <v>55</v>
      </c>
      <c r="M155" s="221" t="s">
        <v>56</v>
      </c>
      <c r="N155" s="222">
        <v>5</v>
      </c>
      <c r="O155" s="223"/>
      <c r="P155" s="223" t="s">
        <v>58</v>
      </c>
      <c r="Q155" s="224">
        <v>46133</v>
      </c>
      <c r="R155" s="225">
        <f>S155-1</f>
        <v>46135</v>
      </c>
      <c r="S155" s="226">
        <v>46136</v>
      </c>
      <c r="T155" s="227" t="s">
        <v>68</v>
      </c>
      <c r="U155" s="228">
        <v>5</v>
      </c>
      <c r="V155" s="129">
        <f t="shared" si="3"/>
        <v>0</v>
      </c>
      <c r="W155" s="229">
        <v>0</v>
      </c>
      <c r="X155" s="229">
        <v>0</v>
      </c>
      <c r="Y155" s="229">
        <v>50</v>
      </c>
      <c r="Z155" s="230" t="b">
        <v>0</v>
      </c>
      <c r="AA155" s="230"/>
      <c r="AB155" s="230"/>
      <c r="AC155" s="230"/>
      <c r="AD155" s="230"/>
      <c r="AE155" s="131" t="e">
        <f>SUMIF('[2]TONG XUAT BUN 2026'!$B:$F,A155,'[2]TONG XUAT BUN 2026'!$F:$F)</f>
        <v>#VALUE!</v>
      </c>
    </row>
    <row r="156" spans="1:42" s="111" customFormat="1" ht="60" x14ac:dyDescent="0.3">
      <c r="A156" s="231"/>
      <c r="B156" s="232"/>
      <c r="C156" s="276"/>
      <c r="D156" s="234"/>
      <c r="E156" s="235"/>
      <c r="F156" s="236"/>
      <c r="G156" s="236"/>
      <c r="H156" s="237"/>
      <c r="I156" s="238"/>
      <c r="J156" s="239"/>
      <c r="K156" s="234"/>
      <c r="L156" s="234"/>
      <c r="M156" s="234"/>
      <c r="N156" s="240"/>
      <c r="O156" s="241"/>
      <c r="P156" s="241"/>
      <c r="Q156" s="242"/>
      <c r="R156" s="243"/>
      <c r="S156" s="244"/>
      <c r="T156" s="245"/>
      <c r="U156" s="228"/>
      <c r="V156" s="129">
        <f t="shared" si="3"/>
        <v>0</v>
      </c>
      <c r="W156" s="229"/>
      <c r="X156" s="229"/>
      <c r="Y156" s="229"/>
      <c r="Z156" s="230"/>
      <c r="AA156" s="230"/>
      <c r="AB156" s="230"/>
      <c r="AC156" s="230"/>
      <c r="AD156" s="230"/>
      <c r="AE156" s="230"/>
    </row>
    <row r="157" spans="1:42" s="111" customFormat="1" ht="60" x14ac:dyDescent="0.3">
      <c r="A157" s="212" t="s">
        <v>449</v>
      </c>
      <c r="B157" s="213" t="s">
        <v>450</v>
      </c>
      <c r="C157" s="252" t="s">
        <v>310</v>
      </c>
      <c r="D157" s="215" t="s">
        <v>451</v>
      </c>
      <c r="E157" s="216" t="s">
        <v>342</v>
      </c>
      <c r="F157" s="217" t="s">
        <v>343</v>
      </c>
      <c r="G157" s="279" t="s">
        <v>344</v>
      </c>
      <c r="H157" s="218">
        <v>1826</v>
      </c>
      <c r="I157" s="219">
        <v>66</v>
      </c>
      <c r="J157" s="220">
        <v>66</v>
      </c>
      <c r="K157" s="215"/>
      <c r="L157" s="221" t="s">
        <v>294</v>
      </c>
      <c r="M157" s="221" t="s">
        <v>145</v>
      </c>
      <c r="N157" s="222">
        <v>66</v>
      </c>
      <c r="O157" s="223"/>
      <c r="P157" s="223" t="s">
        <v>58</v>
      </c>
      <c r="Q157" s="224">
        <v>46133</v>
      </c>
      <c r="R157" s="225">
        <f>S157-1</f>
        <v>46135</v>
      </c>
      <c r="S157" s="226">
        <v>46136</v>
      </c>
      <c r="T157" s="227" t="s">
        <v>68</v>
      </c>
      <c r="U157" s="228">
        <v>71</v>
      </c>
      <c r="V157" s="129">
        <f t="shared" si="3"/>
        <v>5</v>
      </c>
      <c r="W157" s="229">
        <v>0</v>
      </c>
      <c r="X157" s="229">
        <v>0</v>
      </c>
      <c r="Y157" s="229">
        <v>1826</v>
      </c>
      <c r="Z157" s="230" t="b">
        <v>0</v>
      </c>
      <c r="AA157" s="230"/>
      <c r="AB157" s="230"/>
      <c r="AC157" s="230"/>
      <c r="AD157" s="230"/>
      <c r="AE157" s="131" t="e">
        <f>SUMIF('[2]TONG XUAT BUN 2026'!$B:$F,A157,'[2]TONG XUAT BUN 2026'!$F:$F)</f>
        <v>#VALUE!</v>
      </c>
    </row>
    <row r="158" spans="1:42" s="209" customFormat="1" ht="60" x14ac:dyDescent="0.3">
      <c r="A158" s="189"/>
      <c r="B158" s="190"/>
      <c r="C158" s="191"/>
      <c r="D158" s="190"/>
      <c r="E158" s="192"/>
      <c r="F158" s="189"/>
      <c r="G158" s="193" t="s">
        <v>332</v>
      </c>
      <c r="H158" s="194"/>
      <c r="I158" s="195"/>
      <c r="J158" s="191"/>
      <c r="K158" s="196"/>
      <c r="L158" s="197"/>
      <c r="M158" s="197"/>
      <c r="N158" s="198"/>
      <c r="O158" s="199"/>
      <c r="P158" s="200"/>
      <c r="Q158" s="201"/>
      <c r="R158" s="202"/>
      <c r="S158" s="203"/>
      <c r="T158" s="204"/>
      <c r="U158" s="205"/>
      <c r="V158" s="129">
        <f t="shared" si="3"/>
        <v>0</v>
      </c>
      <c r="W158" s="206"/>
      <c r="X158" s="206"/>
      <c r="Y158" s="206"/>
      <c r="Z158" s="207"/>
      <c r="AA158" s="208"/>
      <c r="AB158" s="207"/>
      <c r="AC158" s="207"/>
      <c r="AD158" s="207"/>
      <c r="AE158" s="207"/>
      <c r="AI158" s="210"/>
      <c r="AJ158" s="210"/>
      <c r="AK158" s="210"/>
      <c r="AL158" s="210"/>
      <c r="AM158" s="210"/>
      <c r="AN158" s="211"/>
      <c r="AO158" s="211"/>
      <c r="AP158" s="210"/>
    </row>
    <row r="159" spans="1:42" s="209" customFormat="1" ht="37.799999999999997" x14ac:dyDescent="0.3">
      <c r="A159" s="257"/>
      <c r="B159" s="257"/>
      <c r="C159" s="258"/>
      <c r="D159" s="259"/>
      <c r="E159" s="260"/>
      <c r="F159" s="261"/>
      <c r="G159" s="262"/>
      <c r="H159" s="263">
        <f>SUM(H109:H157)</f>
        <v>51212</v>
      </c>
      <c r="I159" s="263">
        <f>SUM(I109:I157)</f>
        <v>1836</v>
      </c>
      <c r="J159" s="263">
        <f>SUM(J109:J157)</f>
        <v>1836</v>
      </c>
      <c r="K159" s="259"/>
      <c r="L159" s="259"/>
      <c r="M159" s="261"/>
      <c r="N159" s="263">
        <f>SUM(N109:N157)</f>
        <v>1790</v>
      </c>
      <c r="O159" s="264">
        <f>N159-G7</f>
        <v>-44</v>
      </c>
      <c r="P159" s="265"/>
      <c r="Q159" s="266"/>
      <c r="R159" s="266"/>
      <c r="S159" s="266"/>
      <c r="T159" s="266"/>
      <c r="U159" s="266"/>
      <c r="V159" s="129">
        <f t="shared" si="3"/>
        <v>-1790</v>
      </c>
      <c r="W159" s="206"/>
      <c r="X159" s="206"/>
      <c r="Y159" s="206"/>
      <c r="Z159" s="207"/>
      <c r="AA159" s="207"/>
      <c r="AB159" s="207"/>
      <c r="AC159" s="207"/>
      <c r="AD159" s="207"/>
      <c r="AE159" s="267"/>
      <c r="AF159" s="268"/>
      <c r="AG159" s="268"/>
    </row>
    <row r="160" spans="1:42" s="111" customFormat="1" ht="60" x14ac:dyDescent="0.3">
      <c r="A160" s="164" t="s">
        <v>452</v>
      </c>
      <c r="B160" s="164" t="s">
        <v>453</v>
      </c>
      <c r="C160" s="280" t="s">
        <v>49</v>
      </c>
      <c r="D160" s="115" t="s">
        <v>392</v>
      </c>
      <c r="E160" s="116" t="s">
        <v>454</v>
      </c>
      <c r="F160" s="186" t="s">
        <v>455</v>
      </c>
      <c r="G160" s="186" t="s">
        <v>456</v>
      </c>
      <c r="H160" s="168">
        <v>28</v>
      </c>
      <c r="I160" s="120">
        <v>1</v>
      </c>
      <c r="J160" s="121">
        <v>1</v>
      </c>
      <c r="K160" s="115"/>
      <c r="L160" s="117" t="s">
        <v>294</v>
      </c>
      <c r="M160" s="117" t="s">
        <v>145</v>
      </c>
      <c r="N160" s="166">
        <v>1</v>
      </c>
      <c r="O160" s="123"/>
      <c r="P160" s="123" t="s">
        <v>58</v>
      </c>
      <c r="Q160" s="124">
        <v>46126</v>
      </c>
      <c r="R160" s="125">
        <f>S160-1</f>
        <v>46128</v>
      </c>
      <c r="S160" s="126">
        <v>46129</v>
      </c>
      <c r="T160" s="127" t="s">
        <v>59</v>
      </c>
      <c r="U160" s="128">
        <v>1</v>
      </c>
      <c r="V160" s="129">
        <f t="shared" si="3"/>
        <v>0</v>
      </c>
      <c r="W160" s="130">
        <v>0</v>
      </c>
      <c r="X160" s="130">
        <v>0</v>
      </c>
      <c r="Y160" s="130">
        <v>28</v>
      </c>
      <c r="Z160" s="108" t="b">
        <v>0</v>
      </c>
      <c r="AA160" s="108"/>
      <c r="AB160" s="108"/>
      <c r="AC160" s="108"/>
      <c r="AD160" s="108"/>
      <c r="AE160" s="131" t="e">
        <f>SUMIF('[2]TONG XUAT BUN 2026'!$B:$F,A160,'[2]TONG XUAT BUN 2026'!$F:$F)</f>
        <v>#VALUE!</v>
      </c>
      <c r="AF160" s="111" t="s">
        <v>457</v>
      </c>
    </row>
    <row r="161" spans="1:32" s="111" customFormat="1" ht="60" x14ac:dyDescent="0.3">
      <c r="A161" s="132"/>
      <c r="B161" s="132"/>
      <c r="C161" s="281"/>
      <c r="D161" s="136"/>
      <c r="E161" s="135"/>
      <c r="F161" s="187"/>
      <c r="G161" s="187"/>
      <c r="H161" s="169"/>
      <c r="I161" s="138"/>
      <c r="J161" s="139"/>
      <c r="K161" s="136"/>
      <c r="L161" s="140"/>
      <c r="M161" s="140"/>
      <c r="N161" s="141"/>
      <c r="O161" s="143"/>
      <c r="P161" s="143"/>
      <c r="Q161" s="144"/>
      <c r="R161" s="145"/>
      <c r="S161" s="146"/>
      <c r="T161" s="147"/>
      <c r="U161" s="128"/>
      <c r="V161" s="129">
        <f t="shared" si="3"/>
        <v>0</v>
      </c>
      <c r="W161" s="130"/>
      <c r="X161" s="130"/>
      <c r="Y161" s="130"/>
      <c r="Z161" s="108"/>
      <c r="AA161" s="108"/>
      <c r="AB161" s="108"/>
      <c r="AC161" s="108"/>
      <c r="AD161" s="108"/>
      <c r="AE161" s="108"/>
      <c r="AF161" s="111" t="s">
        <v>457</v>
      </c>
    </row>
    <row r="162" spans="1:32" s="111" customFormat="1" ht="60" x14ac:dyDescent="0.3">
      <c r="A162" s="164" t="s">
        <v>458</v>
      </c>
      <c r="B162" s="164" t="s">
        <v>459</v>
      </c>
      <c r="C162" s="280" t="s">
        <v>49</v>
      </c>
      <c r="D162" s="115" t="s">
        <v>63</v>
      </c>
      <c r="E162" s="116" t="s">
        <v>460</v>
      </c>
      <c r="F162" s="148" t="s">
        <v>461</v>
      </c>
      <c r="G162" s="113" t="s">
        <v>462</v>
      </c>
      <c r="H162" s="149">
        <v>30</v>
      </c>
      <c r="I162" s="120">
        <v>6</v>
      </c>
      <c r="J162" s="121">
        <v>6</v>
      </c>
      <c r="K162" s="117" t="s">
        <v>463</v>
      </c>
      <c r="L162" s="117" t="s">
        <v>55</v>
      </c>
      <c r="M162" s="117" t="s">
        <v>56</v>
      </c>
      <c r="N162" s="166">
        <v>8</v>
      </c>
      <c r="O162" s="123"/>
      <c r="P162" s="123" t="s">
        <v>58</v>
      </c>
      <c r="Q162" s="124">
        <v>46126</v>
      </c>
      <c r="R162" s="125">
        <f>S162-1</f>
        <v>46128</v>
      </c>
      <c r="S162" s="126">
        <v>46129</v>
      </c>
      <c r="T162" s="127" t="s">
        <v>59</v>
      </c>
      <c r="U162" s="128">
        <v>8</v>
      </c>
      <c r="V162" s="129">
        <f t="shared" si="3"/>
        <v>0</v>
      </c>
      <c r="W162" s="130">
        <v>0</v>
      </c>
      <c r="X162" s="130">
        <v>0</v>
      </c>
      <c r="Y162" s="130">
        <v>30</v>
      </c>
      <c r="Z162" s="108" t="b">
        <v>0</v>
      </c>
      <c r="AA162" s="108"/>
      <c r="AB162" s="108"/>
      <c r="AC162" s="108"/>
      <c r="AD162" s="108"/>
      <c r="AE162" s="131" t="e">
        <f>SUMIF('[2]TONG XUAT BUN 2026'!$B:$F,A162,'[2]TONG XUAT BUN 2026'!$F:$F)</f>
        <v>#VALUE!</v>
      </c>
      <c r="AF162" s="111" t="s">
        <v>457</v>
      </c>
    </row>
    <row r="163" spans="1:32" s="111" customFormat="1" ht="79.2" x14ac:dyDescent="0.3">
      <c r="A163" s="164" t="s">
        <v>464</v>
      </c>
      <c r="B163" s="164" t="s">
        <v>465</v>
      </c>
      <c r="C163" s="280" t="s">
        <v>49</v>
      </c>
      <c r="D163" s="115" t="s">
        <v>120</v>
      </c>
      <c r="E163" s="116" t="s">
        <v>460</v>
      </c>
      <c r="F163" s="148" t="s">
        <v>466</v>
      </c>
      <c r="G163" s="113" t="s">
        <v>467</v>
      </c>
      <c r="H163" s="168">
        <v>10</v>
      </c>
      <c r="I163" s="120">
        <v>2</v>
      </c>
      <c r="J163" s="121">
        <v>2</v>
      </c>
      <c r="K163" s="117" t="s">
        <v>75</v>
      </c>
      <c r="L163" s="117" t="s">
        <v>55</v>
      </c>
      <c r="M163" s="117" t="s">
        <v>56</v>
      </c>
      <c r="N163" s="166"/>
      <c r="O163" s="123"/>
      <c r="P163" s="123" t="s">
        <v>58</v>
      </c>
      <c r="Q163" s="124">
        <v>46133</v>
      </c>
      <c r="R163" s="125">
        <f>S163-1</f>
        <v>46135</v>
      </c>
      <c r="S163" s="126">
        <v>46136</v>
      </c>
      <c r="T163" s="127" t="s">
        <v>59</v>
      </c>
      <c r="U163" s="128"/>
      <c r="V163" s="129">
        <f t="shared" si="3"/>
        <v>0</v>
      </c>
      <c r="W163" s="130">
        <v>0</v>
      </c>
      <c r="X163" s="130">
        <v>0</v>
      </c>
      <c r="Y163" s="130">
        <v>10</v>
      </c>
      <c r="Z163" s="108" t="b">
        <v>1</v>
      </c>
      <c r="AA163" s="108"/>
      <c r="AB163" s="108"/>
      <c r="AC163" s="108"/>
      <c r="AD163" s="108"/>
      <c r="AE163" s="131" t="e">
        <f>SUMIF('[2]TONG XUAT BUN 2026'!$B:$F,A163,'[2]TONG XUAT BUN 2026'!$F:$F)</f>
        <v>#VALUE!</v>
      </c>
      <c r="AF163" s="111" t="s">
        <v>457</v>
      </c>
    </row>
    <row r="164" spans="1:32" s="111" customFormat="1" ht="60" x14ac:dyDescent="0.3">
      <c r="A164" s="132"/>
      <c r="B164" s="132"/>
      <c r="C164" s="281"/>
      <c r="D164" s="136"/>
      <c r="E164" s="135"/>
      <c r="F164" s="187"/>
      <c r="G164" s="187"/>
      <c r="H164" s="169"/>
      <c r="I164" s="138"/>
      <c r="J164" s="139"/>
      <c r="K164" s="136"/>
      <c r="L164" s="140"/>
      <c r="M164" s="140"/>
      <c r="N164" s="141"/>
      <c r="O164" s="143"/>
      <c r="P164" s="143"/>
      <c r="Q164" s="144"/>
      <c r="R164" s="145"/>
      <c r="S164" s="146"/>
      <c r="T164" s="147"/>
      <c r="U164" s="128"/>
      <c r="V164" s="129">
        <f t="shared" si="3"/>
        <v>0</v>
      </c>
      <c r="W164" s="130"/>
      <c r="X164" s="130"/>
      <c r="Y164" s="130"/>
      <c r="Z164" s="108"/>
      <c r="AA164" s="108"/>
      <c r="AB164" s="108"/>
      <c r="AC164" s="108"/>
      <c r="AD164" s="108"/>
      <c r="AE164" s="108"/>
      <c r="AF164" s="111" t="s">
        <v>457</v>
      </c>
    </row>
    <row r="165" spans="1:32" s="111" customFormat="1" ht="79.2" x14ac:dyDescent="0.3">
      <c r="A165" s="164" t="s">
        <v>468</v>
      </c>
      <c r="B165" s="164" t="s">
        <v>469</v>
      </c>
      <c r="C165" s="280" t="s">
        <v>49</v>
      </c>
      <c r="D165" s="282" t="s">
        <v>470</v>
      </c>
      <c r="E165" s="116" t="s">
        <v>471</v>
      </c>
      <c r="F165" s="156" t="s">
        <v>472</v>
      </c>
      <c r="G165" s="156" t="s">
        <v>473</v>
      </c>
      <c r="H165" s="123">
        <v>2620</v>
      </c>
      <c r="I165" s="120">
        <v>75</v>
      </c>
      <c r="J165" s="121">
        <v>75</v>
      </c>
      <c r="K165" s="117" t="s">
        <v>137</v>
      </c>
      <c r="L165" s="117" t="s">
        <v>55</v>
      </c>
      <c r="M165" s="117" t="s">
        <v>94</v>
      </c>
      <c r="N165" s="166">
        <v>191</v>
      </c>
      <c r="P165" s="123" t="s">
        <v>58</v>
      </c>
      <c r="Q165" s="124">
        <v>46126</v>
      </c>
      <c r="R165" s="125">
        <f>S165-1</f>
        <v>46128</v>
      </c>
      <c r="S165" s="126">
        <v>46129</v>
      </c>
      <c r="T165" s="127" t="s">
        <v>59</v>
      </c>
      <c r="U165" s="128">
        <f>74+118</f>
        <v>192</v>
      </c>
      <c r="V165" s="129">
        <f t="shared" si="3"/>
        <v>1</v>
      </c>
      <c r="W165" s="130">
        <v>0</v>
      </c>
      <c r="X165" s="130">
        <v>0</v>
      </c>
      <c r="Y165" s="130">
        <v>2620</v>
      </c>
      <c r="Z165" s="108" t="b">
        <v>0</v>
      </c>
      <c r="AA165" s="108"/>
      <c r="AB165" s="108"/>
      <c r="AC165" s="108"/>
      <c r="AD165" s="108"/>
      <c r="AE165" s="131" t="e">
        <f>SUMIF('[2]TONG XUAT BUN 2026'!$B:$F,A165,'[2]TONG XUAT BUN 2026'!$F:$F)</f>
        <v>#VALUE!</v>
      </c>
      <c r="AF165" s="111" t="s">
        <v>457</v>
      </c>
    </row>
    <row r="166" spans="1:32" s="111" customFormat="1" ht="60" x14ac:dyDescent="0.3">
      <c r="A166" s="164" t="s">
        <v>474</v>
      </c>
      <c r="B166" s="164" t="s">
        <v>475</v>
      </c>
      <c r="C166" s="283" t="s">
        <v>371</v>
      </c>
      <c r="D166" s="115" t="s">
        <v>133</v>
      </c>
      <c r="E166" s="116" t="s">
        <v>471</v>
      </c>
      <c r="F166" s="156" t="s">
        <v>472</v>
      </c>
      <c r="G166" s="156" t="s">
        <v>476</v>
      </c>
      <c r="H166" s="149">
        <v>2000</v>
      </c>
      <c r="I166" s="120">
        <v>58</v>
      </c>
      <c r="J166" s="121">
        <v>58</v>
      </c>
      <c r="K166" s="157" t="s">
        <v>137</v>
      </c>
      <c r="L166" s="157" t="s">
        <v>76</v>
      </c>
      <c r="M166" s="157" t="s">
        <v>94</v>
      </c>
      <c r="N166" s="166"/>
      <c r="O166" s="123"/>
      <c r="P166" s="123" t="s">
        <v>58</v>
      </c>
      <c r="Q166" s="124">
        <v>46130</v>
      </c>
      <c r="R166" s="125">
        <f>S166-1</f>
        <v>46132</v>
      </c>
      <c r="S166" s="126">
        <v>46133</v>
      </c>
      <c r="T166" s="127" t="s">
        <v>59</v>
      </c>
      <c r="U166" s="128"/>
      <c r="V166" s="129">
        <f t="shared" si="3"/>
        <v>0</v>
      </c>
      <c r="W166" s="130">
        <v>0</v>
      </c>
      <c r="X166" s="130">
        <v>0</v>
      </c>
      <c r="Y166" s="130">
        <v>2000</v>
      </c>
      <c r="Z166" s="108" t="b">
        <v>0</v>
      </c>
      <c r="AA166" s="108"/>
      <c r="AB166" s="108"/>
      <c r="AC166" s="108"/>
      <c r="AD166" s="108"/>
      <c r="AE166" s="131" t="e">
        <f>SUMIF('[2]TONG XUAT BUN 2026'!$B:$F,A166,'[2]TONG XUAT BUN 2026'!$F:$F)</f>
        <v>#VALUE!</v>
      </c>
      <c r="AF166" s="111" t="s">
        <v>457</v>
      </c>
    </row>
    <row r="167" spans="1:32" s="111" customFormat="1" ht="60" x14ac:dyDescent="0.3">
      <c r="A167" s="164" t="s">
        <v>477</v>
      </c>
      <c r="B167" s="164" t="s">
        <v>478</v>
      </c>
      <c r="C167" s="280" t="s">
        <v>102</v>
      </c>
      <c r="D167" s="115" t="s">
        <v>133</v>
      </c>
      <c r="E167" s="116" t="s">
        <v>471</v>
      </c>
      <c r="F167" s="156" t="s">
        <v>472</v>
      </c>
      <c r="G167" s="156" t="s">
        <v>476</v>
      </c>
      <c r="H167" s="149">
        <v>2000</v>
      </c>
      <c r="I167" s="120">
        <v>58</v>
      </c>
      <c r="J167" s="121">
        <v>58</v>
      </c>
      <c r="K167" s="157" t="s">
        <v>137</v>
      </c>
      <c r="L167" s="157" t="s">
        <v>76</v>
      </c>
      <c r="M167" s="157" t="s">
        <v>94</v>
      </c>
      <c r="N167" s="166"/>
      <c r="O167" s="123"/>
      <c r="P167" s="123" t="s">
        <v>58</v>
      </c>
      <c r="Q167" s="124">
        <v>46130</v>
      </c>
      <c r="R167" s="125">
        <f>S167-1</f>
        <v>46132</v>
      </c>
      <c r="S167" s="126">
        <v>46133</v>
      </c>
      <c r="T167" s="127" t="s">
        <v>59</v>
      </c>
      <c r="U167" s="128"/>
      <c r="V167" s="129">
        <f t="shared" si="3"/>
        <v>0</v>
      </c>
      <c r="W167" s="130">
        <v>0</v>
      </c>
      <c r="X167" s="130">
        <v>0</v>
      </c>
      <c r="Y167" s="130">
        <v>2000</v>
      </c>
      <c r="Z167" s="108" t="b">
        <v>0</v>
      </c>
      <c r="AA167" s="108"/>
      <c r="AB167" s="108"/>
      <c r="AC167" s="108"/>
      <c r="AD167" s="108"/>
      <c r="AE167" s="131" t="e">
        <f>SUMIF('[2]TONG XUAT BUN 2026'!$B:$F,A167,'[2]TONG XUAT BUN 2026'!$F:$F)</f>
        <v>#VALUE!</v>
      </c>
      <c r="AF167" s="111" t="s">
        <v>457</v>
      </c>
    </row>
    <row r="168" spans="1:32" s="111" customFormat="1" ht="60" x14ac:dyDescent="0.3">
      <c r="A168" s="132"/>
      <c r="B168" s="132"/>
      <c r="C168" s="281"/>
      <c r="D168" s="136"/>
      <c r="E168" s="135"/>
      <c r="F168" s="158"/>
      <c r="G168" s="158"/>
      <c r="H168" s="153"/>
      <c r="I168" s="138"/>
      <c r="J168" s="139"/>
      <c r="K168" s="159"/>
      <c r="L168" s="159"/>
      <c r="M168" s="159"/>
      <c r="N168" s="141"/>
      <c r="O168" s="143"/>
      <c r="P168" s="143"/>
      <c r="Q168" s="144"/>
      <c r="R168" s="145"/>
      <c r="S168" s="146"/>
      <c r="T168" s="147"/>
      <c r="U168" s="128"/>
      <c r="V168" s="129">
        <f t="shared" si="3"/>
        <v>0</v>
      </c>
      <c r="W168" s="130"/>
      <c r="X168" s="130"/>
      <c r="Y168" s="130"/>
      <c r="Z168" s="108"/>
      <c r="AA168" s="108"/>
      <c r="AB168" s="108"/>
      <c r="AC168" s="108"/>
      <c r="AD168" s="108"/>
      <c r="AE168" s="108"/>
      <c r="AF168" s="111" t="s">
        <v>457</v>
      </c>
    </row>
    <row r="169" spans="1:32" s="111" customFormat="1" ht="184.8" x14ac:dyDescent="0.3">
      <c r="A169" s="284" t="s">
        <v>479</v>
      </c>
      <c r="B169" s="213" t="s">
        <v>480</v>
      </c>
      <c r="C169" s="285" t="s">
        <v>102</v>
      </c>
      <c r="D169" s="217" t="s">
        <v>481</v>
      </c>
      <c r="E169" s="216" t="s">
        <v>482</v>
      </c>
      <c r="F169" s="217" t="s">
        <v>483</v>
      </c>
      <c r="G169" s="279" t="s">
        <v>484</v>
      </c>
      <c r="H169" s="218">
        <v>1</v>
      </c>
      <c r="I169" s="219">
        <v>1</v>
      </c>
      <c r="J169" s="220">
        <v>1</v>
      </c>
      <c r="K169" s="251" t="s">
        <v>137</v>
      </c>
      <c r="L169" s="221" t="s">
        <v>485</v>
      </c>
      <c r="M169" s="221" t="s">
        <v>486</v>
      </c>
      <c r="N169" s="286">
        <v>1</v>
      </c>
      <c r="O169" s="287" t="s">
        <v>487</v>
      </c>
      <c r="P169" s="288" t="s">
        <v>58</v>
      </c>
      <c r="Q169" s="289">
        <v>46127</v>
      </c>
      <c r="R169" s="225">
        <f>S169-1</f>
        <v>46128</v>
      </c>
      <c r="S169" s="226">
        <v>46129</v>
      </c>
      <c r="T169" s="227" t="s">
        <v>488</v>
      </c>
      <c r="U169" s="228">
        <v>1</v>
      </c>
      <c r="V169" s="129">
        <f t="shared" si="3"/>
        <v>0</v>
      </c>
      <c r="W169" s="229">
        <v>0</v>
      </c>
      <c r="X169" s="229">
        <v>0</v>
      </c>
      <c r="Y169" s="229">
        <v>1</v>
      </c>
      <c r="Z169" s="230" t="b">
        <v>1</v>
      </c>
      <c r="AA169" s="230"/>
      <c r="AB169" s="230"/>
      <c r="AC169" s="230"/>
      <c r="AD169" s="230"/>
      <c r="AE169" s="131" t="e">
        <f>SUMIF('[2]TONG XUAT BUN 2026'!$B:$F,A169,'[2]TONG XUAT BUN 2026'!$F:$F)</f>
        <v>#VALUE!</v>
      </c>
      <c r="AF169" s="111" t="s">
        <v>457</v>
      </c>
    </row>
    <row r="170" spans="1:32" s="111" customFormat="1" ht="60" x14ac:dyDescent="0.3">
      <c r="A170" s="132"/>
      <c r="B170" s="132"/>
      <c r="C170" s="281"/>
      <c r="D170" s="136"/>
      <c r="E170" s="135"/>
      <c r="F170" s="158"/>
      <c r="G170" s="158"/>
      <c r="H170" s="153"/>
      <c r="I170" s="138"/>
      <c r="J170" s="139"/>
      <c r="K170" s="159"/>
      <c r="L170" s="159"/>
      <c r="M170" s="159"/>
      <c r="N170" s="141"/>
      <c r="O170" s="143"/>
      <c r="P170" s="143"/>
      <c r="Q170" s="144"/>
      <c r="R170" s="145"/>
      <c r="S170" s="146"/>
      <c r="T170" s="147"/>
      <c r="U170" s="128"/>
      <c r="V170" s="129">
        <f t="shared" si="3"/>
        <v>0</v>
      </c>
      <c r="W170" s="130"/>
      <c r="X170" s="130"/>
      <c r="Y170" s="130"/>
      <c r="Z170" s="108"/>
      <c r="AA170" s="108"/>
      <c r="AB170" s="108"/>
      <c r="AC170" s="108"/>
      <c r="AD170" s="108"/>
      <c r="AE170" s="108"/>
      <c r="AF170" s="111" t="s">
        <v>457</v>
      </c>
    </row>
    <row r="171" spans="1:32" s="111" customFormat="1" ht="60" x14ac:dyDescent="0.3">
      <c r="A171" s="113" t="s">
        <v>489</v>
      </c>
      <c r="B171" s="164" t="s">
        <v>490</v>
      </c>
      <c r="C171" s="280" t="s">
        <v>102</v>
      </c>
      <c r="D171" s="117" t="s">
        <v>379</v>
      </c>
      <c r="E171" s="116" t="s">
        <v>491</v>
      </c>
      <c r="F171" s="156" t="s">
        <v>492</v>
      </c>
      <c r="G171" s="156" t="s">
        <v>493</v>
      </c>
      <c r="H171" s="168">
        <v>1000</v>
      </c>
      <c r="I171" s="120">
        <v>29</v>
      </c>
      <c r="J171" s="121">
        <v>29</v>
      </c>
      <c r="K171" s="157" t="s">
        <v>137</v>
      </c>
      <c r="L171" s="157" t="s">
        <v>76</v>
      </c>
      <c r="M171" s="157" t="s">
        <v>94</v>
      </c>
      <c r="N171" s="166">
        <v>29</v>
      </c>
      <c r="O171" s="117"/>
      <c r="P171" s="123" t="s">
        <v>58</v>
      </c>
      <c r="Q171" s="124">
        <v>46127</v>
      </c>
      <c r="R171" s="125">
        <f>S171-1</f>
        <v>46129</v>
      </c>
      <c r="S171" s="126">
        <v>46130</v>
      </c>
      <c r="T171" s="127" t="s">
        <v>59</v>
      </c>
      <c r="U171" s="128">
        <f>30</f>
        <v>30</v>
      </c>
      <c r="V171" s="129">
        <f t="shared" si="3"/>
        <v>1</v>
      </c>
      <c r="W171" s="130">
        <v>0</v>
      </c>
      <c r="X171" s="130">
        <v>0</v>
      </c>
      <c r="Y171" s="130">
        <v>1000</v>
      </c>
      <c r="Z171" s="108" t="b">
        <v>0</v>
      </c>
      <c r="AA171" s="108"/>
      <c r="AB171" s="108"/>
      <c r="AC171" s="108"/>
      <c r="AD171" s="108"/>
      <c r="AE171" s="131" t="e">
        <f>SUMIF('[2]TONG XUAT BUN 2026'!$B:$F,A171,'[2]TONG XUAT BUN 2026'!$F:$F)</f>
        <v>#VALUE!</v>
      </c>
      <c r="AF171" s="111" t="s">
        <v>457</v>
      </c>
    </row>
    <row r="172" spans="1:32" s="111" customFormat="1" ht="60" x14ac:dyDescent="0.3">
      <c r="A172" s="152"/>
      <c r="B172" s="132"/>
      <c r="C172" s="281"/>
      <c r="D172" s="140"/>
      <c r="E172" s="135"/>
      <c r="F172" s="158"/>
      <c r="G172" s="158"/>
      <c r="H172" s="169"/>
      <c r="I172" s="138"/>
      <c r="J172" s="139"/>
      <c r="K172" s="159"/>
      <c r="L172" s="159"/>
      <c r="M172" s="159"/>
      <c r="N172" s="141"/>
      <c r="O172" s="140"/>
      <c r="P172" s="143"/>
      <c r="Q172" s="144"/>
      <c r="R172" s="145"/>
      <c r="S172" s="146"/>
      <c r="T172" s="147"/>
      <c r="U172" s="128"/>
      <c r="V172" s="129">
        <f t="shared" si="3"/>
        <v>0</v>
      </c>
      <c r="W172" s="130"/>
      <c r="X172" s="130"/>
      <c r="Y172" s="130"/>
      <c r="Z172" s="108"/>
      <c r="AA172" s="108"/>
      <c r="AB172" s="108"/>
      <c r="AC172" s="108"/>
      <c r="AD172" s="108"/>
      <c r="AE172" s="108"/>
      <c r="AF172" s="111" t="s">
        <v>457</v>
      </c>
    </row>
    <row r="173" spans="1:32" s="111" customFormat="1" ht="60" x14ac:dyDescent="0.3">
      <c r="A173" s="290" t="s">
        <v>494</v>
      </c>
      <c r="B173" s="164" t="s">
        <v>495</v>
      </c>
      <c r="C173" s="280" t="s">
        <v>102</v>
      </c>
      <c r="D173" s="115" t="s">
        <v>71</v>
      </c>
      <c r="E173" s="116" t="s">
        <v>496</v>
      </c>
      <c r="F173" s="156" t="s">
        <v>497</v>
      </c>
      <c r="G173" s="156" t="s">
        <v>498</v>
      </c>
      <c r="H173" s="123">
        <v>300</v>
      </c>
      <c r="I173" s="120">
        <v>27</v>
      </c>
      <c r="J173" s="121">
        <v>27</v>
      </c>
      <c r="K173" s="157" t="s">
        <v>75</v>
      </c>
      <c r="L173" s="157" t="s">
        <v>76</v>
      </c>
      <c r="M173" s="157" t="s">
        <v>56</v>
      </c>
      <c r="N173" s="166">
        <v>29</v>
      </c>
      <c r="O173" s="123"/>
      <c r="P173" s="123" t="s">
        <v>58</v>
      </c>
      <c r="Q173" s="124">
        <v>46127</v>
      </c>
      <c r="R173" s="125">
        <f>S173-1</f>
        <v>46129</v>
      </c>
      <c r="S173" s="126">
        <v>46130</v>
      </c>
      <c r="T173" s="127" t="s">
        <v>59</v>
      </c>
      <c r="U173" s="128">
        <v>29</v>
      </c>
      <c r="V173" s="129">
        <f t="shared" si="3"/>
        <v>0</v>
      </c>
      <c r="W173" s="130">
        <v>0</v>
      </c>
      <c r="X173" s="130">
        <v>0</v>
      </c>
      <c r="Y173" s="130">
        <v>300</v>
      </c>
      <c r="Z173" s="108" t="b">
        <v>0</v>
      </c>
      <c r="AA173" s="108"/>
      <c r="AB173" s="108"/>
      <c r="AC173" s="108"/>
      <c r="AD173" s="108"/>
      <c r="AE173" s="131" t="e">
        <f>SUMIF('[2]TONG XUAT BUN 2026'!$B:$F,A173,'[2]TONG XUAT BUN 2026'!$F:$F)</f>
        <v>#VALUE!</v>
      </c>
      <c r="AF173" s="111" t="s">
        <v>457</v>
      </c>
    </row>
    <row r="174" spans="1:32" s="111" customFormat="1" ht="79.2" x14ac:dyDescent="0.3">
      <c r="A174" s="164" t="s">
        <v>499</v>
      </c>
      <c r="B174" s="164" t="s">
        <v>500</v>
      </c>
      <c r="C174" s="280" t="s">
        <v>102</v>
      </c>
      <c r="D174" s="115" t="s">
        <v>120</v>
      </c>
      <c r="E174" s="116" t="s">
        <v>496</v>
      </c>
      <c r="F174" s="148" t="s">
        <v>497</v>
      </c>
      <c r="G174" s="113" t="s">
        <v>498</v>
      </c>
      <c r="H174" s="168">
        <v>22</v>
      </c>
      <c r="I174" s="120">
        <v>2</v>
      </c>
      <c r="J174" s="121">
        <v>2</v>
      </c>
      <c r="K174" s="117" t="s">
        <v>75</v>
      </c>
      <c r="L174" s="117" t="s">
        <v>55</v>
      </c>
      <c r="M174" s="117" t="s">
        <v>56</v>
      </c>
      <c r="N174" s="166"/>
      <c r="O174" s="123"/>
      <c r="P174" s="123" t="s">
        <v>58</v>
      </c>
      <c r="Q174" s="124">
        <v>46133</v>
      </c>
      <c r="R174" s="125">
        <f>S174-1</f>
        <v>46135</v>
      </c>
      <c r="S174" s="126">
        <v>46136</v>
      </c>
      <c r="T174" s="127" t="s">
        <v>59</v>
      </c>
      <c r="U174" s="128"/>
      <c r="V174" s="129">
        <f t="shared" si="3"/>
        <v>0</v>
      </c>
      <c r="W174" s="130">
        <v>0</v>
      </c>
      <c r="X174" s="130">
        <v>0</v>
      </c>
      <c r="Y174" s="130">
        <v>22</v>
      </c>
      <c r="Z174" s="108" t="b">
        <v>1</v>
      </c>
      <c r="AA174" s="108"/>
      <c r="AB174" s="108"/>
      <c r="AC174" s="108"/>
      <c r="AD174" s="108"/>
      <c r="AE174" s="131" t="e">
        <f>SUMIF('[2]TONG XUAT BUN 2026'!$B:$F,A174,'[2]TONG XUAT BUN 2026'!$F:$F)</f>
        <v>#VALUE!</v>
      </c>
      <c r="AF174" s="111" t="s">
        <v>457</v>
      </c>
    </row>
    <row r="175" spans="1:32" s="111" customFormat="1" ht="60" x14ac:dyDescent="0.3">
      <c r="A175" s="132"/>
      <c r="B175" s="132"/>
      <c r="C175" s="281"/>
      <c r="D175" s="136"/>
      <c r="E175" s="135"/>
      <c r="F175" s="134"/>
      <c r="G175" s="152"/>
      <c r="H175" s="169"/>
      <c r="I175" s="138"/>
      <c r="J175" s="139"/>
      <c r="K175" s="140"/>
      <c r="L175" s="140"/>
      <c r="M175" s="140"/>
      <c r="N175" s="141"/>
      <c r="O175" s="143"/>
      <c r="P175" s="143"/>
      <c r="Q175" s="144"/>
      <c r="R175" s="145"/>
      <c r="S175" s="146"/>
      <c r="T175" s="147"/>
      <c r="U175" s="128"/>
      <c r="V175" s="129">
        <f t="shared" si="3"/>
        <v>0</v>
      </c>
      <c r="W175" s="130"/>
      <c r="X175" s="130"/>
      <c r="Y175" s="130"/>
      <c r="Z175" s="108"/>
      <c r="AA175" s="108"/>
      <c r="AB175" s="108"/>
      <c r="AC175" s="108"/>
      <c r="AD175" s="108"/>
      <c r="AE175" s="108"/>
      <c r="AF175" s="111" t="s">
        <v>457</v>
      </c>
    </row>
    <row r="176" spans="1:32" s="111" customFormat="1" ht="60" x14ac:dyDescent="0.3">
      <c r="A176" s="269" t="s">
        <v>501</v>
      </c>
      <c r="B176" s="164" t="s">
        <v>502</v>
      </c>
      <c r="C176" s="280" t="s">
        <v>102</v>
      </c>
      <c r="D176" s="115" t="s">
        <v>162</v>
      </c>
      <c r="E176" s="116" t="s">
        <v>503</v>
      </c>
      <c r="F176" s="171" t="s">
        <v>504</v>
      </c>
      <c r="G176" s="171" t="s">
        <v>505</v>
      </c>
      <c r="H176" s="123">
        <v>1000</v>
      </c>
      <c r="I176" s="120">
        <v>18</v>
      </c>
      <c r="J176" s="121">
        <v>18</v>
      </c>
      <c r="K176" s="171" t="s">
        <v>75</v>
      </c>
      <c r="L176" s="171" t="s">
        <v>76</v>
      </c>
      <c r="M176" s="171" t="s">
        <v>145</v>
      </c>
      <c r="N176" s="166">
        <v>18</v>
      </c>
      <c r="O176" s="123"/>
      <c r="P176" s="123" t="s">
        <v>58</v>
      </c>
      <c r="Q176" s="124">
        <v>46128</v>
      </c>
      <c r="R176" s="125">
        <f>S176-1-1</f>
        <v>46130</v>
      </c>
      <c r="S176" s="126">
        <v>46132</v>
      </c>
      <c r="T176" s="127" t="s">
        <v>59</v>
      </c>
      <c r="U176" s="128">
        <f>20-2</f>
        <v>18</v>
      </c>
      <c r="V176" s="129">
        <f t="shared" si="3"/>
        <v>0</v>
      </c>
      <c r="W176" s="130">
        <v>0</v>
      </c>
      <c r="X176" s="130">
        <v>0</v>
      </c>
      <c r="Y176" s="130">
        <v>1000</v>
      </c>
      <c r="Z176" s="108" t="b">
        <v>1</v>
      </c>
      <c r="AA176" s="108"/>
      <c r="AB176" s="108"/>
      <c r="AC176" s="108"/>
      <c r="AD176" s="108"/>
      <c r="AE176" s="131" t="e">
        <f>SUMIF('[2]TONG XUAT BUN 2026'!$B:$F,A176,'[2]TONG XUAT BUN 2026'!$F:$F)</f>
        <v>#VALUE!</v>
      </c>
      <c r="AF176" s="111" t="s">
        <v>457</v>
      </c>
    </row>
    <row r="177" spans="1:32" s="111" customFormat="1" ht="60" x14ac:dyDescent="0.3">
      <c r="A177" s="152"/>
      <c r="B177" s="132"/>
      <c r="C177" s="281"/>
      <c r="D177" s="136"/>
      <c r="E177" s="135"/>
      <c r="F177" s="291"/>
      <c r="G177" s="291"/>
      <c r="H177" s="143"/>
      <c r="I177" s="138"/>
      <c r="J177" s="139"/>
      <c r="K177" s="291"/>
      <c r="L177" s="291"/>
      <c r="M177" s="291"/>
      <c r="N177" s="141"/>
      <c r="O177" s="143"/>
      <c r="P177" s="143"/>
      <c r="Q177" s="144"/>
      <c r="R177" s="145"/>
      <c r="S177" s="146"/>
      <c r="T177" s="147"/>
      <c r="U177" s="128"/>
      <c r="V177" s="129">
        <f t="shared" si="3"/>
        <v>0</v>
      </c>
      <c r="W177" s="130"/>
      <c r="X177" s="130"/>
      <c r="Y177" s="130"/>
      <c r="Z177" s="108"/>
      <c r="AA177" s="108"/>
      <c r="AB177" s="108"/>
      <c r="AC177" s="108"/>
      <c r="AD177" s="108"/>
      <c r="AE177" s="108"/>
      <c r="AF177" s="111" t="s">
        <v>457</v>
      </c>
    </row>
    <row r="178" spans="1:32" s="111" customFormat="1" ht="60" x14ac:dyDescent="0.3">
      <c r="A178" s="164" t="s">
        <v>506</v>
      </c>
      <c r="B178" s="164" t="s">
        <v>507</v>
      </c>
      <c r="C178" s="280" t="s">
        <v>102</v>
      </c>
      <c r="D178" s="115" t="s">
        <v>63</v>
      </c>
      <c r="E178" s="116" t="s">
        <v>508</v>
      </c>
      <c r="F178" s="148" t="s">
        <v>509</v>
      </c>
      <c r="G178" s="113" t="s">
        <v>510</v>
      </c>
      <c r="H178" s="149">
        <v>48</v>
      </c>
      <c r="I178" s="120">
        <v>4</v>
      </c>
      <c r="J178" s="121">
        <v>4</v>
      </c>
      <c r="K178" s="117" t="s">
        <v>463</v>
      </c>
      <c r="L178" s="117" t="s">
        <v>55</v>
      </c>
      <c r="M178" s="117" t="s">
        <v>56</v>
      </c>
      <c r="N178" s="166">
        <v>4</v>
      </c>
      <c r="O178" s="123"/>
      <c r="P178" s="123" t="s">
        <v>58</v>
      </c>
      <c r="Q178" s="124">
        <v>46130</v>
      </c>
      <c r="R178" s="125">
        <f>S178-1</f>
        <v>46132</v>
      </c>
      <c r="S178" s="126">
        <v>46133</v>
      </c>
      <c r="T178" s="127" t="s">
        <v>59</v>
      </c>
      <c r="U178" s="128">
        <v>4</v>
      </c>
      <c r="V178" s="129">
        <f t="shared" si="3"/>
        <v>0</v>
      </c>
      <c r="W178" s="130">
        <v>0</v>
      </c>
      <c r="X178" s="130">
        <v>0</v>
      </c>
      <c r="Y178" s="130">
        <v>48</v>
      </c>
      <c r="Z178" s="108" t="b">
        <v>1</v>
      </c>
      <c r="AA178" s="108"/>
      <c r="AB178" s="108"/>
      <c r="AC178" s="108"/>
      <c r="AD178" s="108"/>
      <c r="AE178" s="131" t="e">
        <f>SUMIF('[2]TONG XUAT BUN 2026'!$B:$F,A178,'[2]TONG XUAT BUN 2026'!$F:$F)</f>
        <v>#VALUE!</v>
      </c>
      <c r="AF178" s="111" t="s">
        <v>457</v>
      </c>
    </row>
    <row r="179" spans="1:32" s="111" customFormat="1" ht="60" x14ac:dyDescent="0.3">
      <c r="A179" s="132"/>
      <c r="B179" s="132"/>
      <c r="C179" s="281"/>
      <c r="D179" s="136"/>
      <c r="E179" s="135"/>
      <c r="F179" s="134"/>
      <c r="G179" s="152"/>
      <c r="H179" s="153"/>
      <c r="I179" s="138"/>
      <c r="J179" s="139"/>
      <c r="K179" s="140"/>
      <c r="L179" s="140"/>
      <c r="M179" s="140"/>
      <c r="N179" s="141"/>
      <c r="O179" s="143"/>
      <c r="P179" s="143"/>
      <c r="Q179" s="144"/>
      <c r="R179" s="145"/>
      <c r="S179" s="146"/>
      <c r="T179" s="147"/>
      <c r="U179" s="128"/>
      <c r="V179" s="129">
        <f t="shared" si="3"/>
        <v>0</v>
      </c>
      <c r="W179" s="130"/>
      <c r="X179" s="130"/>
      <c r="Y179" s="130"/>
      <c r="Z179" s="108"/>
      <c r="AA179" s="108"/>
      <c r="AB179" s="108"/>
      <c r="AC179" s="108"/>
      <c r="AD179" s="108"/>
      <c r="AE179" s="108"/>
      <c r="AF179" s="111" t="s">
        <v>457</v>
      </c>
    </row>
    <row r="180" spans="1:32" s="111" customFormat="1" ht="60" x14ac:dyDescent="0.3">
      <c r="A180" s="164" t="s">
        <v>511</v>
      </c>
      <c r="B180" s="164" t="s">
        <v>512</v>
      </c>
      <c r="C180" s="280" t="s">
        <v>102</v>
      </c>
      <c r="D180" s="115" t="s">
        <v>133</v>
      </c>
      <c r="E180" s="116" t="s">
        <v>513</v>
      </c>
      <c r="F180" s="156" t="s">
        <v>514</v>
      </c>
      <c r="G180" s="156" t="s">
        <v>515</v>
      </c>
      <c r="H180" s="149">
        <v>2500</v>
      </c>
      <c r="I180" s="120">
        <v>36</v>
      </c>
      <c r="J180" s="121">
        <v>36</v>
      </c>
      <c r="K180" s="157" t="s">
        <v>137</v>
      </c>
      <c r="L180" s="157" t="s">
        <v>76</v>
      </c>
      <c r="M180" s="157" t="s">
        <v>94</v>
      </c>
      <c r="N180" s="166">
        <v>36</v>
      </c>
      <c r="O180" s="123"/>
      <c r="P180" s="123" t="s">
        <v>58</v>
      </c>
      <c r="Q180" s="124">
        <v>46128</v>
      </c>
      <c r="R180" s="125">
        <f>S180-1-1</f>
        <v>46130</v>
      </c>
      <c r="S180" s="126">
        <v>46132</v>
      </c>
      <c r="T180" s="127" t="s">
        <v>59</v>
      </c>
      <c r="U180" s="128">
        <f>39-6+3</f>
        <v>36</v>
      </c>
      <c r="V180" s="129">
        <f t="shared" si="3"/>
        <v>0</v>
      </c>
      <c r="W180" s="130">
        <v>0</v>
      </c>
      <c r="X180" s="130">
        <v>0</v>
      </c>
      <c r="Y180" s="130">
        <v>2500</v>
      </c>
      <c r="Z180" s="108" t="b">
        <v>0</v>
      </c>
      <c r="AA180" s="108"/>
      <c r="AB180" s="108"/>
      <c r="AC180" s="108"/>
      <c r="AD180" s="108"/>
      <c r="AE180" s="131" t="e">
        <f>SUMIF('[2]TONG XUAT BUN 2026'!$B:$F,A180,'[2]TONG XUAT BUN 2026'!$F:$F)</f>
        <v>#VALUE!</v>
      </c>
      <c r="AF180" s="111" t="s">
        <v>457</v>
      </c>
    </row>
    <row r="181" spans="1:32" s="111" customFormat="1" ht="60" x14ac:dyDescent="0.3">
      <c r="A181" s="132"/>
      <c r="B181" s="132"/>
      <c r="C181" s="281"/>
      <c r="D181" s="136"/>
      <c r="E181" s="135"/>
      <c r="F181" s="158"/>
      <c r="G181" s="158"/>
      <c r="H181" s="153"/>
      <c r="I181" s="138"/>
      <c r="J181" s="139"/>
      <c r="K181" s="159"/>
      <c r="L181" s="159"/>
      <c r="M181" s="159"/>
      <c r="N181" s="141"/>
      <c r="O181" s="143"/>
      <c r="P181" s="143"/>
      <c r="Q181" s="144"/>
      <c r="R181" s="145"/>
      <c r="S181" s="146"/>
      <c r="T181" s="147"/>
      <c r="U181" s="128"/>
      <c r="V181" s="129">
        <f t="shared" si="3"/>
        <v>0</v>
      </c>
      <c r="W181" s="130"/>
      <c r="X181" s="130"/>
      <c r="Y181" s="130"/>
      <c r="Z181" s="108"/>
      <c r="AA181" s="108"/>
      <c r="AB181" s="108"/>
      <c r="AC181" s="108"/>
      <c r="AD181" s="108"/>
      <c r="AE181" s="108"/>
      <c r="AF181" s="111" t="s">
        <v>457</v>
      </c>
    </row>
    <row r="182" spans="1:32" s="111" customFormat="1" ht="60" x14ac:dyDescent="0.3">
      <c r="A182" s="164" t="s">
        <v>516</v>
      </c>
      <c r="B182" s="164" t="s">
        <v>517</v>
      </c>
      <c r="C182" s="283" t="s">
        <v>149</v>
      </c>
      <c r="D182" s="115" t="s">
        <v>133</v>
      </c>
      <c r="E182" s="116" t="s">
        <v>518</v>
      </c>
      <c r="F182" s="156" t="s">
        <v>519</v>
      </c>
      <c r="G182" s="156" t="s">
        <v>520</v>
      </c>
      <c r="H182" s="149">
        <v>2500</v>
      </c>
      <c r="I182" s="120">
        <v>76</v>
      </c>
      <c r="J182" s="121">
        <v>76</v>
      </c>
      <c r="K182" s="157" t="s">
        <v>137</v>
      </c>
      <c r="L182" s="157" t="s">
        <v>76</v>
      </c>
      <c r="M182" s="157" t="s">
        <v>94</v>
      </c>
      <c r="N182" s="166">
        <f>107-6</f>
        <v>101</v>
      </c>
      <c r="O182" s="93" t="s">
        <v>521</v>
      </c>
      <c r="P182" s="123" t="s">
        <v>58</v>
      </c>
      <c r="Q182" s="124">
        <v>46128</v>
      </c>
      <c r="R182" s="125">
        <f>S182-1-1</f>
        <v>46130</v>
      </c>
      <c r="S182" s="126">
        <v>46132</v>
      </c>
      <c r="T182" s="127" t="s">
        <v>59</v>
      </c>
      <c r="U182" s="128">
        <f>7+97</f>
        <v>104</v>
      </c>
      <c r="V182" s="129">
        <f t="shared" si="3"/>
        <v>3</v>
      </c>
      <c r="W182" s="130">
        <v>0</v>
      </c>
      <c r="X182" s="130">
        <v>0</v>
      </c>
      <c r="Y182" s="130">
        <v>2500</v>
      </c>
      <c r="Z182" s="108" t="b">
        <v>0</v>
      </c>
      <c r="AA182" s="108"/>
      <c r="AB182" s="108"/>
      <c r="AC182" s="108"/>
      <c r="AD182" s="108"/>
      <c r="AE182" s="131" t="e">
        <f>SUMIF('[2]TONG XUAT BUN 2026'!$B:$F,A182,'[2]TONG XUAT BUN 2026'!$F:$F)</f>
        <v>#VALUE!</v>
      </c>
      <c r="AF182" s="111" t="s">
        <v>457</v>
      </c>
    </row>
    <row r="183" spans="1:32" s="111" customFormat="1" ht="60" x14ac:dyDescent="0.3">
      <c r="A183" s="164" t="s">
        <v>522</v>
      </c>
      <c r="B183" s="113" t="s">
        <v>523</v>
      </c>
      <c r="C183" s="280" t="s">
        <v>155</v>
      </c>
      <c r="D183" s="148" t="s">
        <v>524</v>
      </c>
      <c r="E183" s="116" t="s">
        <v>518</v>
      </c>
      <c r="F183" s="156" t="s">
        <v>519</v>
      </c>
      <c r="G183" s="156" t="s">
        <v>520</v>
      </c>
      <c r="H183" s="123">
        <v>1000</v>
      </c>
      <c r="I183" s="120">
        <v>31</v>
      </c>
      <c r="J183" s="121">
        <v>31</v>
      </c>
      <c r="K183" s="292" t="s">
        <v>137</v>
      </c>
      <c r="L183" s="117" t="s">
        <v>76</v>
      </c>
      <c r="M183" s="117" t="s">
        <v>94</v>
      </c>
      <c r="N183" s="122" t="s">
        <v>525</v>
      </c>
      <c r="O183" s="123"/>
      <c r="P183" s="123" t="s">
        <v>58</v>
      </c>
      <c r="Q183" s="124">
        <v>46130</v>
      </c>
      <c r="R183" s="185">
        <f>S183-1</f>
        <v>46133</v>
      </c>
      <c r="S183" s="126">
        <v>46134</v>
      </c>
      <c r="T183" s="127" t="s">
        <v>211</v>
      </c>
      <c r="U183" s="128"/>
      <c r="V183" s="129"/>
      <c r="W183" s="130">
        <v>0</v>
      </c>
      <c r="X183" s="130">
        <v>0</v>
      </c>
      <c r="Y183" s="130">
        <v>1000</v>
      </c>
      <c r="Z183" s="108" t="b">
        <v>0</v>
      </c>
      <c r="AA183" s="108" t="s">
        <v>526</v>
      </c>
      <c r="AB183" s="108"/>
      <c r="AC183" s="108"/>
      <c r="AD183" s="108"/>
      <c r="AE183" s="131" t="e">
        <f>SUMIF('[2]TONG XUAT BUN 2026'!$B:$F,A183,'[2]TONG XUAT BUN 2026'!$F:$F)</f>
        <v>#VALUE!</v>
      </c>
      <c r="AF183" s="111" t="s">
        <v>457</v>
      </c>
    </row>
    <row r="184" spans="1:32" s="111" customFormat="1" ht="60" x14ac:dyDescent="0.3">
      <c r="A184" s="132"/>
      <c r="B184" s="132"/>
      <c r="C184" s="281"/>
      <c r="D184" s="136"/>
      <c r="E184" s="135"/>
      <c r="F184" s="158"/>
      <c r="G184" s="158"/>
      <c r="H184" s="153"/>
      <c r="I184" s="138"/>
      <c r="J184" s="139"/>
      <c r="K184" s="159"/>
      <c r="L184" s="159"/>
      <c r="M184" s="159"/>
      <c r="N184" s="141"/>
      <c r="O184" s="143"/>
      <c r="P184" s="143"/>
      <c r="Q184" s="144"/>
      <c r="R184" s="145"/>
      <c r="S184" s="146"/>
      <c r="T184" s="147"/>
      <c r="U184" s="128"/>
      <c r="V184" s="129">
        <f t="shared" si="3"/>
        <v>0</v>
      </c>
      <c r="W184" s="130"/>
      <c r="X184" s="130"/>
      <c r="Y184" s="130"/>
      <c r="Z184" s="108"/>
      <c r="AA184" s="108"/>
      <c r="AB184" s="108"/>
      <c r="AC184" s="108"/>
      <c r="AD184" s="108"/>
      <c r="AE184" s="108"/>
      <c r="AF184" s="111" t="s">
        <v>457</v>
      </c>
    </row>
    <row r="185" spans="1:32" s="111" customFormat="1" ht="60" x14ac:dyDescent="0.3">
      <c r="A185" s="113" t="s">
        <v>527</v>
      </c>
      <c r="B185" s="164" t="s">
        <v>528</v>
      </c>
      <c r="C185" s="280" t="s">
        <v>155</v>
      </c>
      <c r="D185" s="117" t="s">
        <v>379</v>
      </c>
      <c r="E185" s="116" t="s">
        <v>529</v>
      </c>
      <c r="F185" s="156" t="s">
        <v>530</v>
      </c>
      <c r="G185" s="156" t="s">
        <v>531</v>
      </c>
      <c r="H185" s="168">
        <v>500</v>
      </c>
      <c r="I185" s="120">
        <v>15</v>
      </c>
      <c r="J185" s="121">
        <v>15</v>
      </c>
      <c r="K185" s="157" t="s">
        <v>137</v>
      </c>
      <c r="L185" s="157" t="s">
        <v>76</v>
      </c>
      <c r="M185" s="157" t="s">
        <v>94</v>
      </c>
      <c r="N185" s="166">
        <v>15</v>
      </c>
      <c r="O185" s="117"/>
      <c r="P185" s="123" t="s">
        <v>58</v>
      </c>
      <c r="Q185" s="124">
        <v>46128</v>
      </c>
      <c r="R185" s="125">
        <f>S185-1-1</f>
        <v>46130</v>
      </c>
      <c r="S185" s="126">
        <v>46132</v>
      </c>
      <c r="T185" s="127" t="s">
        <v>59</v>
      </c>
      <c r="U185" s="128">
        <v>15</v>
      </c>
      <c r="V185" s="129">
        <f t="shared" si="3"/>
        <v>0</v>
      </c>
      <c r="W185" s="130">
        <v>0</v>
      </c>
      <c r="X185" s="130">
        <v>0</v>
      </c>
      <c r="Y185" s="130">
        <v>500</v>
      </c>
      <c r="Z185" s="108" t="b">
        <v>0</v>
      </c>
      <c r="AA185" s="108"/>
      <c r="AB185" s="108"/>
      <c r="AC185" s="108"/>
      <c r="AD185" s="108"/>
      <c r="AE185" s="131" t="e">
        <f>SUMIF('[2]TONG XUAT BUN 2026'!$B:$F,A185,'[2]TONG XUAT BUN 2026'!$F:$F)</f>
        <v>#VALUE!</v>
      </c>
      <c r="AF185" s="111" t="s">
        <v>457</v>
      </c>
    </row>
    <row r="186" spans="1:32" s="111" customFormat="1" ht="60" x14ac:dyDescent="0.3">
      <c r="A186" s="152"/>
      <c r="B186" s="132"/>
      <c r="C186" s="281"/>
      <c r="D186" s="140"/>
      <c r="E186" s="135"/>
      <c r="F186" s="158"/>
      <c r="G186" s="158"/>
      <c r="H186" s="169"/>
      <c r="I186" s="138"/>
      <c r="J186" s="139"/>
      <c r="K186" s="159"/>
      <c r="L186" s="159"/>
      <c r="M186" s="159"/>
      <c r="N186" s="141"/>
      <c r="O186" s="140"/>
      <c r="P186" s="143"/>
      <c r="Q186" s="144"/>
      <c r="R186" s="145"/>
      <c r="S186" s="146"/>
      <c r="T186" s="147"/>
      <c r="U186" s="128"/>
      <c r="V186" s="129">
        <f t="shared" si="3"/>
        <v>0</v>
      </c>
      <c r="W186" s="130"/>
      <c r="X186" s="130"/>
      <c r="Y186" s="130"/>
      <c r="Z186" s="108"/>
      <c r="AA186" s="108"/>
      <c r="AB186" s="108"/>
      <c r="AC186" s="108"/>
      <c r="AD186" s="108"/>
      <c r="AE186" s="108"/>
      <c r="AF186" s="111" t="s">
        <v>457</v>
      </c>
    </row>
    <row r="187" spans="1:32" s="111" customFormat="1" ht="60" x14ac:dyDescent="0.3">
      <c r="A187" s="164" t="s">
        <v>532</v>
      </c>
      <c r="B187" s="164" t="s">
        <v>533</v>
      </c>
      <c r="C187" s="280" t="s">
        <v>155</v>
      </c>
      <c r="D187" s="148" t="s">
        <v>534</v>
      </c>
      <c r="E187" s="116" t="s">
        <v>535</v>
      </c>
      <c r="F187" s="156" t="s">
        <v>536</v>
      </c>
      <c r="G187" s="156" t="s">
        <v>537</v>
      </c>
      <c r="H187" s="149">
        <v>2500</v>
      </c>
      <c r="I187" s="120">
        <v>81</v>
      </c>
      <c r="J187" s="121">
        <v>81</v>
      </c>
      <c r="K187" s="156" t="s">
        <v>83</v>
      </c>
      <c r="L187" s="117" t="s">
        <v>76</v>
      </c>
      <c r="M187" s="156" t="s">
        <v>56</v>
      </c>
      <c r="N187" s="166">
        <f>223-5</f>
        <v>218</v>
      </c>
      <c r="O187" s="92" t="s">
        <v>538</v>
      </c>
      <c r="P187" s="123" t="s">
        <v>58</v>
      </c>
      <c r="Q187" s="124">
        <v>46128</v>
      </c>
      <c r="R187" s="125">
        <f>S187-1-1</f>
        <v>46130</v>
      </c>
      <c r="S187" s="126">
        <v>46132</v>
      </c>
      <c r="T187" s="127" t="s">
        <v>59</v>
      </c>
      <c r="U187" s="128">
        <f>203-9+24</f>
        <v>218</v>
      </c>
      <c r="V187" s="129">
        <f t="shared" si="3"/>
        <v>0</v>
      </c>
      <c r="W187" s="130">
        <v>0</v>
      </c>
      <c r="X187" s="130">
        <v>0</v>
      </c>
      <c r="Y187" s="130">
        <v>2500</v>
      </c>
      <c r="Z187" s="108" t="b">
        <v>0</v>
      </c>
      <c r="AA187" s="108"/>
      <c r="AB187" s="108"/>
      <c r="AC187" s="108"/>
      <c r="AD187" s="108"/>
      <c r="AE187" s="131" t="e">
        <f>SUMIF('[2]TONG XUAT BUN 2026'!$B:$F,A187,'[2]TONG XUAT BUN 2026'!$F:$F)</f>
        <v>#VALUE!</v>
      </c>
      <c r="AF187" s="111" t="s">
        <v>457</v>
      </c>
    </row>
    <row r="188" spans="1:32" s="111" customFormat="1" ht="60" x14ac:dyDescent="0.3">
      <c r="A188" s="164" t="s">
        <v>539</v>
      </c>
      <c r="B188" s="164" t="s">
        <v>540</v>
      </c>
      <c r="C188" s="163" t="s">
        <v>161</v>
      </c>
      <c r="D188" s="148" t="s">
        <v>534</v>
      </c>
      <c r="E188" s="116" t="s">
        <v>535</v>
      </c>
      <c r="F188" s="156" t="s">
        <v>536</v>
      </c>
      <c r="G188" s="156" t="s">
        <v>537</v>
      </c>
      <c r="H188" s="149">
        <v>2500</v>
      </c>
      <c r="I188" s="120">
        <v>81</v>
      </c>
      <c r="J188" s="121">
        <v>81</v>
      </c>
      <c r="K188" s="156" t="s">
        <v>83</v>
      </c>
      <c r="L188" s="117" t="s">
        <v>76</v>
      </c>
      <c r="M188" s="156" t="s">
        <v>56</v>
      </c>
      <c r="N188" s="166" t="s">
        <v>541</v>
      </c>
      <c r="O188" s="117"/>
      <c r="P188" s="123" t="s">
        <v>58</v>
      </c>
      <c r="Q188" s="150">
        <v>46129</v>
      </c>
      <c r="R188" s="125">
        <f>S188-1-1</f>
        <v>46130</v>
      </c>
      <c r="S188" s="126">
        <v>46132</v>
      </c>
      <c r="T188" s="127" t="s">
        <v>59</v>
      </c>
      <c r="U188" s="128"/>
      <c r="V188" s="129"/>
      <c r="W188" s="130">
        <v>0</v>
      </c>
      <c r="X188" s="130">
        <v>0</v>
      </c>
      <c r="Y188" s="130">
        <v>2500</v>
      </c>
      <c r="Z188" s="108" t="b">
        <v>0</v>
      </c>
      <c r="AA188" s="108"/>
      <c r="AB188" s="108"/>
      <c r="AC188" s="108"/>
      <c r="AD188" s="108"/>
      <c r="AE188" s="131" t="e">
        <f>SUMIF('[2]TONG XUAT BUN 2026'!$B:$F,A188,'[2]TONG XUAT BUN 2026'!$F:$F)</f>
        <v>#VALUE!</v>
      </c>
      <c r="AF188" s="111" t="s">
        <v>457</v>
      </c>
    </row>
    <row r="189" spans="1:32" s="111" customFormat="1" ht="60" x14ac:dyDescent="0.3">
      <c r="A189" s="164" t="s">
        <v>542</v>
      </c>
      <c r="B189" s="164" t="s">
        <v>543</v>
      </c>
      <c r="C189" s="172" t="s">
        <v>263</v>
      </c>
      <c r="D189" s="117" t="s">
        <v>175</v>
      </c>
      <c r="E189" s="116" t="s">
        <v>535</v>
      </c>
      <c r="F189" s="148" t="s">
        <v>544</v>
      </c>
      <c r="G189" s="113" t="s">
        <v>545</v>
      </c>
      <c r="H189" s="168">
        <v>1380</v>
      </c>
      <c r="I189" s="120">
        <v>61</v>
      </c>
      <c r="J189" s="121">
        <v>61</v>
      </c>
      <c r="K189" s="117" t="s">
        <v>83</v>
      </c>
      <c r="L189" s="117" t="s">
        <v>55</v>
      </c>
      <c r="M189" s="117" t="s">
        <v>56</v>
      </c>
      <c r="N189" s="166"/>
      <c r="O189" s="123"/>
      <c r="P189" s="123" t="s">
        <v>58</v>
      </c>
      <c r="Q189" s="124">
        <v>46134</v>
      </c>
      <c r="R189" s="125">
        <f>S189-1</f>
        <v>46136</v>
      </c>
      <c r="S189" s="126">
        <v>46137</v>
      </c>
      <c r="T189" s="127" t="s">
        <v>59</v>
      </c>
      <c r="U189" s="128"/>
      <c r="V189" s="129">
        <f t="shared" si="3"/>
        <v>0</v>
      </c>
      <c r="W189" s="130">
        <v>0</v>
      </c>
      <c r="X189" s="130">
        <v>0</v>
      </c>
      <c r="Y189" s="130">
        <v>1380</v>
      </c>
      <c r="Z189" s="108" t="b">
        <v>1</v>
      </c>
      <c r="AA189" s="108"/>
      <c r="AB189" s="108"/>
      <c r="AC189" s="108"/>
      <c r="AD189" s="108"/>
      <c r="AE189" s="131" t="e">
        <f>SUMIF('[2]TONG XUAT BUN 2026'!$B:$F,A189,'[2]TONG XUAT BUN 2026'!$F:$F)</f>
        <v>#VALUE!</v>
      </c>
      <c r="AF189" s="111" t="s">
        <v>457</v>
      </c>
    </row>
    <row r="190" spans="1:32" s="111" customFormat="1" ht="60" x14ac:dyDescent="0.3">
      <c r="A190" s="132"/>
      <c r="B190" s="132"/>
      <c r="C190" s="160"/>
      <c r="D190" s="140"/>
      <c r="E190" s="135"/>
      <c r="F190" s="134"/>
      <c r="G190" s="152"/>
      <c r="H190" s="169"/>
      <c r="I190" s="138"/>
      <c r="J190" s="139"/>
      <c r="K190" s="140"/>
      <c r="L190" s="140"/>
      <c r="M190" s="140"/>
      <c r="N190" s="141"/>
      <c r="O190" s="143"/>
      <c r="P190" s="143"/>
      <c r="Q190" s="144"/>
      <c r="R190" s="145"/>
      <c r="S190" s="146"/>
      <c r="T190" s="147"/>
      <c r="U190" s="128"/>
      <c r="V190" s="129">
        <f t="shared" si="3"/>
        <v>0</v>
      </c>
      <c r="W190" s="130"/>
      <c r="X190" s="130"/>
      <c r="Y190" s="130"/>
      <c r="Z190" s="108"/>
      <c r="AA190" s="108"/>
      <c r="AB190" s="108"/>
      <c r="AC190" s="108"/>
      <c r="AD190" s="108"/>
      <c r="AE190" s="108"/>
      <c r="AF190" s="111" t="s">
        <v>457</v>
      </c>
    </row>
    <row r="191" spans="1:32" s="111" customFormat="1" ht="60" x14ac:dyDescent="0.3">
      <c r="A191" s="164" t="s">
        <v>546</v>
      </c>
      <c r="B191" s="164" t="s">
        <v>547</v>
      </c>
      <c r="C191" s="172" t="s">
        <v>270</v>
      </c>
      <c r="D191" s="115" t="s">
        <v>63</v>
      </c>
      <c r="E191" s="116" t="s">
        <v>548</v>
      </c>
      <c r="F191" s="148" t="s">
        <v>549</v>
      </c>
      <c r="G191" s="113" t="s">
        <v>550</v>
      </c>
      <c r="H191" s="149">
        <v>80</v>
      </c>
      <c r="I191" s="120">
        <v>2</v>
      </c>
      <c r="J191" s="121">
        <v>2</v>
      </c>
      <c r="K191" s="117" t="s">
        <v>463</v>
      </c>
      <c r="L191" s="117" t="s">
        <v>55</v>
      </c>
      <c r="M191" s="117" t="s">
        <v>56</v>
      </c>
      <c r="N191" s="166">
        <v>2</v>
      </c>
      <c r="O191" s="123"/>
      <c r="P191" s="123" t="s">
        <v>58</v>
      </c>
      <c r="Q191" s="124">
        <v>46130</v>
      </c>
      <c r="R191" s="125">
        <f>S191-1</f>
        <v>46132</v>
      </c>
      <c r="S191" s="126">
        <v>46133</v>
      </c>
      <c r="T191" s="127" t="s">
        <v>59</v>
      </c>
      <c r="U191" s="128">
        <v>2</v>
      </c>
      <c r="V191" s="129">
        <f t="shared" si="3"/>
        <v>0</v>
      </c>
      <c r="W191" s="130">
        <v>0</v>
      </c>
      <c r="X191" s="130">
        <v>0</v>
      </c>
      <c r="Y191" s="130">
        <v>80</v>
      </c>
      <c r="Z191" s="108" t="b">
        <v>1</v>
      </c>
      <c r="AA191" s="108"/>
      <c r="AB191" s="108"/>
      <c r="AC191" s="108"/>
      <c r="AD191" s="108"/>
      <c r="AE191" s="131" t="e">
        <f>SUMIF('[2]TONG XUAT BUN 2026'!$B:$F,A191,'[2]TONG XUAT BUN 2026'!$F:$F)</f>
        <v>#VALUE!</v>
      </c>
      <c r="AF191" s="111" t="s">
        <v>457</v>
      </c>
    </row>
    <row r="192" spans="1:32" s="111" customFormat="1" ht="60" x14ac:dyDescent="0.3">
      <c r="A192" s="132"/>
      <c r="B192" s="132"/>
      <c r="C192" s="281"/>
      <c r="D192" s="136"/>
      <c r="E192" s="135"/>
      <c r="F192" s="134"/>
      <c r="G192" s="152"/>
      <c r="H192" s="153"/>
      <c r="I192" s="138"/>
      <c r="J192" s="139"/>
      <c r="K192" s="140"/>
      <c r="L192" s="140"/>
      <c r="M192" s="140"/>
      <c r="N192" s="141"/>
      <c r="O192" s="143"/>
      <c r="P192" s="143"/>
      <c r="Q192" s="144"/>
      <c r="R192" s="145"/>
      <c r="S192" s="146"/>
      <c r="T192" s="147"/>
      <c r="U192" s="128"/>
      <c r="V192" s="129">
        <f t="shared" si="3"/>
        <v>0</v>
      </c>
      <c r="W192" s="130"/>
      <c r="X192" s="130"/>
      <c r="Y192" s="130"/>
      <c r="Z192" s="108"/>
      <c r="AA192" s="108"/>
      <c r="AB192" s="108"/>
      <c r="AC192" s="108"/>
      <c r="AD192" s="108"/>
      <c r="AE192" s="108"/>
      <c r="AF192" s="111" t="s">
        <v>457</v>
      </c>
    </row>
    <row r="193" spans="1:42" s="111" customFormat="1" ht="60" x14ac:dyDescent="0.3">
      <c r="A193" s="173" t="s">
        <v>551</v>
      </c>
      <c r="B193" s="164" t="s">
        <v>552</v>
      </c>
      <c r="C193" s="172" t="s">
        <v>270</v>
      </c>
      <c r="D193" s="115" t="s">
        <v>179</v>
      </c>
      <c r="E193" s="116" t="s">
        <v>553</v>
      </c>
      <c r="F193" s="148" t="s">
        <v>554</v>
      </c>
      <c r="G193" s="113" t="s">
        <v>555</v>
      </c>
      <c r="H193" s="168">
        <v>26</v>
      </c>
      <c r="I193" s="120">
        <v>1</v>
      </c>
      <c r="J193" s="121">
        <v>1</v>
      </c>
      <c r="K193" s="117" t="s">
        <v>223</v>
      </c>
      <c r="L193" s="117" t="s">
        <v>55</v>
      </c>
      <c r="M193" s="117" t="s">
        <v>56</v>
      </c>
      <c r="N193" s="166">
        <v>1</v>
      </c>
      <c r="O193" s="174" t="s">
        <v>176</v>
      </c>
      <c r="P193" s="123" t="s">
        <v>58</v>
      </c>
      <c r="Q193" s="150">
        <v>46130</v>
      </c>
      <c r="R193" s="125">
        <f>S193-1</f>
        <v>46132</v>
      </c>
      <c r="S193" s="126">
        <v>46133</v>
      </c>
      <c r="T193" s="127" t="s">
        <v>59</v>
      </c>
      <c r="U193" s="128">
        <v>1</v>
      </c>
      <c r="V193" s="129">
        <f t="shared" si="3"/>
        <v>0</v>
      </c>
      <c r="W193" s="130">
        <v>0</v>
      </c>
      <c r="X193" s="130">
        <v>0</v>
      </c>
      <c r="Y193" s="130">
        <v>26</v>
      </c>
      <c r="Z193" s="108" t="b">
        <v>1</v>
      </c>
      <c r="AA193" s="108"/>
      <c r="AB193" s="108"/>
      <c r="AC193" s="108"/>
      <c r="AD193" s="108"/>
      <c r="AE193" s="131" t="e">
        <f>SUMIF('[2]TONG XUAT BUN 2026'!$B:$F,A193,'[2]TONG XUAT BUN 2026'!$F:$F)</f>
        <v>#VALUE!</v>
      </c>
      <c r="AF193" s="111" t="s">
        <v>457</v>
      </c>
    </row>
    <row r="194" spans="1:42" s="111" customFormat="1" ht="60" x14ac:dyDescent="0.3">
      <c r="A194" s="132"/>
      <c r="B194" s="132"/>
      <c r="C194" s="281"/>
      <c r="D194" s="136"/>
      <c r="E194" s="135"/>
      <c r="F194" s="134"/>
      <c r="G194" s="152"/>
      <c r="H194" s="169"/>
      <c r="I194" s="138"/>
      <c r="J194" s="139"/>
      <c r="K194" s="140"/>
      <c r="L194" s="140"/>
      <c r="M194" s="140"/>
      <c r="N194" s="141"/>
      <c r="O194" s="143"/>
      <c r="P194" s="143"/>
      <c r="Q194" s="144"/>
      <c r="R194" s="145"/>
      <c r="S194" s="146"/>
      <c r="T194" s="147"/>
      <c r="U194" s="128"/>
      <c r="V194" s="129">
        <f t="shared" si="3"/>
        <v>0</v>
      </c>
      <c r="W194" s="130"/>
      <c r="X194" s="130"/>
      <c r="Y194" s="130"/>
      <c r="Z194" s="108"/>
      <c r="AA194" s="108"/>
      <c r="AB194" s="108"/>
      <c r="AC194" s="108"/>
      <c r="AD194" s="108"/>
      <c r="AE194" s="108"/>
      <c r="AF194" s="111" t="s">
        <v>457</v>
      </c>
    </row>
    <row r="195" spans="1:42" s="111" customFormat="1" ht="60" x14ac:dyDescent="0.3">
      <c r="A195" s="113" t="s">
        <v>556</v>
      </c>
      <c r="B195" s="164" t="s">
        <v>557</v>
      </c>
      <c r="C195" s="172" t="s">
        <v>270</v>
      </c>
      <c r="D195" s="117" t="s">
        <v>379</v>
      </c>
      <c r="E195" s="116" t="s">
        <v>558</v>
      </c>
      <c r="F195" s="156" t="s">
        <v>559</v>
      </c>
      <c r="G195" s="156" t="s">
        <v>560</v>
      </c>
      <c r="H195" s="168">
        <v>1500</v>
      </c>
      <c r="I195" s="120">
        <v>43</v>
      </c>
      <c r="J195" s="121">
        <v>43</v>
      </c>
      <c r="K195" s="157" t="s">
        <v>137</v>
      </c>
      <c r="L195" s="157" t="s">
        <v>76</v>
      </c>
      <c r="M195" s="157" t="s">
        <v>94</v>
      </c>
      <c r="N195" s="166">
        <v>43</v>
      </c>
      <c r="O195" s="117"/>
      <c r="P195" s="123" t="s">
        <v>58</v>
      </c>
      <c r="Q195" s="124">
        <v>46130</v>
      </c>
      <c r="R195" s="125">
        <f>S195-1</f>
        <v>46132</v>
      </c>
      <c r="S195" s="126">
        <v>46133</v>
      </c>
      <c r="T195" s="127" t="s">
        <v>59</v>
      </c>
      <c r="U195" s="128">
        <f>46-3</f>
        <v>43</v>
      </c>
      <c r="V195" s="129">
        <f t="shared" si="3"/>
        <v>0</v>
      </c>
      <c r="W195" s="130">
        <v>0</v>
      </c>
      <c r="X195" s="130">
        <v>0</v>
      </c>
      <c r="Y195" s="130">
        <v>1500</v>
      </c>
      <c r="Z195" s="108" t="b">
        <v>0</v>
      </c>
      <c r="AA195" s="108"/>
      <c r="AB195" s="108"/>
      <c r="AC195" s="108"/>
      <c r="AD195" s="108"/>
      <c r="AE195" s="131" t="e">
        <f>SUMIF('[2]TONG XUAT BUN 2026'!$B:$F,A195,'[2]TONG XUAT BUN 2026'!$F:$F)</f>
        <v>#VALUE!</v>
      </c>
      <c r="AF195" s="111" t="s">
        <v>457</v>
      </c>
    </row>
    <row r="196" spans="1:42" s="111" customFormat="1" ht="60" x14ac:dyDescent="0.3">
      <c r="A196" s="152"/>
      <c r="B196" s="132"/>
      <c r="C196" s="281"/>
      <c r="D196" s="140"/>
      <c r="E196" s="135"/>
      <c r="F196" s="158"/>
      <c r="G196" s="158"/>
      <c r="H196" s="169"/>
      <c r="I196" s="138"/>
      <c r="J196" s="139"/>
      <c r="K196" s="159"/>
      <c r="L196" s="159"/>
      <c r="M196" s="159"/>
      <c r="N196" s="141"/>
      <c r="O196" s="140"/>
      <c r="P196" s="143"/>
      <c r="Q196" s="144"/>
      <c r="R196" s="145"/>
      <c r="S196" s="146"/>
      <c r="T196" s="147"/>
      <c r="U196" s="128"/>
      <c r="V196" s="129">
        <f t="shared" si="3"/>
        <v>0</v>
      </c>
      <c r="W196" s="130"/>
      <c r="X196" s="130"/>
      <c r="Y196" s="130"/>
      <c r="Z196" s="108"/>
      <c r="AA196" s="108"/>
      <c r="AB196" s="108"/>
      <c r="AC196" s="108"/>
      <c r="AD196" s="108"/>
      <c r="AE196" s="108"/>
      <c r="AF196" s="111" t="s">
        <v>457</v>
      </c>
    </row>
    <row r="197" spans="1:42" s="111" customFormat="1" ht="60" x14ac:dyDescent="0.3">
      <c r="A197" s="164" t="s">
        <v>561</v>
      </c>
      <c r="B197" s="164" t="s">
        <v>562</v>
      </c>
      <c r="C197" s="172" t="s">
        <v>270</v>
      </c>
      <c r="D197" s="115" t="s">
        <v>563</v>
      </c>
      <c r="E197" s="116" t="s">
        <v>564</v>
      </c>
      <c r="F197" s="186" t="s">
        <v>565</v>
      </c>
      <c r="G197" s="186" t="s">
        <v>566</v>
      </c>
      <c r="H197" s="168">
        <v>350</v>
      </c>
      <c r="I197" s="120">
        <v>10</v>
      </c>
      <c r="J197" s="121">
        <v>10</v>
      </c>
      <c r="K197" s="115"/>
      <c r="L197" s="117" t="s">
        <v>294</v>
      </c>
      <c r="M197" s="117" t="s">
        <v>145</v>
      </c>
      <c r="N197" s="166">
        <v>48</v>
      </c>
      <c r="O197" s="123"/>
      <c r="P197" s="123" t="s">
        <v>58</v>
      </c>
      <c r="Q197" s="124">
        <v>46130</v>
      </c>
      <c r="R197" s="125">
        <f>S197-1</f>
        <v>46133</v>
      </c>
      <c r="S197" s="126">
        <v>46134</v>
      </c>
      <c r="T197" s="127" t="s">
        <v>59</v>
      </c>
      <c r="U197" s="128">
        <v>55</v>
      </c>
      <c r="V197" s="129">
        <f t="shared" si="3"/>
        <v>7</v>
      </c>
      <c r="W197" s="130">
        <v>0</v>
      </c>
      <c r="X197" s="130">
        <v>0</v>
      </c>
      <c r="Y197" s="130">
        <v>350</v>
      </c>
      <c r="Z197" s="108" t="b">
        <v>1</v>
      </c>
      <c r="AA197" s="108"/>
      <c r="AB197" s="108"/>
      <c r="AC197" s="108"/>
      <c r="AD197" s="108"/>
      <c r="AE197" s="131" t="e">
        <f>SUMIF('[2]TONG XUAT BUN 2026'!$B:$F,A197,'[2]TONG XUAT BUN 2026'!$F:$F)</f>
        <v>#VALUE!</v>
      </c>
      <c r="AF197" s="111" t="s">
        <v>457</v>
      </c>
    </row>
    <row r="198" spans="1:42" s="111" customFormat="1" ht="60" x14ac:dyDescent="0.3">
      <c r="A198" s="164" t="s">
        <v>567</v>
      </c>
      <c r="B198" s="164" t="s">
        <v>568</v>
      </c>
      <c r="C198" s="172" t="s">
        <v>270</v>
      </c>
      <c r="D198" s="115" t="s">
        <v>392</v>
      </c>
      <c r="E198" s="116" t="s">
        <v>564</v>
      </c>
      <c r="F198" s="186" t="s">
        <v>569</v>
      </c>
      <c r="G198" s="186" t="s">
        <v>570</v>
      </c>
      <c r="H198" s="168">
        <v>252</v>
      </c>
      <c r="I198" s="120">
        <v>9</v>
      </c>
      <c r="J198" s="121">
        <v>9</v>
      </c>
      <c r="K198" s="115"/>
      <c r="L198" s="117" t="s">
        <v>294</v>
      </c>
      <c r="M198" s="117" t="s">
        <v>145</v>
      </c>
      <c r="N198" s="166"/>
      <c r="O198" s="123"/>
      <c r="P198" s="123" t="s">
        <v>58</v>
      </c>
      <c r="Q198" s="124">
        <v>46133</v>
      </c>
      <c r="R198" s="125">
        <f>S198-1</f>
        <v>46135</v>
      </c>
      <c r="S198" s="126">
        <v>46136</v>
      </c>
      <c r="T198" s="127" t="s">
        <v>59</v>
      </c>
      <c r="U198" s="128"/>
      <c r="V198" s="129">
        <f t="shared" si="3"/>
        <v>0</v>
      </c>
      <c r="W198" s="130">
        <v>0</v>
      </c>
      <c r="X198" s="130">
        <v>0</v>
      </c>
      <c r="Y198" s="130">
        <v>252</v>
      </c>
      <c r="Z198" s="108" t="b">
        <v>1</v>
      </c>
      <c r="AA198" s="108"/>
      <c r="AB198" s="108"/>
      <c r="AC198" s="108"/>
      <c r="AD198" s="108"/>
      <c r="AE198" s="131" t="e">
        <f>SUMIF('[2]TONG XUAT BUN 2026'!$B:$F,A198,'[2]TONG XUAT BUN 2026'!$F:$F)</f>
        <v>#VALUE!</v>
      </c>
      <c r="AF198" s="111" t="s">
        <v>457</v>
      </c>
    </row>
    <row r="199" spans="1:42" s="111" customFormat="1" ht="60" x14ac:dyDescent="0.3">
      <c r="A199" s="164" t="s">
        <v>571</v>
      </c>
      <c r="B199" s="164" t="s">
        <v>572</v>
      </c>
      <c r="C199" s="172" t="s">
        <v>270</v>
      </c>
      <c r="D199" s="115" t="s">
        <v>392</v>
      </c>
      <c r="E199" s="116" t="s">
        <v>564</v>
      </c>
      <c r="F199" s="186" t="s">
        <v>565</v>
      </c>
      <c r="G199" s="186" t="s">
        <v>566</v>
      </c>
      <c r="H199" s="168">
        <v>1015</v>
      </c>
      <c r="I199" s="120">
        <v>29</v>
      </c>
      <c r="J199" s="121">
        <v>29</v>
      </c>
      <c r="K199" s="115"/>
      <c r="L199" s="117" t="s">
        <v>294</v>
      </c>
      <c r="M199" s="117" t="s">
        <v>145</v>
      </c>
      <c r="N199" s="166"/>
      <c r="O199" s="123"/>
      <c r="P199" s="123" t="s">
        <v>58</v>
      </c>
      <c r="Q199" s="124">
        <v>46133</v>
      </c>
      <c r="R199" s="125">
        <f>S199-1</f>
        <v>46135</v>
      </c>
      <c r="S199" s="126">
        <v>46136</v>
      </c>
      <c r="T199" s="127" t="s">
        <v>59</v>
      </c>
      <c r="U199" s="128"/>
      <c r="V199" s="129">
        <f t="shared" si="3"/>
        <v>0</v>
      </c>
      <c r="W199" s="130">
        <v>0</v>
      </c>
      <c r="X199" s="130">
        <v>0</v>
      </c>
      <c r="Y199" s="130">
        <v>1015</v>
      </c>
      <c r="Z199" s="108" t="b">
        <v>1</v>
      </c>
      <c r="AA199" s="108"/>
      <c r="AB199" s="108"/>
      <c r="AC199" s="108"/>
      <c r="AD199" s="108"/>
      <c r="AE199" s="131" t="e">
        <f>SUMIF('[2]TONG XUAT BUN 2026'!$B:$F,A199,'[2]TONG XUAT BUN 2026'!$F:$F)</f>
        <v>#VALUE!</v>
      </c>
      <c r="AF199" s="111" t="s">
        <v>457</v>
      </c>
    </row>
    <row r="200" spans="1:42" s="209" customFormat="1" ht="60" x14ac:dyDescent="0.3">
      <c r="A200" s="189"/>
      <c r="B200" s="190"/>
      <c r="C200" s="191"/>
      <c r="D200" s="190"/>
      <c r="E200" s="192"/>
      <c r="F200" s="189"/>
      <c r="G200" s="193" t="s">
        <v>267</v>
      </c>
      <c r="H200" s="194"/>
      <c r="I200" s="195"/>
      <c r="J200" s="191"/>
      <c r="K200" s="196"/>
      <c r="L200" s="197"/>
      <c r="M200" s="197"/>
      <c r="N200" s="198"/>
      <c r="O200" s="199"/>
      <c r="P200" s="200"/>
      <c r="Q200" s="201"/>
      <c r="R200" s="202"/>
      <c r="S200" s="203"/>
      <c r="T200" s="204"/>
      <c r="U200" s="205"/>
      <c r="V200" s="129">
        <f t="shared" si="3"/>
        <v>0</v>
      </c>
      <c r="W200" s="206"/>
      <c r="X200" s="206"/>
      <c r="Y200" s="206"/>
      <c r="Z200" s="207"/>
      <c r="AA200" s="208"/>
      <c r="AB200" s="207"/>
      <c r="AC200" s="207"/>
      <c r="AD200" s="207"/>
      <c r="AE200" s="207"/>
      <c r="AI200" s="210"/>
      <c r="AJ200" s="210"/>
      <c r="AK200" s="210"/>
      <c r="AL200" s="210"/>
      <c r="AM200" s="210"/>
      <c r="AN200" s="211"/>
      <c r="AO200" s="211"/>
      <c r="AP200" s="210"/>
    </row>
    <row r="201" spans="1:42" s="111" customFormat="1" ht="79.2" x14ac:dyDescent="0.3">
      <c r="A201" s="212" t="s">
        <v>573</v>
      </c>
      <c r="B201" s="213" t="s">
        <v>574</v>
      </c>
      <c r="C201" s="172" t="s">
        <v>270</v>
      </c>
      <c r="D201" s="221" t="s">
        <v>290</v>
      </c>
      <c r="E201" s="216" t="s">
        <v>508</v>
      </c>
      <c r="F201" s="215" t="s">
        <v>575</v>
      </c>
      <c r="G201" s="215" t="s">
        <v>576</v>
      </c>
      <c r="H201" s="246">
        <v>138</v>
      </c>
      <c r="I201" s="219">
        <v>4</v>
      </c>
      <c r="J201" s="220">
        <v>4</v>
      </c>
      <c r="K201" s="221"/>
      <c r="L201" s="221" t="s">
        <v>294</v>
      </c>
      <c r="M201" s="221" t="s">
        <v>145</v>
      </c>
      <c r="N201" s="222">
        <v>4</v>
      </c>
      <c r="O201" s="223"/>
      <c r="P201" s="223" t="s">
        <v>58</v>
      </c>
      <c r="Q201" s="224">
        <v>46130</v>
      </c>
      <c r="R201" s="225">
        <f>S201-1</f>
        <v>46133</v>
      </c>
      <c r="S201" s="226">
        <v>46134</v>
      </c>
      <c r="T201" s="227" t="s">
        <v>68</v>
      </c>
      <c r="U201" s="228">
        <v>4</v>
      </c>
      <c r="V201" s="129">
        <f t="shared" si="3"/>
        <v>0</v>
      </c>
      <c r="W201" s="229">
        <v>0</v>
      </c>
      <c r="X201" s="229">
        <v>0</v>
      </c>
      <c r="Y201" s="229">
        <v>138</v>
      </c>
      <c r="Z201" s="230" t="b">
        <v>0</v>
      </c>
      <c r="AA201" s="230"/>
      <c r="AB201" s="230"/>
      <c r="AC201" s="230"/>
      <c r="AD201" s="230"/>
      <c r="AE201" s="131" t="e">
        <f>SUMIF('[2]TONG XUAT BUN 2026'!$B:$F,A201,'[2]TONG XUAT BUN 2026'!$F:$F)</f>
        <v>#VALUE!</v>
      </c>
    </row>
    <row r="202" spans="1:42" s="111" customFormat="1" ht="60" x14ac:dyDescent="0.3">
      <c r="A202" s="231"/>
      <c r="B202" s="232"/>
      <c r="C202" s="293"/>
      <c r="D202" s="234"/>
      <c r="E202" s="235"/>
      <c r="F202" s="236"/>
      <c r="G202" s="236"/>
      <c r="H202" s="237"/>
      <c r="I202" s="238"/>
      <c r="J202" s="239"/>
      <c r="K202" s="234"/>
      <c r="L202" s="234"/>
      <c r="M202" s="234"/>
      <c r="N202" s="240"/>
      <c r="O202" s="241"/>
      <c r="P202" s="241"/>
      <c r="Q202" s="242"/>
      <c r="R202" s="243"/>
      <c r="S202" s="244"/>
      <c r="T202" s="245"/>
      <c r="U202" s="228"/>
      <c r="V202" s="129">
        <f t="shared" si="3"/>
        <v>0</v>
      </c>
      <c r="W202" s="229"/>
      <c r="X202" s="229"/>
      <c r="Y202" s="229"/>
      <c r="Z202" s="230"/>
      <c r="AA202" s="230"/>
      <c r="AB202" s="230"/>
      <c r="AC202" s="230"/>
      <c r="AD202" s="230"/>
      <c r="AE202" s="230"/>
    </row>
    <row r="203" spans="1:42" s="111" customFormat="1" ht="105.6" x14ac:dyDescent="0.3">
      <c r="A203" s="212" t="s">
        <v>577</v>
      </c>
      <c r="B203" s="213" t="s">
        <v>578</v>
      </c>
      <c r="C203" s="172" t="s">
        <v>270</v>
      </c>
      <c r="D203" s="221" t="s">
        <v>277</v>
      </c>
      <c r="E203" s="216" t="s">
        <v>503</v>
      </c>
      <c r="F203" s="215" t="s">
        <v>579</v>
      </c>
      <c r="G203" s="215" t="s">
        <v>580</v>
      </c>
      <c r="H203" s="246">
        <v>11</v>
      </c>
      <c r="I203" s="219">
        <v>2</v>
      </c>
      <c r="J203" s="220">
        <v>2</v>
      </c>
      <c r="K203" s="221" t="s">
        <v>75</v>
      </c>
      <c r="L203" s="221" t="s">
        <v>55</v>
      </c>
      <c r="M203" s="221" t="s">
        <v>56</v>
      </c>
      <c r="N203" s="222">
        <v>2</v>
      </c>
      <c r="O203" s="223"/>
      <c r="P203" s="223" t="s">
        <v>58</v>
      </c>
      <c r="Q203" s="224">
        <v>46130</v>
      </c>
      <c r="R203" s="225">
        <f>S203-1</f>
        <v>46133</v>
      </c>
      <c r="S203" s="226">
        <v>46134</v>
      </c>
      <c r="T203" s="227" t="s">
        <v>68</v>
      </c>
      <c r="U203" s="228">
        <v>2</v>
      </c>
      <c r="V203" s="129">
        <f t="shared" si="3"/>
        <v>0</v>
      </c>
      <c r="W203" s="229">
        <v>0</v>
      </c>
      <c r="X203" s="229">
        <v>0</v>
      </c>
      <c r="Y203" s="229">
        <v>11</v>
      </c>
      <c r="Z203" s="230" t="b">
        <v>0</v>
      </c>
      <c r="AA203" s="230"/>
      <c r="AB203" s="230"/>
      <c r="AC203" s="230"/>
      <c r="AD203" s="230"/>
      <c r="AE203" s="131" t="e">
        <f>SUMIF('[2]TONG XUAT BUN 2026'!$B:$F,A203,'[2]TONG XUAT BUN 2026'!$F:$F)</f>
        <v>#VALUE!</v>
      </c>
    </row>
    <row r="204" spans="1:42" s="111" customFormat="1" ht="60" x14ac:dyDescent="0.3">
      <c r="A204" s="231"/>
      <c r="B204" s="232"/>
      <c r="C204" s="293"/>
      <c r="D204" s="234"/>
      <c r="E204" s="235"/>
      <c r="F204" s="236"/>
      <c r="G204" s="236"/>
      <c r="H204" s="237"/>
      <c r="I204" s="238"/>
      <c r="J204" s="239"/>
      <c r="K204" s="234"/>
      <c r="L204" s="234"/>
      <c r="M204" s="234"/>
      <c r="N204" s="240"/>
      <c r="O204" s="241"/>
      <c r="P204" s="241"/>
      <c r="Q204" s="242"/>
      <c r="R204" s="243"/>
      <c r="S204" s="244"/>
      <c r="T204" s="245"/>
      <c r="U204" s="228"/>
      <c r="V204" s="129">
        <f t="shared" si="3"/>
        <v>0</v>
      </c>
      <c r="W204" s="229"/>
      <c r="X204" s="229"/>
      <c r="Y204" s="229"/>
      <c r="Z204" s="230"/>
      <c r="AA204" s="230"/>
      <c r="AB204" s="230"/>
      <c r="AC204" s="230"/>
      <c r="AD204" s="230"/>
      <c r="AE204" s="230"/>
    </row>
    <row r="205" spans="1:42" s="111" customFormat="1" ht="79.2" x14ac:dyDescent="0.3">
      <c r="A205" s="212" t="s">
        <v>581</v>
      </c>
      <c r="B205" s="213" t="s">
        <v>582</v>
      </c>
      <c r="C205" s="172" t="s">
        <v>270</v>
      </c>
      <c r="D205" s="221" t="s">
        <v>290</v>
      </c>
      <c r="E205" s="216" t="s">
        <v>583</v>
      </c>
      <c r="F205" s="215" t="s">
        <v>584</v>
      </c>
      <c r="G205" s="215" t="s">
        <v>585</v>
      </c>
      <c r="H205" s="246">
        <v>92</v>
      </c>
      <c r="I205" s="219">
        <v>3</v>
      </c>
      <c r="J205" s="220">
        <v>3</v>
      </c>
      <c r="K205" s="221"/>
      <c r="L205" s="221" t="s">
        <v>294</v>
      </c>
      <c r="M205" s="221" t="s">
        <v>145</v>
      </c>
      <c r="N205" s="222">
        <v>3</v>
      </c>
      <c r="O205" s="223"/>
      <c r="P205" s="223" t="s">
        <v>58</v>
      </c>
      <c r="Q205" s="224">
        <v>46130</v>
      </c>
      <c r="R205" s="225">
        <f>S205-1</f>
        <v>46133</v>
      </c>
      <c r="S205" s="226">
        <v>46134</v>
      </c>
      <c r="T205" s="227" t="s">
        <v>68</v>
      </c>
      <c r="U205" s="228">
        <v>3</v>
      </c>
      <c r="V205" s="129">
        <f t="shared" ref="V205:V223" si="4">U205-N205</f>
        <v>0</v>
      </c>
      <c r="W205" s="229">
        <v>0</v>
      </c>
      <c r="X205" s="229">
        <v>0</v>
      </c>
      <c r="Y205" s="229">
        <v>92</v>
      </c>
      <c r="Z205" s="230" t="b">
        <v>0</v>
      </c>
      <c r="AA205" s="230"/>
      <c r="AB205" s="230"/>
      <c r="AC205" s="230"/>
      <c r="AD205" s="230"/>
      <c r="AE205" s="131" t="e">
        <f>SUMIF('[2]TONG XUAT BUN 2026'!$B:$F,A205,'[2]TONG XUAT BUN 2026'!$F:$F)</f>
        <v>#VALUE!</v>
      </c>
    </row>
    <row r="206" spans="1:42" s="111" customFormat="1" ht="60" x14ac:dyDescent="0.3">
      <c r="A206" s="231"/>
      <c r="B206" s="232"/>
      <c r="C206" s="293"/>
      <c r="D206" s="234"/>
      <c r="E206" s="235"/>
      <c r="F206" s="236"/>
      <c r="G206" s="236"/>
      <c r="H206" s="237"/>
      <c r="I206" s="238"/>
      <c r="J206" s="239"/>
      <c r="K206" s="234"/>
      <c r="L206" s="234"/>
      <c r="M206" s="234"/>
      <c r="N206" s="240"/>
      <c r="O206" s="241"/>
      <c r="P206" s="241"/>
      <c r="Q206" s="242"/>
      <c r="R206" s="243"/>
      <c r="S206" s="244"/>
      <c r="T206" s="245"/>
      <c r="U206" s="228"/>
      <c r="V206" s="129">
        <f t="shared" si="4"/>
        <v>0</v>
      </c>
      <c r="W206" s="229"/>
      <c r="X206" s="229"/>
      <c r="Y206" s="229"/>
      <c r="Z206" s="230"/>
      <c r="AA206" s="230"/>
      <c r="AB206" s="230"/>
      <c r="AC206" s="230"/>
      <c r="AD206" s="230"/>
      <c r="AE206" s="230"/>
    </row>
    <row r="207" spans="1:42" s="111" customFormat="1" ht="60" x14ac:dyDescent="0.3">
      <c r="A207" s="212" t="s">
        <v>586</v>
      </c>
      <c r="B207" s="213" t="s">
        <v>587</v>
      </c>
      <c r="C207" s="172" t="s">
        <v>270</v>
      </c>
      <c r="D207" s="215" t="s">
        <v>451</v>
      </c>
      <c r="E207" s="216" t="s">
        <v>588</v>
      </c>
      <c r="F207" s="217" t="s">
        <v>589</v>
      </c>
      <c r="G207" s="279" t="s">
        <v>590</v>
      </c>
      <c r="H207" s="218">
        <v>70</v>
      </c>
      <c r="I207" s="219">
        <v>2</v>
      </c>
      <c r="J207" s="220">
        <v>2</v>
      </c>
      <c r="K207" s="215"/>
      <c r="L207" s="221" t="s">
        <v>294</v>
      </c>
      <c r="M207" s="221" t="s">
        <v>145</v>
      </c>
      <c r="N207" s="222">
        <v>2</v>
      </c>
      <c r="O207" s="223"/>
      <c r="P207" s="223" t="s">
        <v>58</v>
      </c>
      <c r="Q207" s="224">
        <v>46130</v>
      </c>
      <c r="R207" s="225">
        <f>S207-1</f>
        <v>46133</v>
      </c>
      <c r="S207" s="226">
        <v>46134</v>
      </c>
      <c r="T207" s="227" t="s">
        <v>68</v>
      </c>
      <c r="U207" s="228">
        <f>2</f>
        <v>2</v>
      </c>
      <c r="V207" s="129">
        <f t="shared" si="4"/>
        <v>0</v>
      </c>
      <c r="W207" s="229">
        <v>0</v>
      </c>
      <c r="X207" s="229">
        <v>0</v>
      </c>
      <c r="Y207" s="229">
        <v>70</v>
      </c>
      <c r="Z207" s="230" t="b">
        <v>0</v>
      </c>
      <c r="AA207" s="230"/>
      <c r="AB207" s="230"/>
      <c r="AC207" s="230"/>
      <c r="AD207" s="230"/>
      <c r="AE207" s="131" t="e">
        <f>SUMIF('[2]TONG XUAT BUN 2026'!$B:$F,A207,'[2]TONG XUAT BUN 2026'!$F:$F)</f>
        <v>#VALUE!</v>
      </c>
    </row>
    <row r="208" spans="1:42" s="111" customFormat="1" ht="60" x14ac:dyDescent="0.3">
      <c r="A208" s="231"/>
      <c r="B208" s="232"/>
      <c r="C208" s="293"/>
      <c r="D208" s="236"/>
      <c r="E208" s="235"/>
      <c r="F208" s="277"/>
      <c r="G208" s="294"/>
      <c r="H208" s="278"/>
      <c r="I208" s="238"/>
      <c r="J208" s="239"/>
      <c r="K208" s="236"/>
      <c r="L208" s="234"/>
      <c r="M208" s="234"/>
      <c r="N208" s="240"/>
      <c r="O208" s="241"/>
      <c r="P208" s="241"/>
      <c r="Q208" s="242"/>
      <c r="R208" s="243"/>
      <c r="S208" s="244"/>
      <c r="T208" s="245"/>
      <c r="U208" s="228"/>
      <c r="V208" s="129">
        <f t="shared" si="4"/>
        <v>0</v>
      </c>
      <c r="W208" s="229"/>
      <c r="X208" s="229"/>
      <c r="Y208" s="229"/>
      <c r="Z208" s="230"/>
      <c r="AA208" s="230"/>
      <c r="AB208" s="230"/>
      <c r="AC208" s="230"/>
      <c r="AD208" s="230"/>
      <c r="AE208" s="230"/>
    </row>
    <row r="209" spans="1:42" s="111" customFormat="1" ht="60" x14ac:dyDescent="0.3">
      <c r="A209" s="212" t="s">
        <v>591</v>
      </c>
      <c r="B209" s="213" t="s">
        <v>592</v>
      </c>
      <c r="C209" s="172" t="s">
        <v>270</v>
      </c>
      <c r="D209" s="215" t="s">
        <v>271</v>
      </c>
      <c r="E209" s="216" t="s">
        <v>593</v>
      </c>
      <c r="F209" s="217" t="s">
        <v>594</v>
      </c>
      <c r="G209" s="213" t="s">
        <v>595</v>
      </c>
      <c r="H209" s="218">
        <v>80</v>
      </c>
      <c r="I209" s="219">
        <v>8</v>
      </c>
      <c r="J209" s="220">
        <v>8</v>
      </c>
      <c r="K209" s="221" t="s">
        <v>596</v>
      </c>
      <c r="L209" s="221" t="s">
        <v>55</v>
      </c>
      <c r="M209" s="221" t="s">
        <v>56</v>
      </c>
      <c r="N209" s="222">
        <v>8</v>
      </c>
      <c r="O209" s="223"/>
      <c r="P209" s="223" t="s">
        <v>58</v>
      </c>
      <c r="Q209" s="224">
        <v>46130</v>
      </c>
      <c r="R209" s="225">
        <f>S209-1</f>
        <v>46133</v>
      </c>
      <c r="S209" s="226">
        <v>46134</v>
      </c>
      <c r="T209" s="227" t="s">
        <v>68</v>
      </c>
      <c r="U209" s="228">
        <v>8</v>
      </c>
      <c r="V209" s="129">
        <f t="shared" si="4"/>
        <v>0</v>
      </c>
      <c r="W209" s="229">
        <v>0</v>
      </c>
      <c r="X209" s="229">
        <v>0</v>
      </c>
      <c r="Y209" s="229">
        <v>80</v>
      </c>
      <c r="Z209" s="230" t="b">
        <v>0</v>
      </c>
      <c r="AA209" s="230"/>
      <c r="AB209" s="230"/>
      <c r="AC209" s="230"/>
      <c r="AD209" s="230"/>
      <c r="AE209" s="131" t="e">
        <f>SUMIF('[2]TONG XUAT BUN 2026'!$B:$F,A209,'[2]TONG XUAT BUN 2026'!$F:$F)</f>
        <v>#VALUE!</v>
      </c>
    </row>
    <row r="210" spans="1:42" s="111" customFormat="1" ht="60" x14ac:dyDescent="0.3">
      <c r="A210" s="231"/>
      <c r="B210" s="232"/>
      <c r="C210" s="293"/>
      <c r="D210" s="236"/>
      <c r="E210" s="235"/>
      <c r="F210" s="277"/>
      <c r="G210" s="232"/>
      <c r="H210" s="278"/>
      <c r="I210" s="238"/>
      <c r="J210" s="239"/>
      <c r="K210" s="234"/>
      <c r="L210" s="234"/>
      <c r="M210" s="234"/>
      <c r="N210" s="240"/>
      <c r="O210" s="241"/>
      <c r="P210" s="241"/>
      <c r="Q210" s="242"/>
      <c r="R210" s="243"/>
      <c r="S210" s="244"/>
      <c r="T210" s="245"/>
      <c r="U210" s="228"/>
      <c r="V210" s="129">
        <f t="shared" si="4"/>
        <v>0</v>
      </c>
      <c r="W210" s="229"/>
      <c r="X210" s="229"/>
      <c r="Y210" s="229"/>
      <c r="Z210" s="230"/>
      <c r="AA210" s="230"/>
      <c r="AB210" s="230"/>
      <c r="AC210" s="230"/>
      <c r="AD210" s="230"/>
      <c r="AE210" s="230"/>
    </row>
    <row r="211" spans="1:42" s="111" customFormat="1" ht="60" x14ac:dyDescent="0.3">
      <c r="A211" s="212" t="s">
        <v>597</v>
      </c>
      <c r="B211" s="213" t="s">
        <v>598</v>
      </c>
      <c r="C211" s="172" t="s">
        <v>270</v>
      </c>
      <c r="D211" s="215" t="s">
        <v>133</v>
      </c>
      <c r="E211" s="216" t="s">
        <v>599</v>
      </c>
      <c r="F211" s="247" t="s">
        <v>600</v>
      </c>
      <c r="G211" s="247" t="s">
        <v>601</v>
      </c>
      <c r="H211" s="246">
        <v>500</v>
      </c>
      <c r="I211" s="219">
        <v>15</v>
      </c>
      <c r="J211" s="220">
        <v>15</v>
      </c>
      <c r="K211" s="251" t="s">
        <v>137</v>
      </c>
      <c r="L211" s="251" t="s">
        <v>76</v>
      </c>
      <c r="M211" s="251" t="s">
        <v>94</v>
      </c>
      <c r="N211" s="222">
        <v>15</v>
      </c>
      <c r="O211" s="223"/>
      <c r="P211" s="223" t="s">
        <v>58</v>
      </c>
      <c r="Q211" s="224">
        <v>46132</v>
      </c>
      <c r="R211" s="225">
        <f>S211-1</f>
        <v>46134</v>
      </c>
      <c r="S211" s="226">
        <v>46135</v>
      </c>
      <c r="T211" s="227" t="s">
        <v>68</v>
      </c>
      <c r="U211" s="228">
        <v>15</v>
      </c>
      <c r="V211" s="129">
        <f t="shared" si="4"/>
        <v>0</v>
      </c>
      <c r="W211" s="229">
        <v>0</v>
      </c>
      <c r="X211" s="229">
        <v>0</v>
      </c>
      <c r="Y211" s="229">
        <v>500</v>
      </c>
      <c r="Z211" s="230" t="b">
        <v>0</v>
      </c>
      <c r="AA211" s="230" t="s">
        <v>307</v>
      </c>
      <c r="AB211" s="230"/>
      <c r="AC211" s="230"/>
      <c r="AD211" s="230"/>
      <c r="AE211" s="131" t="e">
        <f>SUMIF('[2]TONG XUAT BUN 2026'!$B:$F,A211,'[2]TONG XUAT BUN 2026'!$F:$F)</f>
        <v>#VALUE!</v>
      </c>
    </row>
    <row r="212" spans="1:42" s="111" customFormat="1" ht="60" x14ac:dyDescent="0.3">
      <c r="A212" s="231"/>
      <c r="B212" s="232"/>
      <c r="C212" s="293"/>
      <c r="D212" s="236"/>
      <c r="E212" s="235"/>
      <c r="F212" s="248"/>
      <c r="G212" s="248"/>
      <c r="H212" s="237"/>
      <c r="I212" s="238"/>
      <c r="J212" s="239"/>
      <c r="K212" s="249"/>
      <c r="L212" s="249"/>
      <c r="M212" s="249"/>
      <c r="N212" s="240"/>
      <c r="O212" s="241"/>
      <c r="P212" s="241"/>
      <c r="Q212" s="242"/>
      <c r="R212" s="243"/>
      <c r="S212" s="244"/>
      <c r="T212" s="245"/>
      <c r="U212" s="228"/>
      <c r="V212" s="129">
        <f t="shared" si="4"/>
        <v>0</v>
      </c>
      <c r="W212" s="229"/>
      <c r="X212" s="229"/>
      <c r="Y212" s="229"/>
      <c r="Z212" s="230"/>
      <c r="AA212" s="230"/>
      <c r="AB212" s="230"/>
      <c r="AC212" s="230"/>
      <c r="AD212" s="230"/>
      <c r="AE212" s="230"/>
    </row>
    <row r="213" spans="1:42" s="111" customFormat="1" ht="60" x14ac:dyDescent="0.3">
      <c r="A213" s="213" t="s">
        <v>602</v>
      </c>
      <c r="B213" s="213" t="s">
        <v>603</v>
      </c>
      <c r="C213" s="172" t="s">
        <v>270</v>
      </c>
      <c r="D213" s="295" t="s">
        <v>604</v>
      </c>
      <c r="E213" s="216" t="s">
        <v>605</v>
      </c>
      <c r="F213" s="296" t="s">
        <v>606</v>
      </c>
      <c r="G213" s="296" t="s">
        <v>607</v>
      </c>
      <c r="H213" s="297">
        <v>1500</v>
      </c>
      <c r="I213" s="219">
        <v>43</v>
      </c>
      <c r="J213" s="220">
        <v>43</v>
      </c>
      <c r="K213" s="296" t="s">
        <v>137</v>
      </c>
      <c r="L213" s="296" t="s">
        <v>76</v>
      </c>
      <c r="M213" s="296" t="s">
        <v>94</v>
      </c>
      <c r="N213" s="222">
        <v>43</v>
      </c>
      <c r="O213" s="223"/>
      <c r="P213" s="223" t="s">
        <v>58</v>
      </c>
      <c r="Q213" s="224">
        <v>46132</v>
      </c>
      <c r="R213" s="225">
        <f>S213-1</f>
        <v>46134</v>
      </c>
      <c r="S213" s="226">
        <v>46135</v>
      </c>
      <c r="T213" s="227" t="s">
        <v>68</v>
      </c>
      <c r="U213" s="228">
        <v>43</v>
      </c>
      <c r="V213" s="129">
        <f t="shared" si="4"/>
        <v>0</v>
      </c>
      <c r="W213" s="229">
        <v>0</v>
      </c>
      <c r="X213" s="229">
        <v>0</v>
      </c>
      <c r="Y213" s="229">
        <v>1500</v>
      </c>
      <c r="Z213" s="230" t="b">
        <v>0</v>
      </c>
      <c r="AA213" s="230" t="s">
        <v>212</v>
      </c>
      <c r="AB213" s="230"/>
      <c r="AC213" s="230"/>
      <c r="AD213" s="230"/>
      <c r="AE213" s="131" t="e">
        <f>SUMIF('[2]TONG XUAT BUN 2026'!$B:$F,A213,'[2]TONG XUAT BUN 2026'!$F:$F)</f>
        <v>#VALUE!</v>
      </c>
    </row>
    <row r="214" spans="1:42" s="111" customFormat="1" ht="60" x14ac:dyDescent="0.3">
      <c r="A214" s="232"/>
      <c r="B214" s="232"/>
      <c r="C214" s="293"/>
      <c r="D214" s="298"/>
      <c r="E214" s="235"/>
      <c r="F214" s="299"/>
      <c r="G214" s="299"/>
      <c r="H214" s="300"/>
      <c r="I214" s="238"/>
      <c r="J214" s="239"/>
      <c r="K214" s="299"/>
      <c r="L214" s="299"/>
      <c r="M214" s="299"/>
      <c r="N214" s="240"/>
      <c r="O214" s="241"/>
      <c r="P214" s="241"/>
      <c r="Q214" s="242"/>
      <c r="R214" s="243"/>
      <c r="S214" s="244"/>
      <c r="T214" s="245"/>
      <c r="U214" s="228"/>
      <c r="V214" s="129">
        <f t="shared" si="4"/>
        <v>0</v>
      </c>
      <c r="W214" s="229"/>
      <c r="X214" s="229"/>
      <c r="Y214" s="229"/>
      <c r="Z214" s="230"/>
      <c r="AA214" s="230"/>
      <c r="AB214" s="230"/>
      <c r="AC214" s="230"/>
      <c r="AD214" s="230"/>
      <c r="AE214" s="230"/>
    </row>
    <row r="215" spans="1:42" s="111" customFormat="1" ht="60" x14ac:dyDescent="0.3">
      <c r="A215" s="213" t="s">
        <v>608</v>
      </c>
      <c r="B215" s="213" t="s">
        <v>609</v>
      </c>
      <c r="C215" s="285" t="s">
        <v>306</v>
      </c>
      <c r="D215" s="221" t="s">
        <v>379</v>
      </c>
      <c r="E215" s="216" t="s">
        <v>374</v>
      </c>
      <c r="F215" s="247" t="s">
        <v>380</v>
      </c>
      <c r="G215" s="256" t="s">
        <v>381</v>
      </c>
      <c r="H215" s="218">
        <v>2300</v>
      </c>
      <c r="I215" s="219">
        <v>66</v>
      </c>
      <c r="J215" s="220">
        <v>66</v>
      </c>
      <c r="K215" s="251" t="s">
        <v>137</v>
      </c>
      <c r="L215" s="251" t="s">
        <v>76</v>
      </c>
      <c r="M215" s="251" t="s">
        <v>94</v>
      </c>
      <c r="N215" s="222">
        <v>66</v>
      </c>
      <c r="O215" s="221"/>
      <c r="P215" s="223" t="s">
        <v>58</v>
      </c>
      <c r="Q215" s="224">
        <v>46132</v>
      </c>
      <c r="R215" s="225">
        <f>S215-1</f>
        <v>46134</v>
      </c>
      <c r="S215" s="226">
        <v>46135</v>
      </c>
      <c r="T215" s="227" t="s">
        <v>68</v>
      </c>
      <c r="U215" s="228">
        <f>68-2</f>
        <v>66</v>
      </c>
      <c r="V215" s="129">
        <f t="shared" si="4"/>
        <v>0</v>
      </c>
      <c r="W215" s="229">
        <v>0</v>
      </c>
      <c r="X215" s="229">
        <v>0</v>
      </c>
      <c r="Y215" s="229">
        <v>2300</v>
      </c>
      <c r="Z215" s="230" t="b">
        <v>0</v>
      </c>
      <c r="AA215" s="230" t="s">
        <v>307</v>
      </c>
      <c r="AB215" s="230"/>
      <c r="AC215" s="230"/>
      <c r="AD215" s="230"/>
      <c r="AE215" s="131" t="e">
        <f>SUMIF('[2]TONG XUAT BUN 2026'!$B:$F,A215,'[2]TONG XUAT BUN 2026'!$F:$F)</f>
        <v>#VALUE!</v>
      </c>
    </row>
    <row r="216" spans="1:42" s="111" customFormat="1" ht="60" x14ac:dyDescent="0.3">
      <c r="A216" s="232"/>
      <c r="B216" s="232"/>
      <c r="C216" s="276"/>
      <c r="D216" s="234"/>
      <c r="E216" s="235"/>
      <c r="F216" s="248"/>
      <c r="G216" s="248"/>
      <c r="H216" s="278"/>
      <c r="I216" s="238"/>
      <c r="J216" s="239"/>
      <c r="K216" s="249"/>
      <c r="L216" s="249"/>
      <c r="M216" s="249"/>
      <c r="N216" s="240"/>
      <c r="O216" s="234"/>
      <c r="P216" s="241"/>
      <c r="Q216" s="242"/>
      <c r="R216" s="243"/>
      <c r="S216" s="244"/>
      <c r="T216" s="245"/>
      <c r="U216" s="228"/>
      <c r="V216" s="129">
        <f t="shared" si="4"/>
        <v>0</v>
      </c>
      <c r="W216" s="229"/>
      <c r="X216" s="229"/>
      <c r="Y216" s="229"/>
      <c r="Z216" s="230"/>
      <c r="AA216" s="230"/>
      <c r="AB216" s="230"/>
      <c r="AC216" s="230"/>
      <c r="AD216" s="230"/>
      <c r="AE216" s="230"/>
    </row>
    <row r="217" spans="1:42" s="111" customFormat="1" ht="60" x14ac:dyDescent="0.3">
      <c r="A217" s="212" t="s">
        <v>610</v>
      </c>
      <c r="B217" s="213" t="s">
        <v>611</v>
      </c>
      <c r="C217" s="301" t="s">
        <v>310</v>
      </c>
      <c r="D217" s="215" t="s">
        <v>133</v>
      </c>
      <c r="E217" s="216" t="s">
        <v>491</v>
      </c>
      <c r="F217" s="247" t="s">
        <v>492</v>
      </c>
      <c r="G217" s="247" t="s">
        <v>493</v>
      </c>
      <c r="H217" s="246">
        <v>1050</v>
      </c>
      <c r="I217" s="219">
        <v>30</v>
      </c>
      <c r="J217" s="220">
        <v>30</v>
      </c>
      <c r="K217" s="251" t="s">
        <v>137</v>
      </c>
      <c r="L217" s="251" t="s">
        <v>76</v>
      </c>
      <c r="M217" s="251" t="s">
        <v>94</v>
      </c>
      <c r="N217" s="222">
        <v>30</v>
      </c>
      <c r="O217" s="223"/>
      <c r="P217" s="223" t="s">
        <v>58</v>
      </c>
      <c r="Q217" s="224">
        <v>46133</v>
      </c>
      <c r="R217" s="225">
        <f>S217-1</f>
        <v>46135</v>
      </c>
      <c r="S217" s="226">
        <v>46136</v>
      </c>
      <c r="T217" s="227" t="s">
        <v>68</v>
      </c>
      <c r="U217" s="228">
        <f>37-7</f>
        <v>30</v>
      </c>
      <c r="V217" s="129">
        <f t="shared" si="4"/>
        <v>0</v>
      </c>
      <c r="W217" s="229">
        <v>0</v>
      </c>
      <c r="X217" s="229">
        <v>0</v>
      </c>
      <c r="Y217" s="229">
        <v>1050</v>
      </c>
      <c r="Z217" s="230" t="b">
        <v>0</v>
      </c>
      <c r="AA217" s="230" t="s">
        <v>612</v>
      </c>
      <c r="AB217" s="230"/>
      <c r="AC217" s="230"/>
      <c r="AD217" s="230"/>
      <c r="AE217" s="131" t="e">
        <f>SUMIF('[2]TONG XUAT BUN 2026'!$B:$F,A217,'[2]TONG XUAT BUN 2026'!$F:$F)</f>
        <v>#VALUE!</v>
      </c>
    </row>
    <row r="218" spans="1:42" s="111" customFormat="1" ht="60" x14ac:dyDescent="0.3">
      <c r="A218" s="231"/>
      <c r="B218" s="232"/>
      <c r="C218" s="293"/>
      <c r="D218" s="236"/>
      <c r="E218" s="235"/>
      <c r="F218" s="248"/>
      <c r="G218" s="248"/>
      <c r="H218" s="237"/>
      <c r="I218" s="238"/>
      <c r="J218" s="239"/>
      <c r="K218" s="249"/>
      <c r="L218" s="249"/>
      <c r="M218" s="249"/>
      <c r="N218" s="240"/>
      <c r="O218" s="241"/>
      <c r="P218" s="241"/>
      <c r="Q218" s="242"/>
      <c r="R218" s="243"/>
      <c r="S218" s="244"/>
      <c r="T218" s="245"/>
      <c r="U218" s="228"/>
      <c r="V218" s="129">
        <f t="shared" si="4"/>
        <v>0</v>
      </c>
      <c r="W218" s="229"/>
      <c r="X218" s="229"/>
      <c r="Y218" s="229"/>
      <c r="Z218" s="230"/>
      <c r="AA218" s="230"/>
      <c r="AB218" s="230"/>
      <c r="AC218" s="230"/>
      <c r="AD218" s="230"/>
      <c r="AE218" s="230"/>
    </row>
    <row r="219" spans="1:42" s="111" customFormat="1" ht="60" x14ac:dyDescent="0.3">
      <c r="A219" s="212" t="s">
        <v>613</v>
      </c>
      <c r="B219" s="213" t="s">
        <v>614</v>
      </c>
      <c r="C219" s="301" t="s">
        <v>310</v>
      </c>
      <c r="D219" s="215" t="s">
        <v>133</v>
      </c>
      <c r="E219" s="216" t="s">
        <v>513</v>
      </c>
      <c r="F219" s="247" t="s">
        <v>514</v>
      </c>
      <c r="G219" s="247" t="s">
        <v>515</v>
      </c>
      <c r="H219" s="246">
        <v>2500</v>
      </c>
      <c r="I219" s="219">
        <v>36</v>
      </c>
      <c r="J219" s="220">
        <v>36</v>
      </c>
      <c r="K219" s="251" t="s">
        <v>137</v>
      </c>
      <c r="L219" s="251" t="s">
        <v>76</v>
      </c>
      <c r="M219" s="251" t="s">
        <v>94</v>
      </c>
      <c r="N219" s="222">
        <v>36</v>
      </c>
      <c r="O219" s="223"/>
      <c r="P219" s="223" t="s">
        <v>58</v>
      </c>
      <c r="Q219" s="224">
        <v>46133</v>
      </c>
      <c r="R219" s="225">
        <f>S219-1</f>
        <v>46135</v>
      </c>
      <c r="S219" s="226">
        <v>46136</v>
      </c>
      <c r="T219" s="227" t="s">
        <v>68</v>
      </c>
      <c r="U219" s="228">
        <v>36</v>
      </c>
      <c r="V219" s="129">
        <f t="shared" si="4"/>
        <v>0</v>
      </c>
      <c r="W219" s="229">
        <v>0</v>
      </c>
      <c r="X219" s="229">
        <v>0</v>
      </c>
      <c r="Y219" s="229">
        <v>2500</v>
      </c>
      <c r="Z219" s="230" t="b">
        <v>1</v>
      </c>
      <c r="AA219" s="230" t="s">
        <v>212</v>
      </c>
      <c r="AB219" s="230"/>
      <c r="AC219" s="230"/>
      <c r="AD219" s="230"/>
      <c r="AE219" s="131" t="e">
        <f>SUMIF('[2]TONG XUAT BUN 2026'!$B:$F,A219,'[2]TONG XUAT BUN 2026'!$F:$F)</f>
        <v>#VALUE!</v>
      </c>
    </row>
    <row r="220" spans="1:42" s="111" customFormat="1" ht="60" x14ac:dyDescent="0.3">
      <c r="A220" s="231"/>
      <c r="B220" s="232"/>
      <c r="C220" s="293"/>
      <c r="D220" s="236"/>
      <c r="E220" s="235"/>
      <c r="F220" s="248"/>
      <c r="G220" s="248"/>
      <c r="H220" s="237"/>
      <c r="I220" s="238"/>
      <c r="J220" s="239"/>
      <c r="K220" s="249"/>
      <c r="L220" s="249"/>
      <c r="M220" s="249"/>
      <c r="N220" s="240"/>
      <c r="O220" s="241"/>
      <c r="P220" s="241"/>
      <c r="Q220" s="242"/>
      <c r="R220" s="243"/>
      <c r="S220" s="244"/>
      <c r="T220" s="245"/>
      <c r="U220" s="228"/>
      <c r="V220" s="129">
        <f t="shared" si="4"/>
        <v>0</v>
      </c>
      <c r="W220" s="229"/>
      <c r="X220" s="229"/>
      <c r="Y220" s="229"/>
      <c r="Z220" s="230"/>
      <c r="AA220" s="230"/>
      <c r="AB220" s="230"/>
      <c r="AC220" s="230"/>
      <c r="AD220" s="230"/>
      <c r="AE220" s="230"/>
    </row>
    <row r="221" spans="1:42" s="111" customFormat="1" ht="132" x14ac:dyDescent="0.3">
      <c r="A221" s="284" t="s">
        <v>615</v>
      </c>
      <c r="B221" s="213" t="s">
        <v>616</v>
      </c>
      <c r="C221" s="285" t="s">
        <v>331</v>
      </c>
      <c r="D221" s="217" t="s">
        <v>617</v>
      </c>
      <c r="E221" s="216" t="s">
        <v>564</v>
      </c>
      <c r="F221" s="217" t="s">
        <v>618</v>
      </c>
      <c r="G221" s="212" t="s">
        <v>619</v>
      </c>
      <c r="H221" s="223">
        <v>453</v>
      </c>
      <c r="I221" s="219">
        <v>151</v>
      </c>
      <c r="J221" s="220">
        <v>151</v>
      </c>
      <c r="K221" s="302" t="s">
        <v>620</v>
      </c>
      <c r="L221" s="302" t="s">
        <v>621</v>
      </c>
      <c r="M221" s="221" t="s">
        <v>486</v>
      </c>
      <c r="N221" s="222">
        <v>151</v>
      </c>
      <c r="O221" s="287" t="s">
        <v>487</v>
      </c>
      <c r="P221" s="223" t="s">
        <v>58</v>
      </c>
      <c r="Q221" s="224">
        <v>46133</v>
      </c>
      <c r="R221" s="225">
        <f>S221-1</f>
        <v>46135</v>
      </c>
      <c r="S221" s="226">
        <v>46136</v>
      </c>
      <c r="T221" s="227" t="s">
        <v>68</v>
      </c>
      <c r="U221" s="228">
        <f>91+22+38</f>
        <v>151</v>
      </c>
      <c r="V221" s="129">
        <f t="shared" si="4"/>
        <v>0</v>
      </c>
      <c r="W221" s="229">
        <v>0</v>
      </c>
      <c r="X221" s="229">
        <v>0</v>
      </c>
      <c r="Y221" s="229">
        <v>453</v>
      </c>
      <c r="Z221" s="230" t="b">
        <v>1</v>
      </c>
      <c r="AA221" s="230"/>
      <c r="AB221" s="230"/>
      <c r="AC221" s="230"/>
      <c r="AD221" s="230"/>
      <c r="AE221" s="131" t="e">
        <f>SUMIF('[2]TONG XUAT BUN 2026'!$B:$F,A221,'[2]TONG XUAT BUN 2026'!$F:$F)</f>
        <v>#VALUE!</v>
      </c>
    </row>
    <row r="222" spans="1:42" s="209" customFormat="1" ht="60" x14ac:dyDescent="0.3">
      <c r="A222" s="189"/>
      <c r="B222" s="190"/>
      <c r="C222" s="191"/>
      <c r="D222" s="190"/>
      <c r="E222" s="192"/>
      <c r="F222" s="189"/>
      <c r="G222" s="193" t="s">
        <v>332</v>
      </c>
      <c r="H222" s="194"/>
      <c r="I222" s="195"/>
      <c r="J222" s="191"/>
      <c r="K222" s="196"/>
      <c r="L222" s="197"/>
      <c r="M222" s="197"/>
      <c r="N222" s="198"/>
      <c r="O222" s="199"/>
      <c r="P222" s="200"/>
      <c r="Q222" s="201"/>
      <c r="R222" s="202"/>
      <c r="S222" s="203"/>
      <c r="T222" s="204"/>
      <c r="U222" s="205"/>
      <c r="V222" s="129">
        <f t="shared" si="4"/>
        <v>0</v>
      </c>
      <c r="W222" s="206"/>
      <c r="X222" s="206"/>
      <c r="Y222" s="206"/>
      <c r="Z222" s="207"/>
      <c r="AA222" s="208"/>
      <c r="AB222" s="207"/>
      <c r="AC222" s="207"/>
      <c r="AD222" s="207"/>
      <c r="AE222" s="207"/>
      <c r="AI222" s="210"/>
      <c r="AJ222" s="210"/>
      <c r="AK222" s="210"/>
      <c r="AL222" s="210"/>
      <c r="AM222" s="210"/>
      <c r="AN222" s="211"/>
      <c r="AO222" s="211"/>
      <c r="AP222" s="210"/>
    </row>
    <row r="223" spans="1:42" s="209" customFormat="1" ht="37.799999999999997" x14ac:dyDescent="0.3">
      <c r="A223" s="257"/>
      <c r="B223" s="257"/>
      <c r="C223" s="258"/>
      <c r="D223" s="259"/>
      <c r="E223" s="260"/>
      <c r="F223" s="261"/>
      <c r="G223" s="262"/>
      <c r="H223" s="263">
        <f>SUM(H160:H221)</f>
        <v>33856</v>
      </c>
      <c r="I223" s="263">
        <f>SUM(I160:I221)</f>
        <v>1116</v>
      </c>
      <c r="J223" s="263">
        <f>SUM(J160:J221)</f>
        <v>1116</v>
      </c>
      <c r="K223" s="259"/>
      <c r="L223" s="259"/>
      <c r="M223" s="261"/>
      <c r="N223" s="263">
        <f>SUM(N160:N221)</f>
        <v>1105</v>
      </c>
      <c r="O223" s="264">
        <f>N223-S7</f>
        <v>54</v>
      </c>
      <c r="P223" s="265"/>
      <c r="Q223" s="266"/>
      <c r="R223" s="266"/>
      <c r="S223" s="266"/>
      <c r="T223" s="266"/>
      <c r="U223" s="266"/>
      <c r="V223" s="129">
        <f t="shared" si="4"/>
        <v>-1105</v>
      </c>
      <c r="W223" s="206"/>
      <c r="X223" s="206"/>
      <c r="Y223" s="206"/>
      <c r="Z223" s="207"/>
      <c r="AA223" s="207"/>
      <c r="AB223" s="207"/>
      <c r="AC223" s="207"/>
      <c r="AD223" s="207"/>
      <c r="AE223" s="267"/>
      <c r="AF223" s="268"/>
      <c r="AG223" s="268"/>
    </row>
    <row r="224" spans="1:42" ht="74.25" customHeight="1" x14ac:dyDescent="0.3"/>
    <row r="225" ht="74.25" customHeight="1" x14ac:dyDescent="0.3"/>
    <row r="226" ht="74.25" customHeight="1" x14ac:dyDescent="0.3"/>
    <row r="227" ht="74.25" customHeight="1" x14ac:dyDescent="0.3"/>
    <row r="228" ht="74.25" customHeight="1" x14ac:dyDescent="0.3"/>
    <row r="229" ht="74.25" customHeight="1" x14ac:dyDescent="0.3"/>
    <row r="230" ht="74.25" customHeight="1" x14ac:dyDescent="0.3"/>
    <row r="231" ht="74.25" customHeight="1" x14ac:dyDescent="0.3"/>
    <row r="232" ht="74.25" customHeight="1" x14ac:dyDescent="0.3"/>
    <row r="233" ht="74.25" customHeight="1" x14ac:dyDescent="0.3"/>
    <row r="234" ht="74.25" customHeight="1" x14ac:dyDescent="0.3"/>
    <row r="235" ht="74.25" customHeight="1" x14ac:dyDescent="0.3"/>
    <row r="236" ht="74.25" customHeight="1" x14ac:dyDescent="0.3"/>
    <row r="237" ht="74.25" customHeight="1" x14ac:dyDescent="0.3"/>
    <row r="238" ht="74.25" customHeight="1" x14ac:dyDescent="0.3"/>
    <row r="239" ht="74.25" customHeight="1" x14ac:dyDescent="0.3"/>
    <row r="240" ht="74.25" customHeight="1" x14ac:dyDescent="0.3"/>
    <row r="241" ht="74.25" customHeight="1" x14ac:dyDescent="0.3"/>
    <row r="242" ht="74.25" customHeight="1" x14ac:dyDescent="0.3"/>
    <row r="243" ht="74.25" customHeight="1" x14ac:dyDescent="0.3"/>
    <row r="244" ht="74.25" customHeight="1" x14ac:dyDescent="0.3"/>
    <row r="245" ht="74.25" customHeight="1" x14ac:dyDescent="0.3"/>
    <row r="246" ht="74.25" customHeight="1" x14ac:dyDescent="0.3"/>
    <row r="247" ht="74.25" customHeight="1" x14ac:dyDescent="0.3"/>
    <row r="248" ht="74.25" customHeight="1" x14ac:dyDescent="0.3"/>
    <row r="249" ht="74.25" customHeight="1" x14ac:dyDescent="0.3"/>
    <row r="250" ht="74.25" customHeight="1" x14ac:dyDescent="0.3"/>
    <row r="251" ht="74.25" customHeight="1" x14ac:dyDescent="0.3"/>
    <row r="252" ht="74.25" customHeight="1" x14ac:dyDescent="0.3"/>
    <row r="253" ht="74.25" customHeight="1" x14ac:dyDescent="0.3"/>
    <row r="254" ht="74.25" customHeight="1" x14ac:dyDescent="0.3"/>
    <row r="255" ht="74.25" customHeight="1" x14ac:dyDescent="0.3"/>
    <row r="256" ht="74.25" customHeight="1" x14ac:dyDescent="0.3"/>
    <row r="257" ht="74.25" customHeight="1" x14ac:dyDescent="0.3"/>
    <row r="258" ht="74.25" customHeight="1" x14ac:dyDescent="0.3"/>
    <row r="259" ht="74.25" customHeight="1" x14ac:dyDescent="0.3"/>
    <row r="260" ht="74.25" customHeight="1" x14ac:dyDescent="0.3"/>
    <row r="261" ht="74.25" customHeight="1" x14ac:dyDescent="0.3"/>
    <row r="262" ht="74.25" customHeight="1" x14ac:dyDescent="0.3"/>
    <row r="263" ht="74.25" customHeight="1" x14ac:dyDescent="0.3"/>
    <row r="264" ht="74.25" customHeight="1" x14ac:dyDescent="0.3"/>
    <row r="265" ht="74.25" customHeight="1" x14ac:dyDescent="0.3"/>
    <row r="266" ht="74.25" customHeight="1" x14ac:dyDescent="0.3"/>
    <row r="267" ht="74.25" customHeight="1" x14ac:dyDescent="0.3"/>
    <row r="268" ht="74.25" customHeight="1" x14ac:dyDescent="0.3"/>
    <row r="269" ht="74.25" customHeight="1" x14ac:dyDescent="0.3"/>
    <row r="270" ht="74.25" customHeight="1" x14ac:dyDescent="0.3"/>
    <row r="271" ht="74.25" customHeight="1" x14ac:dyDescent="0.3"/>
    <row r="272" ht="74.25" customHeight="1" x14ac:dyDescent="0.3"/>
    <row r="273" ht="74.25" customHeight="1" x14ac:dyDescent="0.3"/>
    <row r="274" ht="74.25" customHeight="1" x14ac:dyDescent="0.3"/>
    <row r="275" ht="74.25" customHeight="1" x14ac:dyDescent="0.3"/>
    <row r="276" ht="74.25" customHeight="1" x14ac:dyDescent="0.3"/>
    <row r="277" ht="74.25" customHeight="1" x14ac:dyDescent="0.3"/>
    <row r="278" ht="74.25" customHeight="1" x14ac:dyDescent="0.3"/>
    <row r="279" ht="74.25" customHeight="1" x14ac:dyDescent="0.3"/>
    <row r="280" ht="74.25" customHeight="1" x14ac:dyDescent="0.3"/>
    <row r="281" ht="74.25" customHeight="1" x14ac:dyDescent="0.3"/>
    <row r="282" ht="74.25" customHeight="1" x14ac:dyDescent="0.3"/>
    <row r="283" ht="74.25" customHeight="1" x14ac:dyDescent="0.3"/>
    <row r="284" ht="74.25" customHeight="1" x14ac:dyDescent="0.3"/>
    <row r="285" ht="74.25" customHeight="1" x14ac:dyDescent="0.3"/>
    <row r="286" ht="74.25" customHeight="1" x14ac:dyDescent="0.3"/>
    <row r="287" ht="74.25" customHeight="1" x14ac:dyDescent="0.3"/>
    <row r="288" ht="74.25" customHeight="1" x14ac:dyDescent="0.3"/>
    <row r="289" ht="74.25" customHeight="1" x14ac:dyDescent="0.3"/>
    <row r="290" ht="74.25" customHeight="1" x14ac:dyDescent="0.3"/>
    <row r="291" ht="74.25" customHeight="1" x14ac:dyDescent="0.3"/>
    <row r="292" ht="74.25" customHeight="1" x14ac:dyDescent="0.3"/>
    <row r="293" ht="74.25" customHeight="1" x14ac:dyDescent="0.3"/>
    <row r="294" ht="74.25" customHeight="1" x14ac:dyDescent="0.3"/>
    <row r="295" ht="74.25" customHeight="1" x14ac:dyDescent="0.3"/>
    <row r="296" ht="74.25" customHeight="1" x14ac:dyDescent="0.3"/>
    <row r="297" ht="74.25" customHeight="1" x14ac:dyDescent="0.3"/>
    <row r="298" ht="74.25" customHeight="1" x14ac:dyDescent="0.3"/>
    <row r="299" ht="74.25" customHeight="1" x14ac:dyDescent="0.3"/>
    <row r="300" ht="74.25" customHeight="1" x14ac:dyDescent="0.3"/>
    <row r="301" ht="74.25" customHeight="1" x14ac:dyDescent="0.3"/>
    <row r="302" ht="74.25" customHeight="1" x14ac:dyDescent="0.3"/>
    <row r="303" ht="74.25" customHeight="1" x14ac:dyDescent="0.3"/>
    <row r="304" ht="74.25" customHeight="1" x14ac:dyDescent="0.3"/>
    <row r="305" ht="74.25" customHeight="1" x14ac:dyDescent="0.3"/>
    <row r="306" ht="74.25" customHeight="1" x14ac:dyDescent="0.3"/>
    <row r="307" ht="74.25" customHeight="1" x14ac:dyDescent="0.3"/>
    <row r="308" ht="74.25" customHeight="1" x14ac:dyDescent="0.3"/>
    <row r="309" ht="74.25" customHeight="1" x14ac:dyDescent="0.3"/>
    <row r="310" ht="74.25" customHeight="1" x14ac:dyDescent="0.3"/>
    <row r="311" ht="74.25" customHeight="1" x14ac:dyDescent="0.3"/>
    <row r="312" ht="74.25" customHeight="1" x14ac:dyDescent="0.3"/>
    <row r="313" ht="74.25" customHeight="1" x14ac:dyDescent="0.3"/>
    <row r="314" ht="74.25" customHeight="1" x14ac:dyDescent="0.3"/>
    <row r="315" ht="74.25" customHeight="1" x14ac:dyDescent="0.3"/>
    <row r="316" ht="74.25" customHeight="1" x14ac:dyDescent="0.3"/>
    <row r="317" ht="74.25" customHeight="1" x14ac:dyDescent="0.3"/>
    <row r="318" ht="74.25" customHeight="1" x14ac:dyDescent="0.3"/>
    <row r="319" ht="74.25" customHeight="1" x14ac:dyDescent="0.3"/>
    <row r="320" ht="74.25" customHeight="1" x14ac:dyDescent="0.3"/>
    <row r="321" ht="74.25" customHeight="1" x14ac:dyDescent="0.3"/>
    <row r="322" ht="74.25" customHeight="1" x14ac:dyDescent="0.3"/>
    <row r="323" ht="74.25" customHeight="1" x14ac:dyDescent="0.3"/>
    <row r="324" ht="74.25" customHeight="1" x14ac:dyDescent="0.3"/>
    <row r="325" ht="74.25" customHeight="1" x14ac:dyDescent="0.3"/>
    <row r="326" ht="74.25" customHeight="1" x14ac:dyDescent="0.3"/>
    <row r="327" ht="74.25" customHeight="1" x14ac:dyDescent="0.3"/>
    <row r="328" ht="74.25" customHeight="1" x14ac:dyDescent="0.3"/>
    <row r="329" ht="74.25" customHeight="1" x14ac:dyDescent="0.3"/>
    <row r="330" ht="74.25" customHeight="1" x14ac:dyDescent="0.3"/>
    <row r="331" ht="74.25" customHeight="1" x14ac:dyDescent="0.3"/>
    <row r="332" ht="74.25" customHeight="1" x14ac:dyDescent="0.3"/>
    <row r="333" ht="74.25" customHeight="1" x14ac:dyDescent="0.3"/>
    <row r="334" ht="74.25" customHeight="1" x14ac:dyDescent="0.3"/>
    <row r="335" ht="74.25" customHeight="1" x14ac:dyDescent="0.3"/>
    <row r="336" ht="74.25" customHeight="1" x14ac:dyDescent="0.3"/>
    <row r="337" ht="74.25" customHeight="1" x14ac:dyDescent="0.3"/>
    <row r="338" ht="74.25" customHeight="1" x14ac:dyDescent="0.3"/>
    <row r="339" ht="74.25" customHeight="1" x14ac:dyDescent="0.3"/>
    <row r="340" ht="74.25" customHeight="1" x14ac:dyDescent="0.3"/>
    <row r="341" ht="74.25" customHeight="1" x14ac:dyDescent="0.3"/>
    <row r="342" ht="74.25" customHeight="1" x14ac:dyDescent="0.3"/>
    <row r="343" ht="74.25" customHeight="1" x14ac:dyDescent="0.3"/>
    <row r="344" ht="74.25" customHeight="1" x14ac:dyDescent="0.3"/>
    <row r="345" ht="74.25" customHeight="1" x14ac:dyDescent="0.3"/>
    <row r="346" ht="74.25" customHeight="1" x14ac:dyDescent="0.3"/>
    <row r="347" ht="74.25" customHeight="1" x14ac:dyDescent="0.3"/>
    <row r="348" ht="74.25" customHeight="1" x14ac:dyDescent="0.3"/>
    <row r="349" ht="74.25" customHeight="1" x14ac:dyDescent="0.3"/>
    <row r="350" ht="74.25" customHeight="1" x14ac:dyDescent="0.3"/>
    <row r="351" ht="74.25" customHeight="1" x14ac:dyDescent="0.3"/>
    <row r="352" ht="74.25" customHeight="1" x14ac:dyDescent="0.3"/>
    <row r="353" ht="74.25" customHeight="1" x14ac:dyDescent="0.3"/>
    <row r="354" ht="74.25" customHeight="1" x14ac:dyDescent="0.3"/>
    <row r="355" ht="74.25" customHeight="1" x14ac:dyDescent="0.3"/>
    <row r="356" ht="74.25" customHeight="1" x14ac:dyDescent="0.3"/>
    <row r="357" ht="74.25" customHeight="1" x14ac:dyDescent="0.3"/>
    <row r="358" ht="74.25" customHeight="1" x14ac:dyDescent="0.3"/>
    <row r="359" ht="74.25" customHeight="1" x14ac:dyDescent="0.3"/>
    <row r="360" ht="74.25" customHeight="1" x14ac:dyDescent="0.3"/>
    <row r="361" ht="74.25" customHeight="1" x14ac:dyDescent="0.3"/>
    <row r="362" ht="74.25" customHeight="1" x14ac:dyDescent="0.3"/>
    <row r="363" ht="74.25" customHeight="1" x14ac:dyDescent="0.3"/>
    <row r="364" ht="74.25" customHeight="1" x14ac:dyDescent="0.3"/>
    <row r="365" ht="74.25" customHeight="1" x14ac:dyDescent="0.3"/>
    <row r="366" ht="74.25" customHeight="1" x14ac:dyDescent="0.3"/>
    <row r="367" ht="74.25" customHeight="1" x14ac:dyDescent="0.3"/>
    <row r="368" ht="74.25" customHeight="1" x14ac:dyDescent="0.3"/>
    <row r="369" ht="74.25" customHeight="1" x14ac:dyDescent="0.3"/>
    <row r="370" ht="74.25" customHeight="1" x14ac:dyDescent="0.3"/>
    <row r="371" ht="74.25" customHeight="1" x14ac:dyDescent="0.3"/>
    <row r="372" ht="74.25" customHeight="1" x14ac:dyDescent="0.3"/>
    <row r="373" ht="74.25" customHeight="1" x14ac:dyDescent="0.3"/>
    <row r="374" ht="74.25" customHeight="1" x14ac:dyDescent="0.3"/>
    <row r="375" ht="74.25" customHeight="1" x14ac:dyDescent="0.3"/>
    <row r="376" ht="74.25" customHeight="1" x14ac:dyDescent="0.3"/>
    <row r="377" ht="74.25" customHeight="1" x14ac:dyDescent="0.3"/>
    <row r="378" ht="74.25" customHeight="1" x14ac:dyDescent="0.3"/>
    <row r="379" ht="74.25" customHeight="1" x14ac:dyDescent="0.3"/>
    <row r="380" ht="74.25" customHeight="1" x14ac:dyDescent="0.3"/>
    <row r="381" ht="74.25" customHeight="1" x14ac:dyDescent="0.3"/>
    <row r="382" ht="74.25" customHeight="1" x14ac:dyDescent="0.3"/>
    <row r="383" ht="74.25" customHeight="1" x14ac:dyDescent="0.3"/>
    <row r="384" ht="74.25" customHeight="1" x14ac:dyDescent="0.3"/>
    <row r="385" ht="74.25" customHeight="1" x14ac:dyDescent="0.3"/>
    <row r="386" ht="74.25" customHeight="1" x14ac:dyDescent="0.3"/>
    <row r="387" ht="74.25" customHeight="1" x14ac:dyDescent="0.3"/>
    <row r="388" ht="74.25" customHeight="1" x14ac:dyDescent="0.3"/>
    <row r="389" ht="74.25" customHeight="1" x14ac:dyDescent="0.3"/>
    <row r="390" ht="74.25" customHeight="1" x14ac:dyDescent="0.3"/>
    <row r="391" ht="74.25" customHeight="1" x14ac:dyDescent="0.3"/>
    <row r="392" ht="74.25" customHeight="1" x14ac:dyDescent="0.3"/>
    <row r="393" ht="74.25" customHeight="1" x14ac:dyDescent="0.3"/>
    <row r="394" ht="74.25" customHeight="1" x14ac:dyDescent="0.3"/>
    <row r="395" ht="74.25" customHeight="1" x14ac:dyDescent="0.3"/>
    <row r="396" ht="74.25" customHeight="1" x14ac:dyDescent="0.3"/>
    <row r="397" ht="74.25" customHeight="1" x14ac:dyDescent="0.3"/>
    <row r="398" ht="74.25" customHeight="1" x14ac:dyDescent="0.3"/>
    <row r="399" ht="74.25" customHeight="1" x14ac:dyDescent="0.3"/>
    <row r="400" ht="74.25" customHeight="1" x14ac:dyDescent="0.3"/>
    <row r="401" spans="1:31" ht="74.25" customHeight="1" x14ac:dyDescent="0.3"/>
    <row r="402" spans="1:31" ht="74.25" customHeight="1" x14ac:dyDescent="0.3"/>
    <row r="403" spans="1:31" ht="74.25" customHeight="1" x14ac:dyDescent="0.3"/>
    <row r="404" spans="1:31" ht="74.25" customHeight="1" x14ac:dyDescent="0.3"/>
    <row r="405" spans="1:31" ht="74.25" customHeight="1" x14ac:dyDescent="0.3"/>
    <row r="406" spans="1:31" s="15" customFormat="1" x14ac:dyDescent="0.3">
      <c r="A406" s="303"/>
      <c r="B406" s="303"/>
      <c r="C406" s="170"/>
      <c r="E406" s="303"/>
      <c r="F406" s="14"/>
      <c r="G406" s="14"/>
      <c r="H406" s="304"/>
      <c r="I406" s="304"/>
      <c r="J406" s="305"/>
      <c r="K406" s="14"/>
      <c r="L406" s="14"/>
      <c r="M406" s="14"/>
      <c r="N406" s="306"/>
      <c r="O406" s="44"/>
      <c r="P406" s="44"/>
      <c r="Q406" s="111"/>
      <c r="R406" s="307"/>
      <c r="S406" s="14"/>
      <c r="T406" s="308"/>
      <c r="U406" s="309"/>
      <c r="V406" s="310"/>
      <c r="W406" s="14"/>
      <c r="X406" s="14"/>
      <c r="Y406" s="14"/>
      <c r="Z406" s="14"/>
      <c r="AA406" s="14"/>
      <c r="AB406" s="111"/>
    </row>
    <row r="408" spans="1:31" x14ac:dyDescent="0.3">
      <c r="I408" s="311"/>
    </row>
    <row r="409" spans="1:31" ht="74.25" customHeight="1" x14ac:dyDescent="0.3"/>
    <row r="410" spans="1:31" ht="74.25" customHeight="1" x14ac:dyDescent="0.3"/>
    <row r="411" spans="1:31" ht="74.25" customHeight="1" x14ac:dyDescent="0.3"/>
    <row r="412" spans="1:31" ht="74.25" customHeight="1" x14ac:dyDescent="0.3"/>
    <row r="413" spans="1:31" s="44" customFormat="1" x14ac:dyDescent="0.3">
      <c r="A413" s="303"/>
      <c r="B413" s="303"/>
      <c r="C413" s="170"/>
      <c r="D413" s="15"/>
      <c r="E413" s="303"/>
      <c r="F413" s="14"/>
      <c r="G413" s="14"/>
      <c r="H413" s="304"/>
      <c r="I413" s="304"/>
      <c r="J413" s="305"/>
      <c r="K413" s="14"/>
      <c r="L413" s="14"/>
      <c r="M413" s="14"/>
      <c r="N413" s="312"/>
      <c r="Q413" s="111"/>
      <c r="R413" s="307"/>
      <c r="S413" s="14"/>
      <c r="T413" s="308"/>
      <c r="U413" s="309"/>
      <c r="V413" s="310"/>
      <c r="W413" s="14"/>
      <c r="X413" s="14"/>
      <c r="Y413" s="14"/>
      <c r="Z413" s="14"/>
      <c r="AA413" s="14"/>
      <c r="AB413" s="15"/>
      <c r="AC413" s="15"/>
      <c r="AD413" s="15"/>
      <c r="AE413" s="15"/>
    </row>
    <row r="414" spans="1:31" s="44" customFormat="1" x14ac:dyDescent="0.3">
      <c r="A414" s="303"/>
      <c r="B414" s="303"/>
      <c r="C414" s="170"/>
      <c r="D414" s="15"/>
      <c r="E414" s="303"/>
      <c r="F414" s="14"/>
      <c r="G414" s="14"/>
      <c r="H414" s="304"/>
      <c r="I414" s="304"/>
      <c r="J414" s="305"/>
      <c r="K414" s="14"/>
      <c r="L414" s="14"/>
      <c r="M414" s="14"/>
      <c r="N414" s="312"/>
      <c r="Q414" s="111"/>
      <c r="R414" s="307"/>
      <c r="S414" s="14"/>
      <c r="T414" s="308"/>
      <c r="U414" s="309"/>
      <c r="V414" s="310"/>
      <c r="W414" s="14"/>
      <c r="X414" s="14"/>
      <c r="Y414" s="14"/>
      <c r="Z414" s="14"/>
      <c r="AA414" s="14"/>
      <c r="AB414" s="15"/>
      <c r="AC414" s="15"/>
      <c r="AD414" s="15"/>
      <c r="AE414" s="15"/>
    </row>
    <row r="415" spans="1:31" s="44" customFormat="1" x14ac:dyDescent="0.3">
      <c r="A415" s="303"/>
      <c r="B415" s="303"/>
      <c r="C415" s="170"/>
      <c r="D415" s="15"/>
      <c r="E415" s="303"/>
      <c r="F415" s="14"/>
      <c r="G415" s="14"/>
      <c r="H415" s="304"/>
      <c r="I415" s="304"/>
      <c r="J415" s="305"/>
      <c r="K415" s="14"/>
      <c r="L415" s="14"/>
      <c r="M415" s="14"/>
      <c r="N415" s="312"/>
      <c r="Q415" s="111"/>
      <c r="R415" s="307"/>
      <c r="S415" s="14"/>
      <c r="T415" s="308"/>
      <c r="U415" s="309"/>
      <c r="V415" s="310"/>
      <c r="W415" s="14"/>
      <c r="X415" s="14"/>
      <c r="Y415" s="14"/>
      <c r="Z415" s="14"/>
      <c r="AA415" s="14"/>
      <c r="AB415" s="15"/>
      <c r="AC415" s="15"/>
      <c r="AD415" s="15"/>
      <c r="AE415" s="15"/>
    </row>
    <row r="416" spans="1:31" s="44" customFormat="1" x14ac:dyDescent="0.3">
      <c r="A416" s="303"/>
      <c r="B416" s="303"/>
      <c r="C416" s="170"/>
      <c r="D416" s="15"/>
      <c r="E416" s="303"/>
      <c r="F416" s="14"/>
      <c r="G416" s="14"/>
      <c r="H416" s="304"/>
      <c r="I416" s="304"/>
      <c r="J416" s="305"/>
      <c r="K416" s="14"/>
      <c r="L416" s="14"/>
      <c r="M416" s="14"/>
      <c r="N416" s="312"/>
      <c r="Q416" s="111"/>
      <c r="R416" s="307"/>
      <c r="S416" s="14"/>
      <c r="T416" s="308"/>
      <c r="U416" s="309"/>
      <c r="V416" s="310"/>
      <c r="W416" s="14"/>
      <c r="X416" s="14"/>
      <c r="Y416" s="14"/>
      <c r="Z416" s="14"/>
      <c r="AA416" s="14"/>
      <c r="AB416" s="15"/>
      <c r="AC416" s="15"/>
      <c r="AD416" s="15"/>
      <c r="AE416" s="15"/>
    </row>
    <row r="417" spans="1:31" s="44" customFormat="1" x14ac:dyDescent="0.3">
      <c r="A417" s="303"/>
      <c r="B417" s="303"/>
      <c r="C417" s="170"/>
      <c r="D417" s="15"/>
      <c r="E417" s="303"/>
      <c r="F417" s="14"/>
      <c r="G417" s="14"/>
      <c r="H417" s="304"/>
      <c r="I417" s="304"/>
      <c r="J417" s="305"/>
      <c r="K417" s="14"/>
      <c r="L417" s="14"/>
      <c r="M417" s="14"/>
      <c r="N417" s="312"/>
      <c r="Q417" s="111"/>
      <c r="R417" s="307"/>
      <c r="S417" s="14"/>
      <c r="T417" s="308"/>
      <c r="U417" s="309"/>
      <c r="V417" s="310"/>
      <c r="W417" s="14"/>
      <c r="X417" s="14"/>
      <c r="Y417" s="14"/>
      <c r="Z417" s="14"/>
      <c r="AA417" s="14"/>
      <c r="AB417" s="15"/>
      <c r="AC417" s="15"/>
      <c r="AD417" s="15"/>
      <c r="AE417" s="15"/>
    </row>
    <row r="418" spans="1:31" s="44" customFormat="1" x14ac:dyDescent="0.3">
      <c r="A418" s="303"/>
      <c r="B418" s="303"/>
      <c r="C418" s="170"/>
      <c r="D418" s="15"/>
      <c r="E418" s="303"/>
      <c r="F418" s="14"/>
      <c r="G418" s="14"/>
      <c r="H418" s="304"/>
      <c r="I418" s="304"/>
      <c r="J418" s="305"/>
      <c r="K418" s="14"/>
      <c r="L418" s="14"/>
      <c r="M418" s="14"/>
      <c r="N418" s="312"/>
      <c r="Q418" s="111"/>
      <c r="R418" s="307"/>
      <c r="S418" s="14"/>
      <c r="T418" s="308"/>
      <c r="U418" s="309"/>
      <c r="V418" s="310"/>
      <c r="W418" s="14"/>
      <c r="X418" s="14"/>
      <c r="Y418" s="14"/>
      <c r="Z418" s="14"/>
      <c r="AA418" s="14"/>
      <c r="AB418" s="15"/>
      <c r="AC418" s="15"/>
      <c r="AD418" s="15"/>
      <c r="AE418" s="15"/>
    </row>
    <row r="419" spans="1:31" s="44" customFormat="1" x14ac:dyDescent="0.3">
      <c r="A419" s="303"/>
      <c r="B419" s="303"/>
      <c r="C419" s="170"/>
      <c r="D419" s="15"/>
      <c r="E419" s="303"/>
      <c r="F419" s="14"/>
      <c r="G419" s="14"/>
      <c r="H419" s="304"/>
      <c r="I419" s="304"/>
      <c r="J419" s="305"/>
      <c r="K419" s="14"/>
      <c r="L419" s="14"/>
      <c r="M419" s="14"/>
      <c r="N419" s="312"/>
      <c r="Q419" s="111"/>
      <c r="R419" s="307"/>
      <c r="S419" s="14"/>
      <c r="T419" s="308"/>
      <c r="U419" s="309"/>
      <c r="V419" s="310"/>
      <c r="W419" s="14"/>
      <c r="X419" s="14"/>
      <c r="Y419" s="14"/>
      <c r="Z419" s="14"/>
      <c r="AA419" s="14"/>
      <c r="AB419" s="15"/>
      <c r="AC419" s="15"/>
      <c r="AD419" s="15"/>
      <c r="AE419" s="15"/>
    </row>
    <row r="420" spans="1:31" s="44" customFormat="1" x14ac:dyDescent="0.3">
      <c r="A420" s="303"/>
      <c r="B420" s="303"/>
      <c r="C420" s="170"/>
      <c r="D420" s="15"/>
      <c r="E420" s="303"/>
      <c r="F420" s="14"/>
      <c r="G420" s="14"/>
      <c r="H420" s="304"/>
      <c r="I420" s="304"/>
      <c r="J420" s="305"/>
      <c r="K420" s="14"/>
      <c r="L420" s="14"/>
      <c r="M420" s="14"/>
      <c r="N420" s="312"/>
      <c r="Q420" s="111"/>
      <c r="R420" s="307"/>
      <c r="S420" s="14"/>
      <c r="T420" s="308"/>
      <c r="U420" s="309"/>
      <c r="V420" s="310"/>
      <c r="W420" s="14"/>
      <c r="X420" s="14"/>
      <c r="Y420" s="14"/>
      <c r="Z420" s="14"/>
      <c r="AA420" s="14"/>
      <c r="AB420" s="15"/>
      <c r="AC420" s="15"/>
      <c r="AD420" s="15"/>
      <c r="AE420" s="15"/>
    </row>
    <row r="421" spans="1:31" s="44" customFormat="1" x14ac:dyDescent="0.3">
      <c r="A421" s="303"/>
      <c r="B421" s="303"/>
      <c r="C421" s="170"/>
      <c r="D421" s="15"/>
      <c r="E421" s="303"/>
      <c r="F421" s="14"/>
      <c r="G421" s="14"/>
      <c r="H421" s="304"/>
      <c r="I421" s="304"/>
      <c r="J421" s="305"/>
      <c r="K421" s="14"/>
      <c r="L421" s="14"/>
      <c r="M421" s="14"/>
      <c r="N421" s="312"/>
      <c r="Q421" s="111"/>
      <c r="R421" s="307"/>
      <c r="S421" s="14"/>
      <c r="T421" s="308"/>
      <c r="U421" s="309"/>
      <c r="V421" s="310"/>
      <c r="W421" s="14"/>
      <c r="X421" s="14"/>
      <c r="Y421" s="14"/>
      <c r="Z421" s="14"/>
      <c r="AA421" s="14"/>
      <c r="AB421" s="15"/>
      <c r="AC421" s="15"/>
      <c r="AD421" s="15"/>
      <c r="AE421" s="15"/>
    </row>
    <row r="422" spans="1:31" s="44" customFormat="1" x14ac:dyDescent="0.3">
      <c r="A422" s="303"/>
      <c r="B422" s="303"/>
      <c r="C422" s="170"/>
      <c r="D422" s="15"/>
      <c r="E422" s="303"/>
      <c r="F422" s="14"/>
      <c r="G422" s="14"/>
      <c r="H422" s="304"/>
      <c r="I422" s="304"/>
      <c r="J422" s="305"/>
      <c r="K422" s="14"/>
      <c r="L422" s="14"/>
      <c r="M422" s="14"/>
      <c r="N422" s="312"/>
      <c r="Q422" s="111"/>
      <c r="R422" s="307"/>
      <c r="S422" s="14"/>
      <c r="T422" s="308"/>
      <c r="U422" s="309"/>
      <c r="V422" s="310"/>
      <c r="W422" s="14"/>
      <c r="X422" s="14"/>
      <c r="Y422" s="14"/>
      <c r="Z422" s="14"/>
      <c r="AA422" s="14"/>
      <c r="AB422" s="15"/>
      <c r="AC422" s="15"/>
      <c r="AD422" s="15"/>
      <c r="AE422" s="15"/>
    </row>
    <row r="423" spans="1:31" s="44" customFormat="1" x14ac:dyDescent="0.3">
      <c r="A423" s="303"/>
      <c r="B423" s="303"/>
      <c r="C423" s="170"/>
      <c r="D423" s="15"/>
      <c r="E423" s="303"/>
      <c r="F423" s="14"/>
      <c r="G423" s="14"/>
      <c r="H423" s="304"/>
      <c r="I423" s="304"/>
      <c r="J423" s="305"/>
      <c r="K423" s="14"/>
      <c r="L423" s="14"/>
      <c r="M423" s="14"/>
      <c r="N423" s="312"/>
      <c r="Q423" s="111"/>
      <c r="R423" s="307"/>
      <c r="S423" s="14"/>
      <c r="T423" s="308"/>
      <c r="U423" s="309"/>
      <c r="V423" s="310"/>
      <c r="W423" s="14"/>
      <c r="X423" s="14"/>
      <c r="Y423" s="14"/>
      <c r="Z423" s="14"/>
      <c r="AA423" s="14"/>
      <c r="AB423" s="15"/>
      <c r="AC423" s="15"/>
      <c r="AD423" s="15"/>
      <c r="AE423" s="15"/>
    </row>
    <row r="424" spans="1:31" x14ac:dyDescent="0.3">
      <c r="N424" s="312"/>
    </row>
    <row r="425" spans="1:31" s="44" customFormat="1" x14ac:dyDescent="0.3">
      <c r="A425" s="303"/>
      <c r="B425" s="303"/>
      <c r="C425" s="170"/>
      <c r="D425" s="15"/>
      <c r="E425" s="303"/>
      <c r="F425" s="14"/>
      <c r="G425" s="14"/>
      <c r="H425" s="304"/>
      <c r="I425" s="304"/>
      <c r="J425" s="305"/>
      <c r="K425" s="14"/>
      <c r="L425" s="14"/>
      <c r="M425" s="14"/>
      <c r="N425" s="312"/>
      <c r="Q425" s="111"/>
      <c r="R425" s="307"/>
      <c r="S425" s="14"/>
      <c r="T425" s="308"/>
      <c r="U425" s="309"/>
      <c r="V425" s="310"/>
      <c r="W425" s="14"/>
      <c r="X425" s="14"/>
      <c r="Y425" s="14"/>
      <c r="Z425" s="14"/>
      <c r="AA425" s="14"/>
      <c r="AB425" s="15"/>
      <c r="AC425" s="15"/>
      <c r="AD425" s="15"/>
      <c r="AE425" s="15"/>
    </row>
    <row r="426" spans="1:31" s="44" customFormat="1" x14ac:dyDescent="0.3">
      <c r="A426" s="303"/>
      <c r="B426" s="303"/>
      <c r="C426" s="170"/>
      <c r="D426" s="15"/>
      <c r="E426" s="303"/>
      <c r="F426" s="14"/>
      <c r="G426" s="14"/>
      <c r="H426" s="304"/>
      <c r="I426" s="304"/>
      <c r="J426" s="305"/>
      <c r="K426" s="14"/>
      <c r="L426" s="14"/>
      <c r="M426" s="14"/>
      <c r="N426" s="312"/>
      <c r="Q426" s="111"/>
      <c r="R426" s="307"/>
      <c r="S426" s="14"/>
      <c r="T426" s="308"/>
      <c r="U426" s="309"/>
      <c r="V426" s="310"/>
      <c r="W426" s="14"/>
      <c r="X426" s="14"/>
      <c r="Y426" s="14"/>
      <c r="Z426" s="14"/>
      <c r="AA426" s="14"/>
      <c r="AB426" s="15"/>
      <c r="AC426" s="15"/>
      <c r="AD426" s="15"/>
      <c r="AE426" s="15"/>
    </row>
    <row r="427" spans="1:31" s="44" customFormat="1" x14ac:dyDescent="0.3">
      <c r="A427" s="303"/>
      <c r="B427" s="303"/>
      <c r="C427" s="170"/>
      <c r="D427" s="15"/>
      <c r="E427" s="303"/>
      <c r="F427" s="14"/>
      <c r="G427" s="14"/>
      <c r="H427" s="304"/>
      <c r="I427" s="304"/>
      <c r="J427" s="305"/>
      <c r="K427" s="14"/>
      <c r="L427" s="14"/>
      <c r="M427" s="14"/>
      <c r="N427" s="312"/>
      <c r="Q427" s="111"/>
      <c r="R427" s="307"/>
      <c r="S427" s="14"/>
      <c r="T427" s="308"/>
      <c r="U427" s="309"/>
      <c r="V427" s="310"/>
      <c r="W427" s="14"/>
      <c r="X427" s="14"/>
      <c r="Y427" s="14"/>
      <c r="Z427" s="14"/>
      <c r="AA427" s="14"/>
      <c r="AB427" s="15"/>
      <c r="AC427" s="15"/>
      <c r="AD427" s="15"/>
      <c r="AE427" s="15"/>
    </row>
    <row r="428" spans="1:31" s="44" customFormat="1" x14ac:dyDescent="0.3">
      <c r="A428" s="303"/>
      <c r="B428" s="303"/>
      <c r="C428" s="170"/>
      <c r="D428" s="15"/>
      <c r="E428" s="303"/>
      <c r="F428" s="14"/>
      <c r="G428" s="14"/>
      <c r="H428" s="304"/>
      <c r="I428" s="304"/>
      <c r="J428" s="305"/>
      <c r="K428" s="14"/>
      <c r="L428" s="14"/>
      <c r="M428" s="14"/>
      <c r="N428" s="312"/>
      <c r="Q428" s="111"/>
      <c r="R428" s="307"/>
      <c r="S428" s="14"/>
      <c r="T428" s="308"/>
      <c r="U428" s="309"/>
      <c r="V428" s="310"/>
      <c r="W428" s="14"/>
      <c r="X428" s="14"/>
      <c r="Y428" s="14"/>
      <c r="Z428" s="14"/>
      <c r="AA428" s="14"/>
      <c r="AB428" s="15"/>
      <c r="AC428" s="15"/>
      <c r="AD428" s="15"/>
      <c r="AE428" s="15"/>
    </row>
    <row r="429" spans="1:31" s="44" customFormat="1" x14ac:dyDescent="0.3">
      <c r="A429" s="303"/>
      <c r="B429" s="303"/>
      <c r="C429" s="170"/>
      <c r="D429" s="15"/>
      <c r="E429" s="303"/>
      <c r="F429" s="14"/>
      <c r="G429" s="14"/>
      <c r="H429" s="304"/>
      <c r="I429" s="304"/>
      <c r="J429" s="305"/>
      <c r="K429" s="14"/>
      <c r="L429" s="14"/>
      <c r="M429" s="14"/>
      <c r="N429" s="312"/>
      <c r="Q429" s="111"/>
      <c r="R429" s="307"/>
      <c r="S429" s="14"/>
      <c r="T429" s="308"/>
      <c r="U429" s="309"/>
      <c r="V429" s="310"/>
      <c r="W429" s="14"/>
      <c r="X429" s="14"/>
      <c r="Y429" s="14"/>
      <c r="Z429" s="14"/>
      <c r="AA429" s="14"/>
      <c r="AB429" s="15"/>
      <c r="AC429" s="15"/>
      <c r="AD429" s="15"/>
      <c r="AE429" s="15"/>
    </row>
    <row r="430" spans="1:31" s="44" customFormat="1" x14ac:dyDescent="0.3">
      <c r="A430" s="303"/>
      <c r="B430" s="303"/>
      <c r="C430" s="170"/>
      <c r="D430" s="15"/>
      <c r="E430" s="303"/>
      <c r="F430" s="14"/>
      <c r="G430" s="14"/>
      <c r="H430" s="304"/>
      <c r="I430" s="304"/>
      <c r="J430" s="305"/>
      <c r="K430" s="14"/>
      <c r="L430" s="14"/>
      <c r="M430" s="14"/>
      <c r="N430" s="312"/>
      <c r="Q430" s="111"/>
      <c r="R430" s="307"/>
      <c r="S430" s="14"/>
      <c r="T430" s="308"/>
      <c r="U430" s="309"/>
      <c r="V430" s="310"/>
      <c r="W430" s="14"/>
      <c r="X430" s="14"/>
      <c r="Y430" s="14"/>
      <c r="Z430" s="14"/>
      <c r="AA430" s="14"/>
      <c r="AB430" s="15"/>
      <c r="AC430" s="15"/>
      <c r="AD430" s="15"/>
      <c r="AE430" s="15"/>
    </row>
    <row r="431" spans="1:31" s="44" customFormat="1" x14ac:dyDescent="0.3">
      <c r="A431" s="303"/>
      <c r="B431" s="303"/>
      <c r="C431" s="170"/>
      <c r="D431" s="15"/>
      <c r="E431" s="303"/>
      <c r="F431" s="14"/>
      <c r="G431" s="14"/>
      <c r="H431" s="304"/>
      <c r="I431" s="304"/>
      <c r="J431" s="305"/>
      <c r="K431" s="14"/>
      <c r="L431" s="14"/>
      <c r="M431" s="14"/>
      <c r="N431" s="312"/>
      <c r="Q431" s="111"/>
      <c r="R431" s="307"/>
      <c r="S431" s="14"/>
      <c r="T431" s="308"/>
      <c r="U431" s="309"/>
      <c r="V431" s="310"/>
      <c r="W431" s="14"/>
      <c r="X431" s="14"/>
      <c r="Y431" s="14"/>
      <c r="Z431" s="14"/>
      <c r="AA431" s="14"/>
      <c r="AB431" s="15"/>
      <c r="AC431" s="15"/>
      <c r="AD431" s="15"/>
      <c r="AE431" s="15"/>
    </row>
    <row r="432" spans="1:31" s="44" customFormat="1" x14ac:dyDescent="0.3">
      <c r="A432" s="303"/>
      <c r="B432" s="303"/>
      <c r="C432" s="170"/>
      <c r="D432" s="15"/>
      <c r="E432" s="303"/>
      <c r="F432" s="14"/>
      <c r="G432" s="14"/>
      <c r="H432" s="304"/>
      <c r="I432" s="304"/>
      <c r="J432" s="305"/>
      <c r="K432" s="14"/>
      <c r="L432" s="14"/>
      <c r="M432" s="14"/>
      <c r="N432" s="312"/>
      <c r="Q432" s="111"/>
      <c r="R432" s="307"/>
      <c r="S432" s="14"/>
      <c r="T432" s="308"/>
      <c r="U432" s="309"/>
      <c r="V432" s="310"/>
      <c r="W432" s="14"/>
      <c r="X432" s="14"/>
      <c r="Y432" s="14"/>
      <c r="Z432" s="14"/>
      <c r="AA432" s="14"/>
      <c r="AB432" s="15"/>
      <c r="AC432" s="15"/>
      <c r="AD432" s="15"/>
      <c r="AE432" s="15"/>
    </row>
    <row r="433" spans="1:31" s="44" customFormat="1" x14ac:dyDescent="0.3">
      <c r="A433" s="303"/>
      <c r="B433" s="303"/>
      <c r="C433" s="170"/>
      <c r="D433" s="15"/>
      <c r="E433" s="303"/>
      <c r="F433" s="14"/>
      <c r="G433" s="14"/>
      <c r="H433" s="304"/>
      <c r="I433" s="304"/>
      <c r="J433" s="305"/>
      <c r="K433" s="14"/>
      <c r="L433" s="14"/>
      <c r="M433" s="14"/>
      <c r="N433" s="312"/>
      <c r="Q433" s="111"/>
      <c r="R433" s="307"/>
      <c r="S433" s="14"/>
      <c r="T433" s="308"/>
      <c r="U433" s="309"/>
      <c r="V433" s="310"/>
      <c r="W433" s="14"/>
      <c r="X433" s="14"/>
      <c r="Y433" s="14"/>
      <c r="Z433" s="14"/>
      <c r="AA433" s="14"/>
      <c r="AB433" s="15"/>
      <c r="AC433" s="15"/>
      <c r="AD433" s="15"/>
      <c r="AE433" s="15"/>
    </row>
    <row r="434" spans="1:31" s="44" customFormat="1" x14ac:dyDescent="0.3">
      <c r="A434" s="303"/>
      <c r="B434" s="303"/>
      <c r="C434" s="170"/>
      <c r="D434" s="15"/>
      <c r="E434" s="303"/>
      <c r="F434" s="14"/>
      <c r="G434" s="14"/>
      <c r="H434" s="304"/>
      <c r="I434" s="304"/>
      <c r="J434" s="305"/>
      <c r="K434" s="14"/>
      <c r="L434" s="14"/>
      <c r="M434" s="14"/>
      <c r="N434" s="312"/>
      <c r="Q434" s="111"/>
      <c r="R434" s="307"/>
      <c r="S434" s="14"/>
      <c r="T434" s="308"/>
      <c r="U434" s="309"/>
      <c r="V434" s="310"/>
      <c r="W434" s="14"/>
      <c r="X434" s="14"/>
      <c r="Y434" s="14"/>
      <c r="Z434" s="14"/>
      <c r="AA434" s="14"/>
      <c r="AB434" s="15"/>
      <c r="AC434" s="15"/>
      <c r="AD434" s="15"/>
      <c r="AE434" s="15"/>
    </row>
    <row r="435" spans="1:31" s="44" customFormat="1" x14ac:dyDescent="0.3">
      <c r="A435" s="303"/>
      <c r="B435" s="303"/>
      <c r="C435" s="170"/>
      <c r="D435" s="15"/>
      <c r="E435" s="303"/>
      <c r="F435" s="14"/>
      <c r="G435" s="14"/>
      <c r="H435" s="304"/>
      <c r="I435" s="304"/>
      <c r="J435" s="305"/>
      <c r="K435" s="14"/>
      <c r="L435" s="14"/>
      <c r="M435" s="14"/>
      <c r="N435" s="312"/>
      <c r="Q435" s="111"/>
      <c r="R435" s="307"/>
      <c r="S435" s="14"/>
      <c r="T435" s="308"/>
      <c r="U435" s="309"/>
      <c r="V435" s="310"/>
      <c r="W435" s="14"/>
      <c r="X435" s="14"/>
      <c r="Y435" s="14"/>
      <c r="Z435" s="14"/>
      <c r="AA435" s="14"/>
      <c r="AB435" s="15"/>
      <c r="AC435" s="15"/>
      <c r="AD435" s="15"/>
      <c r="AE435" s="15"/>
    </row>
    <row r="436" spans="1:31" s="44" customFormat="1" x14ac:dyDescent="0.3">
      <c r="A436" s="303"/>
      <c r="B436" s="303"/>
      <c r="C436" s="170"/>
      <c r="D436" s="15"/>
      <c r="E436" s="303"/>
      <c r="F436" s="14"/>
      <c r="G436" s="14"/>
      <c r="H436" s="304"/>
      <c r="I436" s="304"/>
      <c r="J436" s="305"/>
      <c r="K436" s="14"/>
      <c r="L436" s="14"/>
      <c r="M436" s="14"/>
      <c r="N436" s="312"/>
      <c r="Q436" s="111"/>
      <c r="R436" s="307"/>
      <c r="S436" s="14"/>
      <c r="T436" s="308"/>
      <c r="U436" s="309"/>
      <c r="V436" s="310"/>
      <c r="W436" s="14"/>
      <c r="X436" s="14"/>
      <c r="Y436" s="14"/>
      <c r="Z436" s="14"/>
      <c r="AA436" s="14"/>
      <c r="AB436" s="15"/>
      <c r="AC436" s="15"/>
      <c r="AD436" s="15"/>
      <c r="AE436" s="15"/>
    </row>
    <row r="437" spans="1:31" s="44" customFormat="1" x14ac:dyDescent="0.3">
      <c r="A437" s="303"/>
      <c r="B437" s="303"/>
      <c r="C437" s="170"/>
      <c r="D437" s="15"/>
      <c r="E437" s="303"/>
      <c r="F437" s="14"/>
      <c r="G437" s="14"/>
      <c r="H437" s="304"/>
      <c r="I437" s="304"/>
      <c r="J437" s="305"/>
      <c r="K437" s="14"/>
      <c r="L437" s="14"/>
      <c r="M437" s="14"/>
      <c r="N437" s="312"/>
      <c r="Q437" s="111"/>
      <c r="R437" s="307"/>
      <c r="S437" s="14"/>
      <c r="T437" s="308"/>
      <c r="U437" s="309"/>
      <c r="V437" s="310"/>
      <c r="W437" s="14"/>
      <c r="X437" s="14"/>
      <c r="Y437" s="14"/>
      <c r="Z437" s="14"/>
      <c r="AA437" s="14"/>
      <c r="AB437" s="15"/>
      <c r="AC437" s="15"/>
      <c r="AD437" s="15"/>
      <c r="AE437" s="15"/>
    </row>
    <row r="438" spans="1:31" s="44" customFormat="1" x14ac:dyDescent="0.3">
      <c r="A438" s="303"/>
      <c r="B438" s="303"/>
      <c r="C438" s="170"/>
      <c r="D438" s="15"/>
      <c r="E438" s="303"/>
      <c r="F438" s="14"/>
      <c r="G438" s="14"/>
      <c r="H438" s="304"/>
      <c r="I438" s="304"/>
      <c r="J438" s="305"/>
      <c r="K438" s="14"/>
      <c r="L438" s="14"/>
      <c r="M438" s="14"/>
      <c r="N438" s="312"/>
      <c r="Q438" s="111"/>
      <c r="R438" s="307"/>
      <c r="S438" s="14"/>
      <c r="T438" s="308"/>
      <c r="U438" s="309"/>
      <c r="V438" s="310"/>
      <c r="W438" s="14"/>
      <c r="X438" s="14"/>
      <c r="Y438" s="14"/>
      <c r="Z438" s="14"/>
      <c r="AA438" s="14"/>
      <c r="AB438" s="15"/>
      <c r="AC438" s="15"/>
      <c r="AD438" s="15"/>
      <c r="AE438" s="15"/>
    </row>
    <row r="439" spans="1:31" s="44" customFormat="1" x14ac:dyDescent="0.3">
      <c r="A439" s="303"/>
      <c r="B439" s="303"/>
      <c r="C439" s="170"/>
      <c r="D439" s="15"/>
      <c r="E439" s="303"/>
      <c r="F439" s="14"/>
      <c r="G439" s="14"/>
      <c r="H439" s="304"/>
      <c r="I439" s="304"/>
      <c r="J439" s="305"/>
      <c r="K439" s="14"/>
      <c r="L439" s="14"/>
      <c r="M439" s="14"/>
      <c r="N439" s="312"/>
      <c r="Q439" s="111"/>
      <c r="R439" s="307"/>
      <c r="S439" s="14"/>
      <c r="T439" s="308"/>
      <c r="U439" s="309"/>
      <c r="V439" s="310"/>
      <c r="W439" s="14"/>
      <c r="X439" s="14"/>
      <c r="Y439" s="14"/>
      <c r="Z439" s="14"/>
      <c r="AA439" s="14"/>
      <c r="AB439" s="15"/>
      <c r="AC439" s="15"/>
      <c r="AD439" s="15"/>
      <c r="AE439" s="15"/>
    </row>
    <row r="440" spans="1:31" s="44" customFormat="1" x14ac:dyDescent="0.3">
      <c r="A440" s="303"/>
      <c r="B440" s="303"/>
      <c r="C440" s="170"/>
      <c r="D440" s="15"/>
      <c r="E440" s="303"/>
      <c r="F440" s="14"/>
      <c r="G440" s="14"/>
      <c r="H440" s="304"/>
      <c r="I440" s="304"/>
      <c r="J440" s="305"/>
      <c r="K440" s="14"/>
      <c r="L440" s="14"/>
      <c r="M440" s="14"/>
      <c r="N440" s="312"/>
      <c r="Q440" s="111"/>
      <c r="R440" s="307"/>
      <c r="S440" s="14"/>
      <c r="T440" s="308"/>
      <c r="U440" s="309"/>
      <c r="V440" s="310"/>
      <c r="W440" s="14"/>
      <c r="X440" s="14"/>
      <c r="Y440" s="14"/>
      <c r="Z440" s="14"/>
      <c r="AA440" s="14"/>
      <c r="AB440" s="15"/>
      <c r="AC440" s="15"/>
      <c r="AD440" s="15"/>
      <c r="AE440" s="15"/>
    </row>
    <row r="441" spans="1:31" s="44" customFormat="1" x14ac:dyDescent="0.3">
      <c r="A441" s="303"/>
      <c r="B441" s="303"/>
      <c r="C441" s="170"/>
      <c r="D441" s="15"/>
      <c r="E441" s="303"/>
      <c r="F441" s="14"/>
      <c r="G441" s="14"/>
      <c r="H441" s="304"/>
      <c r="I441" s="304"/>
      <c r="J441" s="305"/>
      <c r="K441" s="14"/>
      <c r="L441" s="14"/>
      <c r="M441" s="14"/>
      <c r="N441" s="312"/>
      <c r="Q441" s="111"/>
      <c r="R441" s="307"/>
      <c r="S441" s="14"/>
      <c r="T441" s="308"/>
      <c r="U441" s="309"/>
      <c r="V441" s="310"/>
      <c r="W441" s="14"/>
      <c r="X441" s="14"/>
      <c r="Y441" s="14"/>
      <c r="Z441" s="14"/>
      <c r="AA441" s="14"/>
      <c r="AB441" s="15"/>
      <c r="AC441" s="15"/>
      <c r="AD441" s="15"/>
      <c r="AE441" s="15"/>
    </row>
    <row r="442" spans="1:31" s="44" customFormat="1" x14ac:dyDescent="0.3">
      <c r="A442" s="303"/>
      <c r="B442" s="303"/>
      <c r="C442" s="170"/>
      <c r="D442" s="15"/>
      <c r="E442" s="303"/>
      <c r="F442" s="14"/>
      <c r="G442" s="14"/>
      <c r="H442" s="304"/>
      <c r="I442" s="304"/>
      <c r="J442" s="305"/>
      <c r="K442" s="14"/>
      <c r="L442" s="14"/>
      <c r="M442" s="14"/>
      <c r="N442" s="312"/>
      <c r="Q442" s="111"/>
      <c r="R442" s="307"/>
      <c r="S442" s="14"/>
      <c r="T442" s="308"/>
      <c r="U442" s="309"/>
      <c r="V442" s="310"/>
      <c r="W442" s="14"/>
      <c r="X442" s="14"/>
      <c r="Y442" s="14"/>
      <c r="Z442" s="14"/>
      <c r="AA442" s="14"/>
      <c r="AB442" s="15"/>
      <c r="AC442" s="15"/>
      <c r="AD442" s="15"/>
      <c r="AE442" s="15"/>
    </row>
    <row r="443" spans="1:31" s="44" customFormat="1" x14ac:dyDescent="0.3">
      <c r="A443" s="303"/>
      <c r="B443" s="303"/>
      <c r="C443" s="170"/>
      <c r="D443" s="15"/>
      <c r="E443" s="303"/>
      <c r="F443" s="14"/>
      <c r="G443" s="14"/>
      <c r="H443" s="304"/>
      <c r="I443" s="304"/>
      <c r="J443" s="305"/>
      <c r="K443" s="14"/>
      <c r="L443" s="14"/>
      <c r="M443" s="14"/>
      <c r="N443" s="312"/>
      <c r="Q443" s="111"/>
      <c r="R443" s="307"/>
      <c r="S443" s="14"/>
      <c r="T443" s="308"/>
      <c r="U443" s="309"/>
      <c r="V443" s="310"/>
      <c r="W443" s="14"/>
      <c r="X443" s="14"/>
      <c r="Y443" s="14"/>
      <c r="Z443" s="14"/>
      <c r="AA443" s="14"/>
      <c r="AB443" s="15"/>
      <c r="AC443" s="15"/>
      <c r="AD443" s="15"/>
      <c r="AE443" s="15"/>
    </row>
    <row r="444" spans="1:31" s="44" customFormat="1" x14ac:dyDescent="0.3">
      <c r="A444" s="303"/>
      <c r="B444" s="303"/>
      <c r="C444" s="170"/>
      <c r="D444" s="15"/>
      <c r="E444" s="303"/>
      <c r="F444" s="14"/>
      <c r="G444" s="14"/>
      <c r="H444" s="304"/>
      <c r="I444" s="304"/>
      <c r="J444" s="305"/>
      <c r="K444" s="14"/>
      <c r="L444" s="14"/>
      <c r="M444" s="14"/>
      <c r="N444" s="312"/>
      <c r="Q444" s="111"/>
      <c r="R444" s="307"/>
      <c r="S444" s="14"/>
      <c r="T444" s="308"/>
      <c r="U444" s="309"/>
      <c r="V444" s="310"/>
      <c r="W444" s="14"/>
      <c r="X444" s="14"/>
      <c r="Y444" s="14"/>
      <c r="Z444" s="14"/>
      <c r="AA444" s="14"/>
      <c r="AB444" s="15"/>
      <c r="AC444" s="15"/>
      <c r="AD444" s="15"/>
      <c r="AE444" s="15"/>
    </row>
    <row r="445" spans="1:31" s="44" customFormat="1" x14ac:dyDescent="0.3">
      <c r="A445" s="303"/>
      <c r="B445" s="303"/>
      <c r="C445" s="170"/>
      <c r="D445" s="15"/>
      <c r="E445" s="303"/>
      <c r="F445" s="14"/>
      <c r="G445" s="14"/>
      <c r="H445" s="304"/>
      <c r="I445" s="304"/>
      <c r="J445" s="305"/>
      <c r="K445" s="14"/>
      <c r="L445" s="14"/>
      <c r="M445" s="14"/>
      <c r="N445" s="312"/>
      <c r="Q445" s="111"/>
      <c r="R445" s="307"/>
      <c r="S445" s="14"/>
      <c r="T445" s="308"/>
      <c r="U445" s="309"/>
      <c r="V445" s="310"/>
      <c r="W445" s="14"/>
      <c r="X445" s="14"/>
      <c r="Y445" s="14"/>
      <c r="Z445" s="14"/>
      <c r="AA445" s="14"/>
      <c r="AB445" s="15"/>
      <c r="AC445" s="15"/>
      <c r="AD445" s="15"/>
      <c r="AE445" s="15"/>
    </row>
    <row r="446" spans="1:31" s="44" customFormat="1" x14ac:dyDescent="0.3">
      <c r="A446" s="303"/>
      <c r="B446" s="303"/>
      <c r="C446" s="170"/>
      <c r="D446" s="15"/>
      <c r="E446" s="303"/>
      <c r="F446" s="14"/>
      <c r="G446" s="14"/>
      <c r="H446" s="304"/>
      <c r="I446" s="304"/>
      <c r="J446" s="305"/>
      <c r="K446" s="14"/>
      <c r="L446" s="14"/>
      <c r="M446" s="14"/>
      <c r="N446" s="312"/>
      <c r="Q446" s="111"/>
      <c r="R446" s="307"/>
      <c r="S446" s="14"/>
      <c r="T446" s="308"/>
      <c r="U446" s="309"/>
      <c r="V446" s="310"/>
      <c r="W446" s="14"/>
      <c r="X446" s="14"/>
      <c r="Y446" s="14"/>
      <c r="Z446" s="14"/>
      <c r="AA446" s="14"/>
      <c r="AB446" s="15"/>
      <c r="AC446" s="15"/>
      <c r="AD446" s="15"/>
      <c r="AE446" s="15"/>
    </row>
    <row r="447" spans="1:31" s="44" customFormat="1" x14ac:dyDescent="0.3">
      <c r="A447" s="303"/>
      <c r="B447" s="303"/>
      <c r="C447" s="170"/>
      <c r="D447" s="15"/>
      <c r="E447" s="303"/>
      <c r="F447" s="14"/>
      <c r="G447" s="14"/>
      <c r="H447" s="304"/>
      <c r="I447" s="304"/>
      <c r="J447" s="305"/>
      <c r="K447" s="14"/>
      <c r="L447" s="14"/>
      <c r="M447" s="14"/>
      <c r="N447" s="312"/>
      <c r="Q447" s="111"/>
      <c r="R447" s="307"/>
      <c r="S447" s="14"/>
      <c r="T447" s="308"/>
      <c r="U447" s="309"/>
      <c r="V447" s="310"/>
      <c r="W447" s="14"/>
      <c r="X447" s="14"/>
      <c r="Y447" s="14"/>
      <c r="Z447" s="14"/>
      <c r="AA447" s="14"/>
      <c r="AB447" s="15"/>
      <c r="AC447" s="15"/>
      <c r="AD447" s="15"/>
      <c r="AE447" s="15"/>
    </row>
    <row r="448" spans="1:31" s="44" customFormat="1" x14ac:dyDescent="0.3">
      <c r="A448" s="303"/>
      <c r="B448" s="303"/>
      <c r="C448" s="170"/>
      <c r="D448" s="15"/>
      <c r="E448" s="303"/>
      <c r="F448" s="14"/>
      <c r="G448" s="14"/>
      <c r="H448" s="304"/>
      <c r="I448" s="304"/>
      <c r="J448" s="305"/>
      <c r="K448" s="14"/>
      <c r="L448" s="14"/>
      <c r="M448" s="14"/>
      <c r="N448" s="312"/>
      <c r="Q448" s="111"/>
      <c r="R448" s="307"/>
      <c r="S448" s="14"/>
      <c r="T448" s="308"/>
      <c r="U448" s="309"/>
      <c r="V448" s="310"/>
      <c r="W448" s="14"/>
      <c r="X448" s="14"/>
      <c r="Y448" s="14"/>
      <c r="Z448" s="14"/>
      <c r="AA448" s="14"/>
      <c r="AB448" s="15"/>
      <c r="AC448" s="15"/>
      <c r="AD448" s="15"/>
      <c r="AE448" s="15"/>
    </row>
    <row r="449" spans="1:31" s="44" customFormat="1" x14ac:dyDescent="0.3">
      <c r="A449" s="303"/>
      <c r="B449" s="303"/>
      <c r="C449" s="170"/>
      <c r="D449" s="15"/>
      <c r="E449" s="303"/>
      <c r="F449" s="14"/>
      <c r="G449" s="14"/>
      <c r="H449" s="304"/>
      <c r="I449" s="304"/>
      <c r="J449" s="305"/>
      <c r="K449" s="14"/>
      <c r="L449" s="14"/>
      <c r="M449" s="14"/>
      <c r="N449" s="312"/>
      <c r="Q449" s="111"/>
      <c r="R449" s="307"/>
      <c r="S449" s="14"/>
      <c r="T449" s="308"/>
      <c r="U449" s="309"/>
      <c r="V449" s="310"/>
      <c r="W449" s="14"/>
      <c r="X449" s="14"/>
      <c r="Y449" s="14"/>
      <c r="Z449" s="14"/>
      <c r="AA449" s="14"/>
      <c r="AB449" s="15"/>
      <c r="AC449" s="15"/>
      <c r="AD449" s="15"/>
      <c r="AE449" s="15"/>
    </row>
    <row r="450" spans="1:31" s="44" customFormat="1" x14ac:dyDescent="0.3">
      <c r="A450" s="303"/>
      <c r="B450" s="303"/>
      <c r="C450" s="170"/>
      <c r="D450" s="15"/>
      <c r="E450" s="303"/>
      <c r="F450" s="14"/>
      <c r="G450" s="14"/>
      <c r="H450" s="304"/>
      <c r="I450" s="304"/>
      <c r="J450" s="305"/>
      <c r="K450" s="14"/>
      <c r="L450" s="14"/>
      <c r="M450" s="14"/>
      <c r="N450" s="312"/>
      <c r="Q450" s="111"/>
      <c r="R450" s="307"/>
      <c r="S450" s="14"/>
      <c r="T450" s="308"/>
      <c r="U450" s="309"/>
      <c r="V450" s="310"/>
      <c r="W450" s="14"/>
      <c r="X450" s="14"/>
      <c r="Y450" s="14"/>
      <c r="Z450" s="14"/>
      <c r="AA450" s="14"/>
      <c r="AB450" s="15"/>
      <c r="AC450" s="15"/>
      <c r="AD450" s="15"/>
      <c r="AE450" s="15"/>
    </row>
    <row r="451" spans="1:31" s="44" customFormat="1" x14ac:dyDescent="0.3">
      <c r="A451" s="303"/>
      <c r="B451" s="303"/>
      <c r="C451" s="170"/>
      <c r="D451" s="15"/>
      <c r="E451" s="303"/>
      <c r="F451" s="14"/>
      <c r="G451" s="14"/>
      <c r="H451" s="304"/>
      <c r="I451" s="304"/>
      <c r="J451" s="305"/>
      <c r="K451" s="14"/>
      <c r="L451" s="14"/>
      <c r="M451" s="14"/>
      <c r="N451" s="312"/>
      <c r="Q451" s="111"/>
      <c r="R451" s="307"/>
      <c r="S451" s="14"/>
      <c r="T451" s="308"/>
      <c r="U451" s="309"/>
      <c r="V451" s="310"/>
      <c r="W451" s="14"/>
      <c r="X451" s="14"/>
      <c r="Y451" s="14"/>
      <c r="Z451" s="14"/>
      <c r="AA451" s="14"/>
      <c r="AB451" s="15"/>
      <c r="AC451" s="15"/>
      <c r="AD451" s="15"/>
      <c r="AE451" s="15"/>
    </row>
    <row r="452" spans="1:31" s="44" customFormat="1" x14ac:dyDescent="0.3">
      <c r="A452" s="303"/>
      <c r="B452" s="303"/>
      <c r="C452" s="170"/>
      <c r="D452" s="15"/>
      <c r="E452" s="303"/>
      <c r="F452" s="14"/>
      <c r="G452" s="14"/>
      <c r="H452" s="304"/>
      <c r="I452" s="304"/>
      <c r="J452" s="305"/>
      <c r="K452" s="14"/>
      <c r="L452" s="14"/>
      <c r="M452" s="14"/>
      <c r="N452" s="312"/>
      <c r="Q452" s="111"/>
      <c r="R452" s="307"/>
      <c r="S452" s="14"/>
      <c r="T452" s="308"/>
      <c r="U452" s="309"/>
      <c r="V452" s="310"/>
      <c r="W452" s="14"/>
      <c r="X452" s="14"/>
      <c r="Y452" s="14"/>
      <c r="Z452" s="14"/>
      <c r="AA452" s="14"/>
      <c r="AB452" s="15"/>
      <c r="AC452" s="15"/>
      <c r="AD452" s="15"/>
      <c r="AE452" s="15"/>
    </row>
    <row r="453" spans="1:31" s="44" customFormat="1" x14ac:dyDescent="0.3">
      <c r="A453" s="303"/>
      <c r="B453" s="303"/>
      <c r="C453" s="170"/>
      <c r="D453" s="15"/>
      <c r="E453" s="303"/>
      <c r="F453" s="14"/>
      <c r="G453" s="14"/>
      <c r="H453" s="304"/>
      <c r="I453" s="304"/>
      <c r="J453" s="305"/>
      <c r="K453" s="14"/>
      <c r="L453" s="14"/>
      <c r="M453" s="14"/>
      <c r="N453" s="312"/>
      <c r="Q453" s="111"/>
      <c r="R453" s="307"/>
      <c r="S453" s="14"/>
      <c r="T453" s="308"/>
      <c r="U453" s="309"/>
      <c r="V453" s="310"/>
      <c r="W453" s="14"/>
      <c r="X453" s="14"/>
      <c r="Y453" s="14"/>
      <c r="Z453" s="14"/>
      <c r="AA453" s="14"/>
      <c r="AB453" s="15"/>
      <c r="AC453" s="15"/>
      <c r="AD453" s="15"/>
      <c r="AE453" s="15"/>
    </row>
    <row r="454" spans="1:31" s="44" customFormat="1" x14ac:dyDescent="0.3">
      <c r="A454" s="303"/>
      <c r="B454" s="303"/>
      <c r="C454" s="170"/>
      <c r="D454" s="15"/>
      <c r="E454" s="303"/>
      <c r="F454" s="14"/>
      <c r="G454" s="14"/>
      <c r="H454" s="304"/>
      <c r="I454" s="304"/>
      <c r="J454" s="305"/>
      <c r="K454" s="14"/>
      <c r="L454" s="14"/>
      <c r="M454" s="14"/>
      <c r="N454" s="312"/>
      <c r="Q454" s="111"/>
      <c r="R454" s="307"/>
      <c r="S454" s="14"/>
      <c r="T454" s="308"/>
      <c r="U454" s="309"/>
      <c r="V454" s="310"/>
      <c r="W454" s="14"/>
      <c r="X454" s="14"/>
      <c r="Y454" s="14"/>
      <c r="Z454" s="14"/>
      <c r="AA454" s="14"/>
      <c r="AB454" s="15"/>
      <c r="AC454" s="15"/>
      <c r="AD454" s="15"/>
      <c r="AE454" s="15"/>
    </row>
    <row r="455" spans="1:31" s="44" customFormat="1" x14ac:dyDescent="0.3">
      <c r="A455" s="303"/>
      <c r="B455" s="303"/>
      <c r="C455" s="170"/>
      <c r="D455" s="15"/>
      <c r="E455" s="303"/>
      <c r="F455" s="14"/>
      <c r="G455" s="14"/>
      <c r="H455" s="304"/>
      <c r="I455" s="304"/>
      <c r="J455" s="305"/>
      <c r="K455" s="14"/>
      <c r="L455" s="14"/>
      <c r="M455" s="14"/>
      <c r="N455" s="312"/>
      <c r="Q455" s="111"/>
      <c r="R455" s="307"/>
      <c r="S455" s="14"/>
      <c r="T455" s="308"/>
      <c r="U455" s="309"/>
      <c r="V455" s="310"/>
      <c r="W455" s="14"/>
      <c r="X455" s="14"/>
      <c r="Y455" s="14"/>
      <c r="Z455" s="14"/>
      <c r="AA455" s="14"/>
      <c r="AB455" s="15"/>
      <c r="AC455" s="15"/>
      <c r="AD455" s="15"/>
      <c r="AE455" s="15"/>
    </row>
    <row r="456" spans="1:31" s="44" customFormat="1" x14ac:dyDescent="0.3">
      <c r="A456" s="303"/>
      <c r="B456" s="303"/>
      <c r="C456" s="170"/>
      <c r="D456" s="15"/>
      <c r="E456" s="303"/>
      <c r="F456" s="14"/>
      <c r="G456" s="14"/>
      <c r="H456" s="304"/>
      <c r="I456" s="304"/>
      <c r="J456" s="305"/>
      <c r="K456" s="14"/>
      <c r="L456" s="14"/>
      <c r="M456" s="14"/>
      <c r="N456" s="312"/>
      <c r="Q456" s="111"/>
      <c r="R456" s="307"/>
      <c r="S456" s="14"/>
      <c r="T456" s="308"/>
      <c r="U456" s="309"/>
      <c r="V456" s="310"/>
      <c r="W456" s="14"/>
      <c r="X456" s="14"/>
      <c r="Y456" s="14"/>
      <c r="Z456" s="14"/>
      <c r="AA456" s="14"/>
      <c r="AB456" s="15"/>
      <c r="AC456" s="15"/>
      <c r="AD456" s="15"/>
      <c r="AE456" s="15"/>
    </row>
    <row r="457" spans="1:31" s="44" customFormat="1" x14ac:dyDescent="0.3">
      <c r="A457" s="303"/>
      <c r="B457" s="303"/>
      <c r="C457" s="170"/>
      <c r="D457" s="15"/>
      <c r="E457" s="303"/>
      <c r="F457" s="14"/>
      <c r="G457" s="14"/>
      <c r="H457" s="304"/>
      <c r="I457" s="304"/>
      <c r="J457" s="305"/>
      <c r="K457" s="14"/>
      <c r="L457" s="14"/>
      <c r="M457" s="14"/>
      <c r="N457" s="312"/>
      <c r="Q457" s="111"/>
      <c r="R457" s="307"/>
      <c r="S457" s="14"/>
      <c r="T457" s="308"/>
      <c r="U457" s="309"/>
      <c r="V457" s="310"/>
      <c r="W457" s="14"/>
      <c r="X457" s="14"/>
      <c r="Y457" s="14"/>
      <c r="Z457" s="14"/>
      <c r="AA457" s="14"/>
      <c r="AB457" s="15"/>
      <c r="AC457" s="15"/>
      <c r="AD457" s="15"/>
      <c r="AE457" s="15"/>
    </row>
    <row r="458" spans="1:31" s="44" customFormat="1" x14ac:dyDescent="0.3">
      <c r="A458" s="303"/>
      <c r="B458" s="303"/>
      <c r="C458" s="170"/>
      <c r="D458" s="15"/>
      <c r="E458" s="303"/>
      <c r="F458" s="14"/>
      <c r="G458" s="14"/>
      <c r="H458" s="304"/>
      <c r="I458" s="304"/>
      <c r="J458" s="305"/>
      <c r="K458" s="14"/>
      <c r="L458" s="14"/>
      <c r="M458" s="14"/>
      <c r="N458" s="312"/>
      <c r="Q458" s="111"/>
      <c r="R458" s="307"/>
      <c r="S458" s="14"/>
      <c r="T458" s="308"/>
      <c r="U458" s="309"/>
      <c r="V458" s="310"/>
      <c r="W458" s="14"/>
      <c r="X458" s="14"/>
      <c r="Y458" s="14"/>
      <c r="Z458" s="14"/>
      <c r="AA458" s="14"/>
      <c r="AB458" s="15"/>
      <c r="AC458" s="15"/>
      <c r="AD458" s="15"/>
      <c r="AE458" s="15"/>
    </row>
    <row r="459" spans="1:31" s="44" customFormat="1" x14ac:dyDescent="0.3">
      <c r="A459" s="303"/>
      <c r="B459" s="303"/>
      <c r="C459" s="170"/>
      <c r="D459" s="15"/>
      <c r="E459" s="303"/>
      <c r="F459" s="14"/>
      <c r="G459" s="14"/>
      <c r="H459" s="304"/>
      <c r="I459" s="304"/>
      <c r="J459" s="305"/>
      <c r="K459" s="14"/>
      <c r="L459" s="14"/>
      <c r="M459" s="14"/>
      <c r="N459" s="312"/>
      <c r="Q459" s="111"/>
      <c r="R459" s="307"/>
      <c r="S459" s="14"/>
      <c r="T459" s="308"/>
      <c r="U459" s="309"/>
      <c r="V459" s="310"/>
      <c r="W459" s="14"/>
      <c r="X459" s="14"/>
      <c r="Y459" s="14"/>
      <c r="Z459" s="14"/>
      <c r="AA459" s="14"/>
      <c r="AB459" s="15"/>
      <c r="AC459" s="15"/>
      <c r="AD459" s="15"/>
      <c r="AE459" s="15"/>
    </row>
    <row r="460" spans="1:31" s="44" customFormat="1" x14ac:dyDescent="0.3">
      <c r="A460" s="303"/>
      <c r="B460" s="303"/>
      <c r="C460" s="170"/>
      <c r="D460" s="15"/>
      <c r="E460" s="303"/>
      <c r="F460" s="14"/>
      <c r="G460" s="14"/>
      <c r="H460" s="304"/>
      <c r="I460" s="304"/>
      <c r="J460" s="305"/>
      <c r="K460" s="14"/>
      <c r="L460" s="14"/>
      <c r="M460" s="14"/>
      <c r="N460" s="312"/>
      <c r="Q460" s="111"/>
      <c r="R460" s="307"/>
      <c r="S460" s="14"/>
      <c r="T460" s="308"/>
      <c r="U460" s="309"/>
      <c r="V460" s="310"/>
      <c r="W460" s="14"/>
      <c r="X460" s="14"/>
      <c r="Y460" s="14"/>
      <c r="Z460" s="14"/>
      <c r="AA460" s="14"/>
      <c r="AB460" s="15"/>
      <c r="AC460" s="15"/>
      <c r="AD460" s="15"/>
      <c r="AE460" s="15"/>
    </row>
    <row r="461" spans="1:31" s="44" customFormat="1" x14ac:dyDescent="0.3">
      <c r="A461" s="303"/>
      <c r="B461" s="303"/>
      <c r="C461" s="170"/>
      <c r="D461" s="15"/>
      <c r="E461" s="303"/>
      <c r="F461" s="14"/>
      <c r="G461" s="14"/>
      <c r="H461" s="304"/>
      <c r="I461" s="304"/>
      <c r="J461" s="305"/>
      <c r="K461" s="14"/>
      <c r="L461" s="14"/>
      <c r="M461" s="14"/>
      <c r="N461" s="312"/>
      <c r="Q461" s="111"/>
      <c r="R461" s="307"/>
      <c r="S461" s="14"/>
      <c r="T461" s="308"/>
      <c r="U461" s="309"/>
      <c r="V461" s="310"/>
      <c r="W461" s="14"/>
      <c r="X461" s="14"/>
      <c r="Y461" s="14"/>
      <c r="Z461" s="14"/>
      <c r="AA461" s="14"/>
      <c r="AB461" s="15"/>
      <c r="AC461" s="15"/>
      <c r="AD461" s="15"/>
      <c r="AE461" s="15"/>
    </row>
    <row r="462" spans="1:31" s="44" customFormat="1" x14ac:dyDescent="0.3">
      <c r="A462" s="303"/>
      <c r="B462" s="303"/>
      <c r="C462" s="170"/>
      <c r="D462" s="15"/>
      <c r="E462" s="303"/>
      <c r="F462" s="14"/>
      <c r="G462" s="14"/>
      <c r="H462" s="304"/>
      <c r="I462" s="304"/>
      <c r="J462" s="305"/>
      <c r="K462" s="14"/>
      <c r="L462" s="14"/>
      <c r="M462" s="14"/>
      <c r="N462" s="312"/>
      <c r="Q462" s="111"/>
      <c r="R462" s="307"/>
      <c r="S462" s="14"/>
      <c r="T462" s="308"/>
      <c r="U462" s="309"/>
      <c r="V462" s="310"/>
      <c r="W462" s="14"/>
      <c r="X462" s="14"/>
      <c r="Y462" s="14"/>
      <c r="Z462" s="14"/>
      <c r="AA462" s="14"/>
      <c r="AB462" s="15"/>
      <c r="AC462" s="15"/>
      <c r="AD462" s="15"/>
      <c r="AE462" s="15"/>
    </row>
    <row r="463" spans="1:31" s="44" customFormat="1" x14ac:dyDescent="0.3">
      <c r="A463" s="303"/>
      <c r="B463" s="303"/>
      <c r="C463" s="170"/>
      <c r="D463" s="15"/>
      <c r="E463" s="303"/>
      <c r="F463" s="14"/>
      <c r="G463" s="14"/>
      <c r="H463" s="304"/>
      <c r="I463" s="304"/>
      <c r="J463" s="305"/>
      <c r="K463" s="14"/>
      <c r="L463" s="14"/>
      <c r="M463" s="14"/>
      <c r="N463" s="312"/>
      <c r="Q463" s="111"/>
      <c r="R463" s="307"/>
      <c r="S463" s="14"/>
      <c r="T463" s="308"/>
      <c r="U463" s="309"/>
      <c r="V463" s="310"/>
      <c r="W463" s="14"/>
      <c r="X463" s="14"/>
      <c r="Y463" s="14"/>
      <c r="Z463" s="14"/>
      <c r="AA463" s="14"/>
      <c r="AB463" s="15"/>
      <c r="AC463" s="15"/>
      <c r="AD463" s="15"/>
      <c r="AE463" s="15"/>
    </row>
    <row r="464" spans="1:31" s="44" customFormat="1" x14ac:dyDescent="0.3">
      <c r="A464" s="303"/>
      <c r="B464" s="303"/>
      <c r="C464" s="170"/>
      <c r="D464" s="15"/>
      <c r="E464" s="303"/>
      <c r="F464" s="14"/>
      <c r="G464" s="14"/>
      <c r="H464" s="304"/>
      <c r="I464" s="304"/>
      <c r="J464" s="305"/>
      <c r="K464" s="14"/>
      <c r="L464" s="14"/>
      <c r="M464" s="14"/>
      <c r="N464" s="312"/>
      <c r="Q464" s="111"/>
      <c r="R464" s="307"/>
      <c r="S464" s="14"/>
      <c r="T464" s="308"/>
      <c r="U464" s="309"/>
      <c r="V464" s="310"/>
      <c r="W464" s="14"/>
      <c r="X464" s="14"/>
      <c r="Y464" s="14"/>
      <c r="Z464" s="14"/>
      <c r="AA464" s="14"/>
      <c r="AB464" s="15"/>
      <c r="AC464" s="15"/>
      <c r="AD464" s="15"/>
      <c r="AE464" s="15"/>
    </row>
    <row r="465" spans="1:31" s="44" customFormat="1" x14ac:dyDescent="0.3">
      <c r="A465" s="303"/>
      <c r="B465" s="303"/>
      <c r="C465" s="170"/>
      <c r="D465" s="15"/>
      <c r="E465" s="303"/>
      <c r="F465" s="14"/>
      <c r="G465" s="14"/>
      <c r="H465" s="304"/>
      <c r="I465" s="304"/>
      <c r="J465" s="305"/>
      <c r="K465" s="14"/>
      <c r="L465" s="14"/>
      <c r="M465" s="14"/>
      <c r="N465" s="312"/>
      <c r="Q465" s="111"/>
      <c r="R465" s="307"/>
      <c r="S465" s="14"/>
      <c r="T465" s="308"/>
      <c r="U465" s="309"/>
      <c r="V465" s="310"/>
      <c r="W465" s="14"/>
      <c r="X465" s="14"/>
      <c r="Y465" s="14"/>
      <c r="Z465" s="14"/>
      <c r="AA465" s="14"/>
      <c r="AB465" s="15"/>
      <c r="AC465" s="15"/>
      <c r="AD465" s="15"/>
      <c r="AE465" s="15"/>
    </row>
    <row r="466" spans="1:31" s="44" customFormat="1" x14ac:dyDescent="0.3">
      <c r="A466" s="303"/>
      <c r="B466" s="303"/>
      <c r="C466" s="170"/>
      <c r="D466" s="15"/>
      <c r="E466" s="303"/>
      <c r="F466" s="14"/>
      <c r="G466" s="14"/>
      <c r="H466" s="304"/>
      <c r="I466" s="304"/>
      <c r="J466" s="305"/>
      <c r="K466" s="14"/>
      <c r="L466" s="14"/>
      <c r="M466" s="14"/>
      <c r="N466" s="312"/>
      <c r="Q466" s="111"/>
      <c r="R466" s="307"/>
      <c r="S466" s="14"/>
      <c r="T466" s="308"/>
      <c r="U466" s="309"/>
      <c r="V466" s="310"/>
      <c r="W466" s="14"/>
      <c r="X466" s="14"/>
      <c r="Y466" s="14"/>
      <c r="Z466" s="14"/>
      <c r="AA466" s="14"/>
      <c r="AB466" s="15"/>
      <c r="AC466" s="15"/>
      <c r="AD466" s="15"/>
      <c r="AE466" s="15"/>
    </row>
    <row r="467" spans="1:31" s="44" customFormat="1" x14ac:dyDescent="0.3">
      <c r="A467" s="303"/>
      <c r="B467" s="303"/>
      <c r="C467" s="170"/>
      <c r="D467" s="15"/>
      <c r="E467" s="303"/>
      <c r="F467" s="14"/>
      <c r="G467" s="14"/>
      <c r="H467" s="304"/>
      <c r="I467" s="304"/>
      <c r="J467" s="305"/>
      <c r="K467" s="14"/>
      <c r="L467" s="14"/>
      <c r="M467" s="14"/>
      <c r="N467" s="312"/>
      <c r="Q467" s="111"/>
      <c r="R467" s="307"/>
      <c r="S467" s="14"/>
      <c r="T467" s="308"/>
      <c r="U467" s="309"/>
      <c r="V467" s="310"/>
      <c r="W467" s="14"/>
      <c r="X467" s="14"/>
      <c r="Y467" s="14"/>
      <c r="Z467" s="14"/>
      <c r="AA467" s="14"/>
      <c r="AB467" s="15"/>
      <c r="AC467" s="15"/>
      <c r="AD467" s="15"/>
      <c r="AE467" s="15"/>
    </row>
    <row r="468" spans="1:31" s="44" customFormat="1" x14ac:dyDescent="0.3">
      <c r="A468" s="303"/>
      <c r="B468" s="303"/>
      <c r="C468" s="170"/>
      <c r="D468" s="15"/>
      <c r="E468" s="303"/>
      <c r="F468" s="14"/>
      <c r="G468" s="14"/>
      <c r="H468" s="304"/>
      <c r="I468" s="304"/>
      <c r="J468" s="305"/>
      <c r="K468" s="14"/>
      <c r="L468" s="14"/>
      <c r="M468" s="14"/>
      <c r="N468" s="312"/>
      <c r="Q468" s="111"/>
      <c r="R468" s="307"/>
      <c r="S468" s="14"/>
      <c r="T468" s="308"/>
      <c r="U468" s="309"/>
      <c r="V468" s="310"/>
      <c r="W468" s="14"/>
      <c r="X468" s="14"/>
      <c r="Y468" s="14"/>
      <c r="Z468" s="14"/>
      <c r="AA468" s="14"/>
      <c r="AB468" s="15"/>
      <c r="AC468" s="15"/>
      <c r="AD468" s="15"/>
      <c r="AE468" s="15"/>
    </row>
    <row r="469" spans="1:31" s="44" customFormat="1" x14ac:dyDescent="0.3">
      <c r="A469" s="303"/>
      <c r="B469" s="303"/>
      <c r="C469" s="170"/>
      <c r="D469" s="15"/>
      <c r="E469" s="303"/>
      <c r="F469" s="14"/>
      <c r="G469" s="14"/>
      <c r="H469" s="304"/>
      <c r="I469" s="304"/>
      <c r="J469" s="305"/>
      <c r="K469" s="14"/>
      <c r="L469" s="14"/>
      <c r="M469" s="14"/>
      <c r="N469" s="312"/>
      <c r="Q469" s="111"/>
      <c r="R469" s="307"/>
      <c r="S469" s="14"/>
      <c r="T469" s="308"/>
      <c r="U469" s="309"/>
      <c r="V469" s="310"/>
      <c r="W469" s="14"/>
      <c r="X469" s="14"/>
      <c r="Y469" s="14"/>
      <c r="Z469" s="14"/>
      <c r="AA469" s="14"/>
      <c r="AB469" s="15"/>
      <c r="AC469" s="15"/>
      <c r="AD469" s="15"/>
      <c r="AE469" s="15"/>
    </row>
    <row r="470" spans="1:31" s="44" customFormat="1" x14ac:dyDescent="0.3">
      <c r="A470" s="303"/>
      <c r="B470" s="303"/>
      <c r="C470" s="170"/>
      <c r="D470" s="15"/>
      <c r="E470" s="303"/>
      <c r="F470" s="14"/>
      <c r="G470" s="14"/>
      <c r="H470" s="304"/>
      <c r="I470" s="304"/>
      <c r="J470" s="305"/>
      <c r="K470" s="14"/>
      <c r="L470" s="14"/>
      <c r="M470" s="14"/>
      <c r="N470" s="312"/>
      <c r="Q470" s="111"/>
      <c r="R470" s="307"/>
      <c r="S470" s="14"/>
      <c r="T470" s="308"/>
      <c r="U470" s="309"/>
      <c r="V470" s="310"/>
      <c r="W470" s="14"/>
      <c r="X470" s="14"/>
      <c r="Y470" s="14"/>
      <c r="Z470" s="14"/>
      <c r="AA470" s="14"/>
      <c r="AB470" s="15"/>
      <c r="AC470" s="15"/>
      <c r="AD470" s="15"/>
      <c r="AE470" s="15"/>
    </row>
    <row r="471" spans="1:31" ht="74.25" customHeight="1" x14ac:dyDescent="0.3"/>
    <row r="472" spans="1:31" ht="74.25" customHeight="1" x14ac:dyDescent="0.3"/>
    <row r="473" spans="1:31" ht="74.25" customHeight="1" x14ac:dyDescent="0.3"/>
    <row r="474" spans="1:31" ht="74.25" customHeight="1" x14ac:dyDescent="0.3"/>
    <row r="475" spans="1:31" ht="74.25" customHeight="1" x14ac:dyDescent="0.3"/>
    <row r="476" spans="1:31" ht="74.25" customHeight="1" x14ac:dyDescent="0.3"/>
    <row r="477" spans="1:31" ht="74.25" customHeight="1" x14ac:dyDescent="0.3"/>
    <row r="478" spans="1:31" ht="74.25" customHeight="1" x14ac:dyDescent="0.3"/>
    <row r="479" spans="1:31" ht="74.25" customHeight="1" x14ac:dyDescent="0.3"/>
    <row r="480" spans="1:31" ht="74.25" customHeight="1" x14ac:dyDescent="0.3"/>
    <row r="481" ht="74.25" customHeight="1" x14ac:dyDescent="0.3"/>
    <row r="482" ht="74.25" customHeight="1" x14ac:dyDescent="0.3"/>
    <row r="483" ht="74.25" customHeight="1" x14ac:dyDescent="0.3"/>
    <row r="484" ht="74.25" customHeight="1" x14ac:dyDescent="0.3"/>
    <row r="485" ht="74.25" customHeight="1" x14ac:dyDescent="0.3"/>
    <row r="486" ht="74.25" customHeight="1" x14ac:dyDescent="0.3"/>
    <row r="487" ht="74.25" customHeight="1" x14ac:dyDescent="0.3"/>
    <row r="488" ht="74.25" customHeight="1" x14ac:dyDescent="0.3"/>
    <row r="489" ht="74.25" customHeight="1" x14ac:dyDescent="0.3"/>
    <row r="490" ht="74.25" customHeight="1" x14ac:dyDescent="0.3"/>
    <row r="491" ht="74.25" customHeight="1" x14ac:dyDescent="0.3"/>
    <row r="492" ht="74.25" customHeight="1" x14ac:dyDescent="0.3"/>
    <row r="493" ht="74.25" customHeight="1" x14ac:dyDescent="0.3"/>
    <row r="494" ht="74.25" customHeight="1" x14ac:dyDescent="0.3"/>
    <row r="495" ht="74.25" customHeight="1" x14ac:dyDescent="0.3"/>
    <row r="496" ht="74.25" customHeight="1" x14ac:dyDescent="0.3"/>
    <row r="497" ht="74.25" customHeight="1" x14ac:dyDescent="0.3"/>
    <row r="498" ht="74.25" customHeight="1" x14ac:dyDescent="0.3"/>
    <row r="499" ht="74.25" customHeight="1" x14ac:dyDescent="0.3"/>
    <row r="500" ht="74.25" customHeight="1" x14ac:dyDescent="0.3"/>
    <row r="501" ht="74.25" customHeight="1" x14ac:dyDescent="0.3"/>
    <row r="502" ht="74.25" customHeight="1" x14ac:dyDescent="0.3"/>
    <row r="503" ht="74.25" customHeight="1" x14ac:dyDescent="0.3"/>
    <row r="504" ht="74.25" customHeight="1" x14ac:dyDescent="0.3"/>
    <row r="505" ht="74.25" customHeight="1" x14ac:dyDescent="0.3"/>
    <row r="506" ht="74.25" customHeight="1" x14ac:dyDescent="0.3"/>
    <row r="507" ht="74.25" customHeight="1" x14ac:dyDescent="0.3"/>
    <row r="508" ht="74.25" customHeight="1" x14ac:dyDescent="0.3"/>
    <row r="509" ht="74.25" customHeight="1" x14ac:dyDescent="0.3"/>
    <row r="510" ht="74.25" customHeight="1" x14ac:dyDescent="0.3"/>
    <row r="511" ht="74.25" customHeight="1" x14ac:dyDescent="0.3"/>
    <row r="512" ht="74.25" customHeight="1" x14ac:dyDescent="0.3"/>
    <row r="513" ht="74.25" customHeight="1" x14ac:dyDescent="0.3"/>
    <row r="514" ht="74.25" customHeight="1" x14ac:dyDescent="0.3"/>
    <row r="515" ht="74.25" customHeight="1" x14ac:dyDescent="0.3"/>
    <row r="516" ht="74.25" customHeight="1" x14ac:dyDescent="0.3"/>
    <row r="517" ht="74.25" customHeight="1" x14ac:dyDescent="0.3"/>
    <row r="518" ht="74.25" customHeight="1" x14ac:dyDescent="0.3"/>
    <row r="519" ht="74.25" customHeight="1" x14ac:dyDescent="0.3"/>
    <row r="520" ht="74.25" customHeight="1" x14ac:dyDescent="0.3"/>
    <row r="521" ht="74.25" customHeight="1" x14ac:dyDescent="0.3"/>
    <row r="522" ht="74.25" customHeight="1" x14ac:dyDescent="0.3"/>
    <row r="523" ht="74.25" customHeight="1" x14ac:dyDescent="0.3"/>
    <row r="524" ht="74.25" customHeight="1" x14ac:dyDescent="0.3"/>
    <row r="525" ht="74.25" customHeight="1" x14ac:dyDescent="0.3"/>
    <row r="526" ht="74.25" customHeight="1" x14ac:dyDescent="0.3"/>
    <row r="527" ht="74.25" customHeight="1" x14ac:dyDescent="0.3"/>
    <row r="528" ht="74.25" customHeight="1" x14ac:dyDescent="0.3"/>
    <row r="529" ht="74.25" customHeight="1" x14ac:dyDescent="0.3"/>
    <row r="530" ht="74.25" customHeight="1" x14ac:dyDescent="0.3"/>
    <row r="531" ht="74.25" customHeight="1" x14ac:dyDescent="0.3"/>
    <row r="532" ht="74.25" customHeight="1" x14ac:dyDescent="0.3"/>
    <row r="533" ht="74.25" customHeight="1" x14ac:dyDescent="0.3"/>
    <row r="534" ht="74.25" customHeight="1" x14ac:dyDescent="0.3"/>
    <row r="535" ht="74.25" customHeight="1" x14ac:dyDescent="0.3"/>
    <row r="536" ht="74.25" customHeight="1" x14ac:dyDescent="0.3"/>
    <row r="537" ht="74.25" customHeight="1" x14ac:dyDescent="0.3"/>
    <row r="538" ht="74.25" customHeight="1" x14ac:dyDescent="0.3"/>
    <row r="539" ht="74.25" customHeight="1" x14ac:dyDescent="0.3"/>
    <row r="540" ht="74.25" customHeight="1" x14ac:dyDescent="0.3"/>
    <row r="541" ht="74.25" customHeight="1" x14ac:dyDescent="0.3"/>
    <row r="542" ht="74.25" customHeight="1" x14ac:dyDescent="0.3"/>
    <row r="543" ht="74.25" customHeight="1" x14ac:dyDescent="0.3"/>
    <row r="544" ht="74.25" customHeight="1" x14ac:dyDescent="0.3"/>
    <row r="545" ht="74.25" customHeight="1" x14ac:dyDescent="0.3"/>
    <row r="546" ht="74.25" customHeight="1" x14ac:dyDescent="0.3"/>
    <row r="547" ht="74.25" customHeight="1" x14ac:dyDescent="0.3"/>
    <row r="548" ht="74.25" customHeight="1" x14ac:dyDescent="0.3"/>
    <row r="549" ht="74.25" customHeight="1" x14ac:dyDescent="0.3"/>
    <row r="550" ht="74.25" customHeight="1" x14ac:dyDescent="0.3"/>
    <row r="551" ht="74.25" customHeight="1" x14ac:dyDescent="0.3"/>
    <row r="552" ht="74.25" customHeight="1" x14ac:dyDescent="0.3"/>
    <row r="553" ht="74.25" customHeight="1" x14ac:dyDescent="0.3"/>
    <row r="554" ht="74.25" customHeight="1" x14ac:dyDescent="0.3"/>
    <row r="555" ht="74.25" customHeight="1" x14ac:dyDescent="0.3"/>
    <row r="556" ht="74.25" customHeight="1" x14ac:dyDescent="0.3"/>
    <row r="557" ht="74.25" customHeight="1" x14ac:dyDescent="0.3"/>
    <row r="558" ht="74.25" customHeight="1" x14ac:dyDescent="0.3"/>
    <row r="559" ht="74.25" customHeight="1" x14ac:dyDescent="0.3"/>
    <row r="560" ht="74.25" customHeight="1" x14ac:dyDescent="0.3"/>
    <row r="561" ht="74.25" customHeight="1" x14ac:dyDescent="0.3"/>
    <row r="562" ht="74.25" customHeight="1" x14ac:dyDescent="0.3"/>
    <row r="563" ht="74.25" customHeight="1" x14ac:dyDescent="0.3"/>
    <row r="564" ht="74.25" customHeight="1" x14ac:dyDescent="0.3"/>
    <row r="565" ht="74.25" customHeight="1" x14ac:dyDescent="0.3"/>
    <row r="566" ht="74.25" customHeight="1" x14ac:dyDescent="0.3"/>
    <row r="567" ht="74.25" customHeight="1" x14ac:dyDescent="0.3"/>
    <row r="568" ht="74.25" customHeight="1" x14ac:dyDescent="0.3"/>
    <row r="569" ht="74.25" customHeight="1" x14ac:dyDescent="0.3"/>
    <row r="570" ht="74.25" customHeight="1" x14ac:dyDescent="0.3"/>
    <row r="571" ht="74.25" customHeight="1" x14ac:dyDescent="0.3"/>
    <row r="572" ht="74.25" customHeight="1" x14ac:dyDescent="0.3"/>
    <row r="573" ht="74.25" customHeight="1" x14ac:dyDescent="0.3"/>
    <row r="574" ht="74.25" customHeight="1" x14ac:dyDescent="0.3"/>
    <row r="575" ht="74.25" customHeight="1" x14ac:dyDescent="0.3"/>
    <row r="576" ht="74.25" customHeight="1" x14ac:dyDescent="0.3"/>
    <row r="577" ht="74.25" customHeight="1" x14ac:dyDescent="0.3"/>
    <row r="578" ht="74.25" customHeight="1" x14ac:dyDescent="0.3"/>
    <row r="579" ht="74.25" customHeight="1" x14ac:dyDescent="0.3"/>
    <row r="580" ht="74.25" customHeight="1" x14ac:dyDescent="0.3"/>
    <row r="581" ht="74.25" customHeight="1" x14ac:dyDescent="0.3"/>
    <row r="582" ht="74.25" customHeight="1" x14ac:dyDescent="0.3"/>
    <row r="583" ht="74.25" customHeight="1" x14ac:dyDescent="0.3"/>
    <row r="584" ht="74.25" customHeight="1" x14ac:dyDescent="0.3"/>
    <row r="585" ht="74.25" customHeight="1" x14ac:dyDescent="0.3"/>
    <row r="586" ht="74.25" customHeight="1" x14ac:dyDescent="0.3"/>
    <row r="587" ht="74.25" customHeight="1" x14ac:dyDescent="0.3"/>
    <row r="588" ht="74.25" customHeight="1" x14ac:dyDescent="0.3"/>
    <row r="589" ht="74.25" customHeight="1" x14ac:dyDescent="0.3"/>
    <row r="590" ht="74.25" customHeight="1" x14ac:dyDescent="0.3"/>
    <row r="591" ht="74.25" customHeight="1" x14ac:dyDescent="0.3"/>
    <row r="592" ht="74.25" customHeight="1" x14ac:dyDescent="0.3"/>
    <row r="593" ht="74.25" customHeight="1" x14ac:dyDescent="0.3"/>
    <row r="594" ht="74.25" customHeight="1" x14ac:dyDescent="0.3"/>
    <row r="595" ht="74.25" customHeight="1" x14ac:dyDescent="0.3"/>
    <row r="596" ht="74.25" customHeight="1" x14ac:dyDescent="0.3"/>
    <row r="597" ht="74.25" customHeight="1" x14ac:dyDescent="0.3"/>
    <row r="598" ht="74.25" customHeight="1" x14ac:dyDescent="0.3"/>
    <row r="599" ht="74.25" customHeight="1" x14ac:dyDescent="0.3"/>
    <row r="600" ht="74.25" customHeight="1" x14ac:dyDescent="0.3"/>
    <row r="601" ht="74.25" customHeight="1" x14ac:dyDescent="0.3"/>
    <row r="602" ht="74.25" customHeight="1" x14ac:dyDescent="0.3"/>
    <row r="603" ht="74.25" customHeight="1" x14ac:dyDescent="0.3"/>
    <row r="604" ht="74.25" customHeight="1" x14ac:dyDescent="0.3"/>
    <row r="605" ht="74.25" customHeight="1" x14ac:dyDescent="0.3"/>
    <row r="606" ht="74.25" customHeight="1" x14ac:dyDescent="0.3"/>
    <row r="607" ht="74.25" customHeight="1" x14ac:dyDescent="0.3"/>
    <row r="608" ht="74.25" customHeight="1" x14ac:dyDescent="0.3"/>
    <row r="609" ht="74.25" customHeight="1" x14ac:dyDescent="0.3"/>
    <row r="610" ht="74.25" customHeight="1" x14ac:dyDescent="0.3"/>
    <row r="611" ht="74.25" customHeight="1" x14ac:dyDescent="0.3"/>
    <row r="612" ht="74.25" customHeight="1" x14ac:dyDescent="0.3"/>
    <row r="613" ht="74.25" customHeight="1" x14ac:dyDescent="0.3"/>
    <row r="614" ht="74.25" customHeight="1" x14ac:dyDescent="0.3"/>
    <row r="615" ht="74.25" customHeight="1" x14ac:dyDescent="0.3"/>
    <row r="616" ht="74.25" customHeight="1" x14ac:dyDescent="0.3"/>
    <row r="617" ht="74.25" customHeight="1" x14ac:dyDescent="0.3"/>
    <row r="618" ht="74.25" customHeight="1" x14ac:dyDescent="0.3"/>
    <row r="619" ht="74.25" customHeight="1" x14ac:dyDescent="0.3"/>
    <row r="620" ht="74.25" customHeight="1" x14ac:dyDescent="0.3"/>
    <row r="621" ht="74.25" customHeight="1" x14ac:dyDescent="0.3"/>
    <row r="622" ht="74.25" customHeight="1" x14ac:dyDescent="0.3"/>
    <row r="623" ht="74.25" customHeight="1" x14ac:dyDescent="0.3"/>
    <row r="624" ht="74.25" customHeight="1" x14ac:dyDescent="0.3"/>
    <row r="625" ht="74.25" customHeight="1" x14ac:dyDescent="0.3"/>
    <row r="626" ht="74.25" customHeight="1" x14ac:dyDescent="0.3"/>
    <row r="627" ht="74.25" customHeight="1" x14ac:dyDescent="0.3"/>
    <row r="628" ht="74.25" customHeight="1" x14ac:dyDescent="0.3"/>
    <row r="629" ht="74.25" customHeight="1" x14ac:dyDescent="0.3"/>
    <row r="630" ht="74.25" customHeight="1" x14ac:dyDescent="0.3"/>
    <row r="631" ht="74.25" customHeight="1" x14ac:dyDescent="0.3"/>
    <row r="632" ht="74.25" customHeight="1" x14ac:dyDescent="0.3"/>
    <row r="633" ht="74.25" customHeight="1" x14ac:dyDescent="0.3"/>
    <row r="634" ht="74.25" customHeight="1" x14ac:dyDescent="0.3"/>
    <row r="635" ht="74.25" customHeight="1" x14ac:dyDescent="0.3"/>
    <row r="636" ht="74.25" customHeight="1" x14ac:dyDescent="0.3"/>
    <row r="637" ht="74.25" customHeight="1" x14ac:dyDescent="0.3"/>
    <row r="638" ht="74.25" customHeight="1" x14ac:dyDescent="0.3"/>
    <row r="639" ht="74.25" customHeight="1" x14ac:dyDescent="0.3"/>
    <row r="640" ht="74.25" customHeight="1" x14ac:dyDescent="0.3"/>
    <row r="641" ht="74.25" customHeight="1" x14ac:dyDescent="0.3"/>
    <row r="642" ht="74.25" customHeight="1" x14ac:dyDescent="0.3"/>
    <row r="643" ht="74.25" customHeight="1" x14ac:dyDescent="0.3"/>
    <row r="644" ht="74.25" customHeight="1" x14ac:dyDescent="0.3"/>
    <row r="645" ht="74.25" customHeight="1" x14ac:dyDescent="0.3"/>
    <row r="646" ht="74.25" customHeight="1" x14ac:dyDescent="0.3"/>
    <row r="647" ht="74.25" customHeight="1" x14ac:dyDescent="0.3"/>
    <row r="648" ht="74.25" customHeight="1" x14ac:dyDescent="0.3"/>
    <row r="649" ht="74.25" customHeight="1" x14ac:dyDescent="0.3"/>
    <row r="650" ht="74.25" customHeight="1" x14ac:dyDescent="0.3"/>
    <row r="651" ht="74.25" customHeight="1" x14ac:dyDescent="0.3"/>
    <row r="652" ht="74.25" customHeight="1" x14ac:dyDescent="0.3"/>
    <row r="653" ht="74.25" customHeight="1" x14ac:dyDescent="0.3"/>
    <row r="654" ht="74.25" customHeight="1" x14ac:dyDescent="0.3"/>
    <row r="655" ht="74.25" customHeight="1" x14ac:dyDescent="0.3"/>
    <row r="656" ht="74.25" customHeight="1" x14ac:dyDescent="0.3"/>
    <row r="657" spans="3:31" ht="74.25" customHeight="1" x14ac:dyDescent="0.3"/>
    <row r="658" spans="3:31" ht="74.25" customHeight="1" x14ac:dyDescent="0.3"/>
    <row r="659" spans="3:31" ht="74.25" customHeight="1" x14ac:dyDescent="0.3"/>
    <row r="660" spans="3:31" ht="74.25" customHeight="1" x14ac:dyDescent="0.3"/>
    <row r="661" spans="3:31" ht="74.25" customHeight="1" x14ac:dyDescent="0.3"/>
    <row r="662" spans="3:31" ht="74.25" customHeight="1" x14ac:dyDescent="0.3"/>
    <row r="663" spans="3:31" ht="74.25" customHeight="1" x14ac:dyDescent="0.3"/>
    <row r="664" spans="3:31" ht="74.25" customHeight="1" x14ac:dyDescent="0.3"/>
    <row r="665" spans="3:31" s="303" customFormat="1" x14ac:dyDescent="0.3">
      <c r="C665" s="170"/>
      <c r="D665" s="15"/>
      <c r="F665" s="14"/>
      <c r="G665" s="14"/>
      <c r="H665" s="304"/>
      <c r="I665" s="304"/>
      <c r="J665" s="305"/>
      <c r="K665" s="14"/>
      <c r="L665" s="14"/>
      <c r="M665" s="14"/>
      <c r="N665" s="306"/>
      <c r="O665" s="44"/>
      <c r="P665" s="44"/>
      <c r="Q665" s="111"/>
      <c r="R665" s="307"/>
      <c r="S665" s="14"/>
      <c r="T665" s="308"/>
      <c r="U665" s="309"/>
      <c r="V665" s="310"/>
      <c r="W665" s="14"/>
      <c r="X665" s="14"/>
      <c r="Y665" s="14"/>
      <c r="Z665" s="14"/>
      <c r="AA665" s="14"/>
      <c r="AB665" s="15"/>
      <c r="AC665" s="15"/>
      <c r="AD665" s="15"/>
      <c r="AE665" s="15"/>
    </row>
    <row r="666" spans="3:31" s="303" customFormat="1" x14ac:dyDescent="0.3">
      <c r="C666" s="170"/>
      <c r="D666" s="15"/>
      <c r="F666" s="14"/>
      <c r="G666" s="14"/>
      <c r="H666" s="304"/>
      <c r="I666" s="304"/>
      <c r="J666" s="305"/>
      <c r="K666" s="14"/>
      <c r="L666" s="14"/>
      <c r="M666" s="14"/>
      <c r="N666" s="306"/>
      <c r="O666" s="44"/>
      <c r="P666" s="44"/>
      <c r="Q666" s="111"/>
      <c r="R666" s="307"/>
      <c r="S666" s="14"/>
      <c r="T666" s="308"/>
      <c r="U666" s="309"/>
      <c r="V666" s="310"/>
      <c r="W666" s="14"/>
      <c r="X666" s="14"/>
      <c r="Y666" s="14"/>
      <c r="Z666" s="14"/>
      <c r="AA666" s="14"/>
      <c r="AB666" s="15"/>
      <c r="AC666" s="15"/>
      <c r="AD666" s="15"/>
      <c r="AE666" s="15"/>
    </row>
    <row r="667" spans="3:31" s="303" customFormat="1" x14ac:dyDescent="0.3">
      <c r="C667" s="170"/>
      <c r="D667" s="15"/>
      <c r="F667" s="14"/>
      <c r="G667" s="14"/>
      <c r="H667" s="304"/>
      <c r="I667" s="304"/>
      <c r="J667" s="305"/>
      <c r="K667" s="14"/>
      <c r="L667" s="14"/>
      <c r="M667" s="14"/>
      <c r="N667" s="306"/>
      <c r="O667" s="44"/>
      <c r="P667" s="44"/>
      <c r="Q667" s="111"/>
      <c r="R667" s="307"/>
      <c r="S667" s="14"/>
      <c r="T667" s="308"/>
      <c r="U667" s="309"/>
      <c r="V667" s="310"/>
      <c r="W667" s="14"/>
      <c r="X667" s="14"/>
      <c r="Y667" s="14"/>
      <c r="Z667" s="14"/>
      <c r="AA667" s="14"/>
      <c r="AB667" s="15"/>
      <c r="AC667" s="15"/>
      <c r="AD667" s="15"/>
      <c r="AE667" s="15"/>
    </row>
    <row r="668" spans="3:31" s="303" customFormat="1" x14ac:dyDescent="0.3">
      <c r="C668" s="170"/>
      <c r="D668" s="15"/>
      <c r="F668" s="14"/>
      <c r="G668" s="14"/>
      <c r="H668" s="304"/>
      <c r="I668" s="304"/>
      <c r="J668" s="305"/>
      <c r="K668" s="14"/>
      <c r="L668" s="14"/>
      <c r="M668" s="14"/>
      <c r="N668" s="306"/>
      <c r="O668" s="44"/>
      <c r="P668" s="44"/>
      <c r="Q668" s="111"/>
      <c r="R668" s="307"/>
      <c r="S668" s="14"/>
      <c r="T668" s="308"/>
      <c r="U668" s="309"/>
      <c r="V668" s="310"/>
      <c r="W668" s="14"/>
      <c r="X668" s="14"/>
      <c r="Y668" s="14"/>
      <c r="Z668" s="14"/>
      <c r="AA668" s="14"/>
      <c r="AB668" s="15"/>
      <c r="AC668" s="15"/>
      <c r="AD668" s="15"/>
      <c r="AE668" s="15"/>
    </row>
    <row r="669" spans="3:31" s="303" customFormat="1" x14ac:dyDescent="0.3">
      <c r="C669" s="170"/>
      <c r="D669" s="15"/>
      <c r="F669" s="14"/>
      <c r="G669" s="14"/>
      <c r="H669" s="304"/>
      <c r="I669" s="304"/>
      <c r="J669" s="305"/>
      <c r="K669" s="14"/>
      <c r="L669" s="14"/>
      <c r="M669" s="14"/>
      <c r="N669" s="306"/>
      <c r="O669" s="44"/>
      <c r="P669" s="44"/>
      <c r="Q669" s="111"/>
      <c r="R669" s="307"/>
      <c r="S669" s="14"/>
      <c r="T669" s="308"/>
      <c r="U669" s="309"/>
      <c r="V669" s="310"/>
      <c r="W669" s="14"/>
      <c r="X669" s="14"/>
      <c r="Y669" s="14"/>
      <c r="Z669" s="14"/>
      <c r="AA669" s="14"/>
      <c r="AB669" s="15"/>
      <c r="AC669" s="15"/>
      <c r="AD669" s="15"/>
      <c r="AE669" s="15"/>
    </row>
    <row r="670" spans="3:31" s="303" customFormat="1" x14ac:dyDescent="0.3">
      <c r="C670" s="170"/>
      <c r="D670" s="15"/>
      <c r="F670" s="14"/>
      <c r="G670" s="14"/>
      <c r="H670" s="304"/>
      <c r="I670" s="304"/>
      <c r="J670" s="305"/>
      <c r="K670" s="14"/>
      <c r="L670" s="14"/>
      <c r="M670" s="14"/>
      <c r="N670" s="306"/>
      <c r="O670" s="44"/>
      <c r="P670" s="44"/>
      <c r="Q670" s="111"/>
      <c r="R670" s="307"/>
      <c r="S670" s="14"/>
      <c r="T670" s="308"/>
      <c r="U670" s="309"/>
      <c r="V670" s="310"/>
      <c r="W670" s="14"/>
      <c r="X670" s="14"/>
      <c r="Y670" s="14"/>
      <c r="Z670" s="14"/>
      <c r="AA670" s="14"/>
      <c r="AB670" s="15"/>
      <c r="AC670" s="15"/>
      <c r="AD670" s="15"/>
      <c r="AE670" s="15"/>
    </row>
    <row r="671" spans="3:31" s="303" customFormat="1" x14ac:dyDescent="0.3">
      <c r="C671" s="170"/>
      <c r="D671" s="15"/>
      <c r="F671" s="14"/>
      <c r="G671" s="14"/>
      <c r="H671" s="304"/>
      <c r="I671" s="304"/>
      <c r="J671" s="305"/>
      <c r="K671" s="14"/>
      <c r="L671" s="14"/>
      <c r="M671" s="14"/>
      <c r="N671" s="306"/>
      <c r="O671" s="44"/>
      <c r="P671" s="44"/>
      <c r="Q671" s="111"/>
      <c r="R671" s="307"/>
      <c r="S671" s="14"/>
      <c r="T671" s="308"/>
      <c r="U671" s="309"/>
      <c r="V671" s="310"/>
      <c r="W671" s="14"/>
      <c r="X671" s="14"/>
      <c r="Y671" s="14"/>
      <c r="Z671" s="14"/>
      <c r="AA671" s="14"/>
      <c r="AB671" s="15"/>
      <c r="AC671" s="15"/>
      <c r="AD671" s="15"/>
      <c r="AE671" s="15"/>
    </row>
    <row r="672" spans="3:31" s="303" customFormat="1" x14ac:dyDescent="0.3">
      <c r="C672" s="170"/>
      <c r="D672" s="15"/>
      <c r="F672" s="14"/>
      <c r="G672" s="14"/>
      <c r="H672" s="304"/>
      <c r="I672" s="304"/>
      <c r="J672" s="305"/>
      <c r="K672" s="14"/>
      <c r="L672" s="14"/>
      <c r="M672" s="14"/>
      <c r="N672" s="306"/>
      <c r="O672" s="44"/>
      <c r="P672" s="44"/>
      <c r="Q672" s="111"/>
      <c r="R672" s="307"/>
      <c r="S672" s="14"/>
      <c r="T672" s="308"/>
      <c r="U672" s="309"/>
      <c r="V672" s="310"/>
      <c r="W672" s="14"/>
      <c r="X672" s="14"/>
      <c r="Y672" s="14"/>
      <c r="Z672" s="14"/>
      <c r="AA672" s="14"/>
      <c r="AB672" s="15"/>
      <c r="AC672" s="15"/>
      <c r="AD672" s="15"/>
      <c r="AE672" s="15"/>
    </row>
    <row r="673" spans="3:31" s="303" customFormat="1" x14ac:dyDescent="0.3">
      <c r="C673" s="170"/>
      <c r="D673" s="15"/>
      <c r="F673" s="14"/>
      <c r="G673" s="14"/>
      <c r="H673" s="304"/>
      <c r="I673" s="304"/>
      <c r="J673" s="305"/>
      <c r="K673" s="14"/>
      <c r="L673" s="14"/>
      <c r="M673" s="14"/>
      <c r="N673" s="306"/>
      <c r="O673" s="44"/>
      <c r="P673" s="44"/>
      <c r="Q673" s="111"/>
      <c r="R673" s="307"/>
      <c r="S673" s="14"/>
      <c r="T673" s="308"/>
      <c r="U673" s="309"/>
      <c r="V673" s="310"/>
      <c r="W673" s="14"/>
      <c r="X673" s="14"/>
      <c r="Y673" s="14"/>
      <c r="Z673" s="14"/>
      <c r="AA673" s="14"/>
      <c r="AB673" s="15"/>
      <c r="AC673" s="15"/>
      <c r="AD673" s="15"/>
      <c r="AE673" s="15"/>
    </row>
    <row r="674" spans="3:31" s="303" customFormat="1" x14ac:dyDescent="0.3">
      <c r="C674" s="170"/>
      <c r="D674" s="15"/>
      <c r="F674" s="14"/>
      <c r="G674" s="14"/>
      <c r="H674" s="304"/>
      <c r="I674" s="304"/>
      <c r="J674" s="305"/>
      <c r="K674" s="14"/>
      <c r="L674" s="14"/>
      <c r="M674" s="14"/>
      <c r="N674" s="306"/>
      <c r="O674" s="44"/>
      <c r="P674" s="44"/>
      <c r="Q674" s="111"/>
      <c r="R674" s="307"/>
      <c r="S674" s="14"/>
      <c r="T674" s="308"/>
      <c r="U674" s="309"/>
      <c r="V674" s="310"/>
      <c r="W674" s="14"/>
      <c r="X674" s="14"/>
      <c r="Y674" s="14"/>
      <c r="Z674" s="14"/>
      <c r="AA674" s="14"/>
      <c r="AB674" s="15"/>
      <c r="AC674" s="15"/>
      <c r="AD674" s="15"/>
      <c r="AE674" s="15"/>
    </row>
    <row r="675" spans="3:31" s="303" customFormat="1" x14ac:dyDescent="0.3">
      <c r="C675" s="170"/>
      <c r="D675" s="15"/>
      <c r="F675" s="14"/>
      <c r="G675" s="14"/>
      <c r="H675" s="304"/>
      <c r="I675" s="304"/>
      <c r="J675" s="305"/>
      <c r="K675" s="14"/>
      <c r="L675" s="14"/>
      <c r="M675" s="14"/>
      <c r="N675" s="306"/>
      <c r="O675" s="44"/>
      <c r="P675" s="44"/>
      <c r="Q675" s="111"/>
      <c r="R675" s="307"/>
      <c r="S675" s="14"/>
      <c r="T675" s="308"/>
      <c r="U675" s="309"/>
      <c r="V675" s="310"/>
      <c r="W675" s="14"/>
      <c r="X675" s="14"/>
      <c r="Y675" s="14"/>
      <c r="Z675" s="14"/>
      <c r="AA675" s="14"/>
      <c r="AB675" s="15"/>
      <c r="AC675" s="15"/>
      <c r="AD675" s="15"/>
      <c r="AE675" s="15"/>
    </row>
    <row r="676" spans="3:31" s="303" customFormat="1" x14ac:dyDescent="0.3">
      <c r="C676" s="170"/>
      <c r="D676" s="15"/>
      <c r="F676" s="14"/>
      <c r="G676" s="14"/>
      <c r="H676" s="304"/>
      <c r="I676" s="304"/>
      <c r="J676" s="305"/>
      <c r="K676" s="14"/>
      <c r="L676" s="14"/>
      <c r="M676" s="14"/>
      <c r="N676" s="306"/>
      <c r="O676" s="44"/>
      <c r="P676" s="44"/>
      <c r="Q676" s="111"/>
      <c r="R676" s="307"/>
      <c r="S676" s="14"/>
      <c r="T676" s="308"/>
      <c r="U676" s="309"/>
      <c r="V676" s="310"/>
      <c r="W676" s="14"/>
      <c r="X676" s="14"/>
      <c r="Y676" s="14"/>
      <c r="Z676" s="14"/>
      <c r="AA676" s="14"/>
      <c r="AB676" s="15"/>
      <c r="AC676" s="15"/>
      <c r="AD676" s="15"/>
      <c r="AE676" s="15"/>
    </row>
    <row r="677" spans="3:31" s="303" customFormat="1" x14ac:dyDescent="0.3">
      <c r="C677" s="170"/>
      <c r="D677" s="15"/>
      <c r="F677" s="14"/>
      <c r="G677" s="14"/>
      <c r="H677" s="304"/>
      <c r="I677" s="304"/>
      <c r="J677" s="305"/>
      <c r="K677" s="14"/>
      <c r="L677" s="14"/>
      <c r="M677" s="14"/>
      <c r="N677" s="306"/>
      <c r="O677" s="44"/>
      <c r="P677" s="44"/>
      <c r="Q677" s="111"/>
      <c r="R677" s="307"/>
      <c r="S677" s="14"/>
      <c r="T677" s="308"/>
      <c r="U677" s="309"/>
      <c r="V677" s="310"/>
      <c r="W677" s="14"/>
      <c r="X677" s="14"/>
      <c r="Y677" s="14"/>
      <c r="Z677" s="14"/>
      <c r="AA677" s="14"/>
      <c r="AB677" s="15"/>
      <c r="AC677" s="15"/>
      <c r="AD677" s="15"/>
      <c r="AE677" s="15"/>
    </row>
    <row r="678" spans="3:31" s="303" customFormat="1" x14ac:dyDescent="0.3">
      <c r="C678" s="170"/>
      <c r="D678" s="15"/>
      <c r="F678" s="14"/>
      <c r="G678" s="14"/>
      <c r="H678" s="304"/>
      <c r="I678" s="304"/>
      <c r="J678" s="305"/>
      <c r="K678" s="14"/>
      <c r="L678" s="14"/>
      <c r="M678" s="14"/>
      <c r="N678" s="306"/>
      <c r="O678" s="44"/>
      <c r="P678" s="44"/>
      <c r="Q678" s="111"/>
      <c r="R678" s="307"/>
      <c r="S678" s="14"/>
      <c r="T678" s="308"/>
      <c r="U678" s="309"/>
      <c r="V678" s="310"/>
      <c r="W678" s="14"/>
      <c r="X678" s="14"/>
      <c r="Y678" s="14"/>
      <c r="Z678" s="14"/>
      <c r="AA678" s="14"/>
      <c r="AB678" s="15"/>
      <c r="AC678" s="15"/>
      <c r="AD678" s="15"/>
      <c r="AE678" s="15"/>
    </row>
    <row r="679" spans="3:31" s="303" customFormat="1" x14ac:dyDescent="0.3">
      <c r="C679" s="170"/>
      <c r="D679" s="15"/>
      <c r="F679" s="14"/>
      <c r="G679" s="14"/>
      <c r="H679" s="304"/>
      <c r="I679" s="304"/>
      <c r="J679" s="305"/>
      <c r="K679" s="14"/>
      <c r="L679" s="14"/>
      <c r="M679" s="14"/>
      <c r="N679" s="306"/>
      <c r="O679" s="44"/>
      <c r="P679" s="44"/>
      <c r="Q679" s="111"/>
      <c r="R679" s="307"/>
      <c r="S679" s="14"/>
      <c r="T679" s="308"/>
      <c r="U679" s="309"/>
      <c r="V679" s="310"/>
      <c r="W679" s="14"/>
      <c r="X679" s="14"/>
      <c r="Y679" s="14"/>
      <c r="Z679" s="14"/>
      <c r="AA679" s="14"/>
      <c r="AB679" s="15"/>
      <c r="AC679" s="15"/>
      <c r="AD679" s="15"/>
      <c r="AE679" s="15"/>
    </row>
    <row r="680" spans="3:31" s="303" customFormat="1" x14ac:dyDescent="0.3">
      <c r="C680" s="170"/>
      <c r="D680" s="15"/>
      <c r="F680" s="14"/>
      <c r="G680" s="14"/>
      <c r="H680" s="304"/>
      <c r="I680" s="304"/>
      <c r="J680" s="305"/>
      <c r="K680" s="14"/>
      <c r="L680" s="14"/>
      <c r="M680" s="14"/>
      <c r="N680" s="306"/>
      <c r="O680" s="44"/>
      <c r="P680" s="44"/>
      <c r="Q680" s="111"/>
      <c r="R680" s="307"/>
      <c r="S680" s="14"/>
      <c r="T680" s="308"/>
      <c r="U680" s="309"/>
      <c r="V680" s="310"/>
      <c r="W680" s="14"/>
      <c r="X680" s="14"/>
      <c r="Y680" s="14"/>
      <c r="Z680" s="14"/>
      <c r="AA680" s="14"/>
      <c r="AB680" s="15"/>
      <c r="AC680" s="15"/>
      <c r="AD680" s="15"/>
      <c r="AE680" s="15"/>
    </row>
    <row r="681" spans="3:31" s="303" customFormat="1" x14ac:dyDescent="0.3">
      <c r="C681" s="170"/>
      <c r="D681" s="15"/>
      <c r="F681" s="14"/>
      <c r="G681" s="14"/>
      <c r="H681" s="304"/>
      <c r="I681" s="304"/>
      <c r="J681" s="305"/>
      <c r="K681" s="14"/>
      <c r="L681" s="14"/>
      <c r="M681" s="14"/>
      <c r="N681" s="306"/>
      <c r="O681" s="44"/>
      <c r="P681" s="44"/>
      <c r="Q681" s="111"/>
      <c r="R681" s="307"/>
      <c r="S681" s="14"/>
      <c r="T681" s="308"/>
      <c r="U681" s="309"/>
      <c r="V681" s="310"/>
      <c r="W681" s="14"/>
      <c r="X681" s="14"/>
      <c r="Y681" s="14"/>
      <c r="Z681" s="14"/>
      <c r="AA681" s="14"/>
      <c r="AB681" s="15"/>
      <c r="AC681" s="15"/>
      <c r="AD681" s="15"/>
      <c r="AE681" s="15"/>
    </row>
    <row r="682" spans="3:31" s="303" customFormat="1" x14ac:dyDescent="0.3">
      <c r="C682" s="170"/>
      <c r="D682" s="15"/>
      <c r="F682" s="14"/>
      <c r="G682" s="14"/>
      <c r="H682" s="304"/>
      <c r="I682" s="304"/>
      <c r="J682" s="305"/>
      <c r="K682" s="14"/>
      <c r="L682" s="14"/>
      <c r="M682" s="14"/>
      <c r="N682" s="306"/>
      <c r="O682" s="44"/>
      <c r="P682" s="44"/>
      <c r="Q682" s="111"/>
      <c r="R682" s="307"/>
      <c r="S682" s="14"/>
      <c r="T682" s="308"/>
      <c r="U682" s="309"/>
      <c r="V682" s="310"/>
      <c r="W682" s="14"/>
      <c r="X682" s="14"/>
      <c r="Y682" s="14"/>
      <c r="Z682" s="14"/>
      <c r="AA682" s="14"/>
      <c r="AB682" s="15"/>
      <c r="AC682" s="15"/>
      <c r="AD682" s="15"/>
      <c r="AE682" s="15"/>
    </row>
    <row r="683" spans="3:31" s="303" customFormat="1" x14ac:dyDescent="0.3">
      <c r="C683" s="170"/>
      <c r="D683" s="15"/>
      <c r="F683" s="14"/>
      <c r="G683" s="14"/>
      <c r="H683" s="304"/>
      <c r="I683" s="304"/>
      <c r="J683" s="305"/>
      <c r="K683" s="14"/>
      <c r="L683" s="14"/>
      <c r="M683" s="14"/>
      <c r="N683" s="306"/>
      <c r="O683" s="44"/>
      <c r="P683" s="44"/>
      <c r="Q683" s="111"/>
      <c r="R683" s="307"/>
      <c r="S683" s="14"/>
      <c r="T683" s="308"/>
      <c r="U683" s="309"/>
      <c r="V683" s="310"/>
      <c r="W683" s="14"/>
      <c r="X683" s="14"/>
      <c r="Y683" s="14"/>
      <c r="Z683" s="14"/>
      <c r="AA683" s="14"/>
      <c r="AB683" s="15"/>
      <c r="AC683" s="15"/>
      <c r="AD683" s="15"/>
      <c r="AE683" s="15"/>
    </row>
    <row r="684" spans="3:31" s="303" customFormat="1" x14ac:dyDescent="0.3">
      <c r="C684" s="170"/>
      <c r="D684" s="15"/>
      <c r="F684" s="14"/>
      <c r="G684" s="14"/>
      <c r="H684" s="304"/>
      <c r="I684" s="304"/>
      <c r="J684" s="305"/>
      <c r="K684" s="14"/>
      <c r="L684" s="14"/>
      <c r="M684" s="14"/>
      <c r="N684" s="306"/>
      <c r="O684" s="44"/>
      <c r="P684" s="44"/>
      <c r="Q684" s="111"/>
      <c r="R684" s="307"/>
      <c r="S684" s="14"/>
      <c r="T684" s="308"/>
      <c r="U684" s="309"/>
      <c r="V684" s="310"/>
      <c r="W684" s="14"/>
      <c r="X684" s="14"/>
      <c r="Y684" s="14"/>
      <c r="Z684" s="14"/>
      <c r="AA684" s="14"/>
      <c r="AB684" s="15"/>
      <c r="AC684" s="15"/>
      <c r="AD684" s="15"/>
      <c r="AE684" s="15"/>
    </row>
    <row r="685" spans="3:31" s="303" customFormat="1" x14ac:dyDescent="0.3">
      <c r="C685" s="170"/>
      <c r="D685" s="15"/>
      <c r="F685" s="14"/>
      <c r="G685" s="14"/>
      <c r="H685" s="304"/>
      <c r="I685" s="304"/>
      <c r="J685" s="305"/>
      <c r="K685" s="14"/>
      <c r="L685" s="14"/>
      <c r="M685" s="14"/>
      <c r="N685" s="306"/>
      <c r="O685" s="44"/>
      <c r="P685" s="44"/>
      <c r="Q685" s="111"/>
      <c r="R685" s="307"/>
      <c r="S685" s="14"/>
      <c r="T685" s="308"/>
      <c r="U685" s="309"/>
      <c r="V685" s="310"/>
      <c r="W685" s="14"/>
      <c r="X685" s="14"/>
      <c r="Y685" s="14"/>
      <c r="Z685" s="14"/>
      <c r="AA685" s="14"/>
      <c r="AB685" s="15"/>
      <c r="AC685" s="15"/>
      <c r="AD685" s="15"/>
      <c r="AE685" s="15"/>
    </row>
    <row r="686" spans="3:31" s="303" customFormat="1" x14ac:dyDescent="0.3">
      <c r="C686" s="170"/>
      <c r="D686" s="15"/>
      <c r="F686" s="14"/>
      <c r="G686" s="14"/>
      <c r="H686" s="304"/>
      <c r="I686" s="304"/>
      <c r="J686" s="305"/>
      <c r="K686" s="14"/>
      <c r="L686" s="14"/>
      <c r="M686" s="14"/>
      <c r="N686" s="306"/>
      <c r="O686" s="44"/>
      <c r="P686" s="44"/>
      <c r="Q686" s="111"/>
      <c r="R686" s="307"/>
      <c r="S686" s="14"/>
      <c r="T686" s="308"/>
      <c r="U686" s="309"/>
      <c r="V686" s="310"/>
      <c r="W686" s="14"/>
      <c r="X686" s="14"/>
      <c r="Y686" s="14"/>
      <c r="Z686" s="14"/>
      <c r="AA686" s="14"/>
      <c r="AB686" s="15"/>
      <c r="AC686" s="15"/>
      <c r="AD686" s="15"/>
      <c r="AE686" s="15"/>
    </row>
    <row r="687" spans="3:31" s="303" customFormat="1" x14ac:dyDescent="0.3">
      <c r="C687" s="170"/>
      <c r="D687" s="15"/>
      <c r="F687" s="14"/>
      <c r="G687" s="14"/>
      <c r="H687" s="304"/>
      <c r="I687" s="304"/>
      <c r="J687" s="305"/>
      <c r="K687" s="14"/>
      <c r="L687" s="14"/>
      <c r="M687" s="14"/>
      <c r="N687" s="306"/>
      <c r="O687" s="44"/>
      <c r="P687" s="44"/>
      <c r="Q687" s="111"/>
      <c r="R687" s="307"/>
      <c r="S687" s="14"/>
      <c r="T687" s="308"/>
      <c r="U687" s="309"/>
      <c r="V687" s="310"/>
      <c r="W687" s="14"/>
      <c r="X687" s="14"/>
      <c r="Y687" s="14"/>
      <c r="Z687" s="14"/>
      <c r="AA687" s="14"/>
      <c r="AB687" s="15"/>
      <c r="AC687" s="15"/>
      <c r="AD687" s="15"/>
      <c r="AE687" s="15"/>
    </row>
    <row r="688" spans="3:31" s="303" customFormat="1" x14ac:dyDescent="0.3">
      <c r="C688" s="170"/>
      <c r="D688" s="15"/>
      <c r="F688" s="14"/>
      <c r="G688" s="14"/>
      <c r="H688" s="304"/>
      <c r="I688" s="304"/>
      <c r="J688" s="305"/>
      <c r="K688" s="14"/>
      <c r="L688" s="14"/>
      <c r="M688" s="14"/>
      <c r="N688" s="306"/>
      <c r="O688" s="44"/>
      <c r="P688" s="44"/>
      <c r="Q688" s="111"/>
      <c r="R688" s="307"/>
      <c r="S688" s="14"/>
      <c r="T688" s="308"/>
      <c r="U688" s="309"/>
      <c r="V688" s="310"/>
      <c r="W688" s="14"/>
      <c r="X688" s="14"/>
      <c r="Y688" s="14"/>
      <c r="Z688" s="14"/>
      <c r="AA688" s="14"/>
      <c r="AB688" s="15"/>
      <c r="AC688" s="15"/>
      <c r="AD688" s="15"/>
      <c r="AE688" s="15"/>
    </row>
    <row r="689" spans="1:31" s="303" customFormat="1" x14ac:dyDescent="0.3">
      <c r="C689" s="170"/>
      <c r="D689" s="15"/>
      <c r="F689" s="14"/>
      <c r="G689" s="14"/>
      <c r="H689" s="304"/>
      <c r="I689" s="304"/>
      <c r="J689" s="305"/>
      <c r="K689" s="14"/>
      <c r="L689" s="14"/>
      <c r="M689" s="14"/>
      <c r="N689" s="306"/>
      <c r="O689" s="44"/>
      <c r="P689" s="44"/>
      <c r="Q689" s="111"/>
      <c r="R689" s="307"/>
      <c r="S689" s="14"/>
      <c r="T689" s="308"/>
      <c r="U689" s="309"/>
      <c r="V689" s="310"/>
      <c r="W689" s="14"/>
      <c r="X689" s="14"/>
      <c r="Y689" s="14"/>
      <c r="Z689" s="14"/>
      <c r="AA689" s="14"/>
      <c r="AB689" s="15"/>
      <c r="AC689" s="15"/>
      <c r="AD689" s="15"/>
      <c r="AE689" s="15"/>
    </row>
    <row r="690" spans="1:31" s="303" customFormat="1" x14ac:dyDescent="0.3">
      <c r="C690" s="170"/>
      <c r="D690" s="15"/>
      <c r="F690" s="14"/>
      <c r="G690" s="14"/>
      <c r="H690" s="304"/>
      <c r="I690" s="304"/>
      <c r="J690" s="305"/>
      <c r="K690" s="14"/>
      <c r="L690" s="14"/>
      <c r="M690" s="14"/>
      <c r="N690" s="306"/>
      <c r="O690" s="44"/>
      <c r="P690" s="44"/>
      <c r="Q690" s="111"/>
      <c r="R690" s="307"/>
      <c r="S690" s="14"/>
      <c r="T690" s="308"/>
      <c r="U690" s="309"/>
      <c r="V690" s="310"/>
      <c r="W690" s="14"/>
      <c r="X690" s="14"/>
      <c r="Y690" s="14"/>
      <c r="Z690" s="14"/>
      <c r="AA690" s="14"/>
      <c r="AB690" s="15"/>
      <c r="AC690" s="15"/>
      <c r="AD690" s="15"/>
      <c r="AE690" s="15"/>
    </row>
    <row r="691" spans="1:31" s="303" customFormat="1" x14ac:dyDescent="0.3">
      <c r="C691" s="170"/>
      <c r="D691" s="15"/>
      <c r="F691" s="14"/>
      <c r="G691" s="14"/>
      <c r="H691" s="304"/>
      <c r="I691" s="304"/>
      <c r="J691" s="305"/>
      <c r="K691" s="14"/>
      <c r="L691" s="14"/>
      <c r="M691" s="14"/>
      <c r="N691" s="306"/>
      <c r="O691" s="44"/>
      <c r="P691" s="44"/>
      <c r="Q691" s="111"/>
      <c r="R691" s="307"/>
      <c r="S691" s="14"/>
      <c r="T691" s="308"/>
      <c r="U691" s="309"/>
      <c r="V691" s="310"/>
      <c r="W691" s="14"/>
      <c r="X691" s="14"/>
      <c r="Y691" s="14"/>
      <c r="Z691" s="14"/>
      <c r="AA691" s="14"/>
      <c r="AB691" s="15"/>
      <c r="AC691" s="15"/>
      <c r="AD691" s="15"/>
      <c r="AE691" s="15"/>
    </row>
    <row r="692" spans="1:31" s="303" customFormat="1" x14ac:dyDescent="0.3">
      <c r="C692" s="170"/>
      <c r="D692" s="15"/>
      <c r="F692" s="14"/>
      <c r="G692" s="14"/>
      <c r="H692" s="304"/>
      <c r="I692" s="304"/>
      <c r="J692" s="305"/>
      <c r="K692" s="14"/>
      <c r="L692" s="14"/>
      <c r="M692" s="14"/>
      <c r="N692" s="306"/>
      <c r="O692" s="44"/>
      <c r="P692" s="44"/>
      <c r="Q692" s="111"/>
      <c r="R692" s="307"/>
      <c r="S692" s="14"/>
      <c r="T692" s="308"/>
      <c r="U692" s="309"/>
      <c r="V692" s="310"/>
      <c r="W692" s="14"/>
      <c r="X692" s="14"/>
      <c r="Y692" s="14"/>
      <c r="Z692" s="14"/>
      <c r="AA692" s="14"/>
      <c r="AB692" s="15"/>
      <c r="AC692" s="15"/>
      <c r="AD692" s="15"/>
      <c r="AE692" s="15"/>
    </row>
    <row r="693" spans="1:31" ht="74.25" customHeight="1" x14ac:dyDescent="0.3"/>
    <row r="694" spans="1:31" ht="74.25" customHeight="1" x14ac:dyDescent="0.3"/>
    <row r="695" spans="1:31" ht="74.25" customHeight="1" x14ac:dyDescent="0.3"/>
    <row r="696" spans="1:31" ht="74.25" customHeight="1" x14ac:dyDescent="0.3"/>
    <row r="697" spans="1:31" ht="74.25" customHeight="1" x14ac:dyDescent="0.3"/>
    <row r="698" spans="1:31" ht="74.25" customHeight="1" x14ac:dyDescent="0.3"/>
    <row r="699" spans="1:31" ht="74.25" customHeight="1" x14ac:dyDescent="0.3"/>
    <row r="700" spans="1:31" ht="74.25" customHeight="1" x14ac:dyDescent="0.3"/>
    <row r="701" spans="1:31" ht="74.25" customHeight="1" x14ac:dyDescent="0.3"/>
    <row r="702" spans="1:31" ht="74.25" customHeight="1" x14ac:dyDescent="0.3"/>
    <row r="703" spans="1:31" s="305" customFormat="1" x14ac:dyDescent="0.3">
      <c r="A703" s="303"/>
      <c r="B703" s="303"/>
      <c r="C703" s="170"/>
      <c r="D703" s="15"/>
      <c r="E703" s="303"/>
      <c r="F703" s="14"/>
      <c r="G703" s="14"/>
      <c r="H703" s="304"/>
      <c r="I703" s="311"/>
      <c r="K703" s="14"/>
      <c r="L703" s="14"/>
      <c r="M703" s="14"/>
      <c r="N703" s="306"/>
      <c r="O703" s="44"/>
      <c r="P703" s="44"/>
      <c r="Q703" s="111"/>
      <c r="R703" s="307"/>
      <c r="S703" s="14"/>
      <c r="T703" s="308"/>
      <c r="U703" s="309"/>
      <c r="V703" s="310"/>
      <c r="W703" s="14"/>
      <c r="X703" s="14"/>
      <c r="Y703" s="14"/>
      <c r="Z703" s="14"/>
      <c r="AA703" s="14"/>
      <c r="AB703" s="15"/>
      <c r="AC703" s="15"/>
      <c r="AD703" s="15"/>
      <c r="AE703" s="15"/>
    </row>
    <row r="705" ht="74.25" customHeight="1" x14ac:dyDescent="0.3"/>
    <row r="706" ht="74.25" customHeight="1" x14ac:dyDescent="0.3"/>
    <row r="707" ht="74.25" customHeight="1" x14ac:dyDescent="0.3"/>
    <row r="708" ht="74.25" customHeight="1" x14ac:dyDescent="0.3"/>
    <row r="709" ht="74.25" customHeight="1" x14ac:dyDescent="0.3"/>
    <row r="710" ht="74.25" customHeight="1" x14ac:dyDescent="0.3"/>
    <row r="711" ht="74.25" customHeight="1" x14ac:dyDescent="0.3"/>
    <row r="712" ht="74.25" customHeight="1" x14ac:dyDescent="0.3"/>
    <row r="713" ht="74.25" customHeight="1" x14ac:dyDescent="0.3"/>
    <row r="714" ht="74.25" customHeight="1" x14ac:dyDescent="0.3"/>
    <row r="715" ht="74.25" customHeight="1" x14ac:dyDescent="0.3"/>
    <row r="716" ht="74.25" customHeight="1" x14ac:dyDescent="0.3"/>
    <row r="717" ht="74.25" customHeight="1" x14ac:dyDescent="0.3"/>
    <row r="718" ht="74.25" customHeight="1" x14ac:dyDescent="0.3"/>
    <row r="719" ht="74.25" customHeight="1" x14ac:dyDescent="0.3"/>
    <row r="720" ht="74.25" customHeight="1" x14ac:dyDescent="0.3"/>
    <row r="721" ht="74.25" customHeight="1" x14ac:dyDescent="0.3"/>
    <row r="722" ht="74.25" customHeight="1" x14ac:dyDescent="0.3"/>
    <row r="723" ht="74.25" customHeight="1" x14ac:dyDescent="0.3"/>
    <row r="724" ht="74.25" customHeight="1" x14ac:dyDescent="0.3"/>
    <row r="725" ht="74.25" customHeight="1" x14ac:dyDescent="0.3"/>
    <row r="726" ht="74.25" customHeight="1" x14ac:dyDescent="0.3"/>
    <row r="727" ht="74.25" customHeight="1" x14ac:dyDescent="0.3"/>
    <row r="728" ht="74.25" customHeight="1" x14ac:dyDescent="0.3"/>
    <row r="729" ht="74.25" customHeight="1" x14ac:dyDescent="0.3"/>
    <row r="730" ht="74.25" customHeight="1" x14ac:dyDescent="0.3"/>
    <row r="731" ht="74.25" customHeight="1" x14ac:dyDescent="0.3"/>
    <row r="732" ht="74.25" customHeight="1" x14ac:dyDescent="0.3"/>
    <row r="733" ht="74.25" customHeight="1" x14ac:dyDescent="0.3"/>
    <row r="734" ht="74.25" customHeight="1" x14ac:dyDescent="0.3"/>
    <row r="735" ht="74.25" customHeight="1" x14ac:dyDescent="0.3"/>
    <row r="736" ht="74.25" customHeight="1" x14ac:dyDescent="0.3"/>
    <row r="737" ht="74.25" customHeight="1" x14ac:dyDescent="0.3"/>
    <row r="738" ht="74.25" customHeight="1" x14ac:dyDescent="0.3"/>
    <row r="739" ht="74.25" customHeight="1" x14ac:dyDescent="0.3"/>
    <row r="740" ht="74.25" customHeight="1" x14ac:dyDescent="0.3"/>
    <row r="741" ht="74.25" customHeight="1" x14ac:dyDescent="0.3"/>
    <row r="742" ht="74.25" customHeight="1" x14ac:dyDescent="0.3"/>
    <row r="743" ht="74.25" customHeight="1" x14ac:dyDescent="0.3"/>
    <row r="744" ht="74.25" customHeight="1" x14ac:dyDescent="0.3"/>
    <row r="745" ht="74.25" customHeight="1" x14ac:dyDescent="0.3"/>
    <row r="746" ht="74.25" customHeight="1" x14ac:dyDescent="0.3"/>
    <row r="747" ht="74.25" customHeight="1" x14ac:dyDescent="0.3"/>
    <row r="748" ht="74.25" customHeight="1" x14ac:dyDescent="0.3"/>
    <row r="749" ht="74.25" customHeight="1" x14ac:dyDescent="0.3"/>
    <row r="750" ht="74.25" customHeight="1" x14ac:dyDescent="0.3"/>
    <row r="751" ht="74.25" customHeight="1" x14ac:dyDescent="0.3"/>
    <row r="752" ht="74.25" customHeight="1" x14ac:dyDescent="0.3"/>
    <row r="753" ht="74.25" customHeight="1" x14ac:dyDescent="0.3"/>
    <row r="754" ht="74.25" customHeight="1" x14ac:dyDescent="0.3"/>
    <row r="755" ht="74.25" customHeight="1" x14ac:dyDescent="0.3"/>
    <row r="756" ht="74.25" customHeight="1" x14ac:dyDescent="0.3"/>
    <row r="757" ht="74.25" customHeight="1" x14ac:dyDescent="0.3"/>
    <row r="758" ht="74.25" customHeight="1" x14ac:dyDescent="0.3"/>
    <row r="759" ht="74.25" customHeight="1" x14ac:dyDescent="0.3"/>
    <row r="760" ht="74.25" customHeight="1" x14ac:dyDescent="0.3"/>
    <row r="761" ht="74.25" customHeight="1" x14ac:dyDescent="0.3"/>
    <row r="762" ht="74.25" customHeight="1" x14ac:dyDescent="0.3"/>
    <row r="763" ht="74.25" customHeight="1" x14ac:dyDescent="0.3"/>
    <row r="764" ht="74.25" customHeight="1" x14ac:dyDescent="0.3"/>
    <row r="765" ht="74.25" customHeight="1" x14ac:dyDescent="0.3"/>
    <row r="766" ht="74.25" customHeight="1" x14ac:dyDescent="0.3"/>
    <row r="767" ht="74.25" customHeight="1" x14ac:dyDescent="0.3"/>
    <row r="768" ht="74.25" customHeight="1" x14ac:dyDescent="0.3"/>
    <row r="769" ht="74.25" customHeight="1" x14ac:dyDescent="0.3"/>
    <row r="770" ht="74.25" customHeight="1" x14ac:dyDescent="0.3"/>
    <row r="771" ht="74.25" customHeight="1" x14ac:dyDescent="0.3"/>
    <row r="772" ht="74.25" customHeight="1" x14ac:dyDescent="0.3"/>
    <row r="773" ht="74.25" customHeight="1" x14ac:dyDescent="0.3"/>
    <row r="774" ht="74.25" customHeight="1" x14ac:dyDescent="0.3"/>
    <row r="775" ht="74.25" customHeight="1" x14ac:dyDescent="0.3"/>
    <row r="776" ht="74.25" customHeight="1" x14ac:dyDescent="0.3"/>
    <row r="777" ht="74.25" customHeight="1" x14ac:dyDescent="0.3"/>
    <row r="778" ht="74.25" customHeight="1" x14ac:dyDescent="0.3"/>
    <row r="779" ht="74.25" customHeight="1" x14ac:dyDescent="0.3"/>
    <row r="780" ht="74.25" customHeight="1" x14ac:dyDescent="0.3"/>
    <row r="781" ht="74.25" customHeight="1" x14ac:dyDescent="0.3"/>
    <row r="782" ht="74.25" customHeight="1" x14ac:dyDescent="0.3"/>
    <row r="783" ht="74.25" customHeight="1" x14ac:dyDescent="0.3"/>
    <row r="784" ht="74.25" customHeight="1" x14ac:dyDescent="0.3"/>
    <row r="785" ht="74.25" customHeight="1" x14ac:dyDescent="0.3"/>
    <row r="786" ht="74.25" customHeight="1" x14ac:dyDescent="0.3"/>
    <row r="787" ht="74.25" customHeight="1" x14ac:dyDescent="0.3"/>
    <row r="788" ht="74.25" customHeight="1" x14ac:dyDescent="0.3"/>
    <row r="789" ht="74.25" customHeight="1" x14ac:dyDescent="0.3"/>
    <row r="790" ht="74.25" customHeight="1" x14ac:dyDescent="0.3"/>
    <row r="791" ht="74.25" customHeight="1" x14ac:dyDescent="0.3"/>
    <row r="792" ht="74.25" customHeight="1" x14ac:dyDescent="0.3"/>
    <row r="793" ht="74.25" customHeight="1" x14ac:dyDescent="0.3"/>
    <row r="794" ht="74.25" customHeight="1" x14ac:dyDescent="0.3"/>
    <row r="795" ht="74.25" customHeight="1" x14ac:dyDescent="0.3"/>
    <row r="796" ht="74.25" customHeight="1" x14ac:dyDescent="0.3"/>
    <row r="797" ht="74.25" customHeight="1" x14ac:dyDescent="0.3"/>
    <row r="798" ht="74.25" customHeight="1" x14ac:dyDescent="0.3"/>
    <row r="799" ht="74.25" customHeight="1" x14ac:dyDescent="0.3"/>
    <row r="800" ht="74.25" customHeight="1" x14ac:dyDescent="0.3"/>
    <row r="801" ht="74.25" customHeight="1" x14ac:dyDescent="0.3"/>
    <row r="802" ht="74.25" customHeight="1" x14ac:dyDescent="0.3"/>
    <row r="803" ht="74.25" customHeight="1" x14ac:dyDescent="0.3"/>
    <row r="804" ht="74.25" customHeight="1" x14ac:dyDescent="0.3"/>
    <row r="805" ht="74.25" customHeight="1" x14ac:dyDescent="0.3"/>
    <row r="806" ht="74.25" customHeight="1" x14ac:dyDescent="0.3"/>
    <row r="807" ht="74.25" customHeight="1" x14ac:dyDescent="0.3"/>
    <row r="808" ht="74.25" customHeight="1" x14ac:dyDescent="0.3"/>
    <row r="809" ht="74.25" customHeight="1" x14ac:dyDescent="0.3"/>
    <row r="810" ht="74.25" customHeight="1" x14ac:dyDescent="0.3"/>
    <row r="811" ht="74.25" customHeight="1" x14ac:dyDescent="0.3"/>
    <row r="812" ht="74.25" customHeight="1" x14ac:dyDescent="0.3"/>
    <row r="813" ht="74.25" customHeight="1" x14ac:dyDescent="0.3"/>
    <row r="814" ht="74.25" customHeight="1" x14ac:dyDescent="0.3"/>
    <row r="815" ht="74.25" customHeight="1" x14ac:dyDescent="0.3"/>
    <row r="816" ht="74.25" customHeight="1" x14ac:dyDescent="0.3"/>
    <row r="817" ht="74.25" customHeight="1" x14ac:dyDescent="0.3"/>
    <row r="818" ht="74.25" customHeight="1" x14ac:dyDescent="0.3"/>
    <row r="819" ht="74.25" customHeight="1" x14ac:dyDescent="0.3"/>
    <row r="820" ht="74.25" customHeight="1" x14ac:dyDescent="0.3"/>
    <row r="821" ht="74.25" customHeight="1" x14ac:dyDescent="0.3"/>
    <row r="822" ht="74.25" customHeight="1" x14ac:dyDescent="0.3"/>
    <row r="823" ht="74.25" customHeight="1" x14ac:dyDescent="0.3"/>
    <row r="824" ht="74.25" customHeight="1" x14ac:dyDescent="0.3"/>
    <row r="825" ht="74.25" customHeight="1" x14ac:dyDescent="0.3"/>
    <row r="826" ht="74.25" customHeight="1" x14ac:dyDescent="0.3"/>
    <row r="827" ht="74.25" customHeight="1" x14ac:dyDescent="0.3"/>
    <row r="828" ht="74.25" customHeight="1" x14ac:dyDescent="0.3"/>
    <row r="829" ht="74.25" customHeight="1" x14ac:dyDescent="0.3"/>
    <row r="830" ht="74.25" customHeight="1" x14ac:dyDescent="0.3"/>
    <row r="831" ht="74.25" customHeight="1" x14ac:dyDescent="0.3"/>
    <row r="832" ht="74.25" customHeight="1" x14ac:dyDescent="0.3"/>
    <row r="833" ht="74.25" customHeight="1" x14ac:dyDescent="0.3"/>
    <row r="834" ht="74.25" customHeight="1" x14ac:dyDescent="0.3"/>
    <row r="835" ht="74.25" customHeight="1" x14ac:dyDescent="0.3"/>
    <row r="836" ht="74.25" customHeight="1" x14ac:dyDescent="0.3"/>
    <row r="837" ht="74.25" customHeight="1" x14ac:dyDescent="0.3"/>
    <row r="838" ht="74.25" customHeight="1" x14ac:dyDescent="0.3"/>
    <row r="839" ht="74.25" customHeight="1" x14ac:dyDescent="0.3"/>
    <row r="840" ht="74.25" customHeight="1" x14ac:dyDescent="0.3"/>
    <row r="841" ht="74.25" customHeight="1" x14ac:dyDescent="0.3"/>
    <row r="842" ht="74.25" customHeight="1" x14ac:dyDescent="0.3"/>
    <row r="843" ht="74.25" customHeight="1" x14ac:dyDescent="0.3"/>
    <row r="844" ht="74.25" customHeight="1" x14ac:dyDescent="0.3"/>
    <row r="845" ht="74.25" customHeight="1" x14ac:dyDescent="0.3"/>
    <row r="846" ht="74.25" customHeight="1" x14ac:dyDescent="0.3"/>
    <row r="847" ht="74.25" customHeight="1" x14ac:dyDescent="0.3"/>
    <row r="848" ht="74.25" customHeight="1" x14ac:dyDescent="0.3"/>
    <row r="849" ht="74.25" customHeight="1" x14ac:dyDescent="0.3"/>
    <row r="850" ht="74.25" customHeight="1" x14ac:dyDescent="0.3"/>
    <row r="851" ht="74.25" customHeight="1" x14ac:dyDescent="0.3"/>
    <row r="852" ht="74.25" customHeight="1" x14ac:dyDescent="0.3"/>
    <row r="853" ht="74.25" customHeight="1" x14ac:dyDescent="0.3"/>
    <row r="854" ht="74.25" customHeight="1" x14ac:dyDescent="0.3"/>
    <row r="855" ht="74.25" customHeight="1" x14ac:dyDescent="0.3"/>
    <row r="856" ht="74.25" customHeight="1" x14ac:dyDescent="0.3"/>
    <row r="857" ht="74.25" customHeight="1" x14ac:dyDescent="0.3"/>
    <row r="858" ht="74.25" customHeight="1" x14ac:dyDescent="0.3"/>
    <row r="859" ht="74.25" customHeight="1" x14ac:dyDescent="0.3"/>
    <row r="860" ht="74.25" customHeight="1" x14ac:dyDescent="0.3"/>
    <row r="861" ht="74.25" customHeight="1" x14ac:dyDescent="0.3"/>
    <row r="862" ht="74.25" customHeight="1" x14ac:dyDescent="0.3"/>
    <row r="863" ht="74.25" customHeight="1" x14ac:dyDescent="0.3"/>
    <row r="864" ht="74.25" customHeight="1" x14ac:dyDescent="0.3"/>
    <row r="865" ht="74.25" customHeight="1" x14ac:dyDescent="0.3"/>
    <row r="866" ht="74.25" customHeight="1" x14ac:dyDescent="0.3"/>
    <row r="867" ht="74.25" customHeight="1" x14ac:dyDescent="0.3"/>
    <row r="868" ht="74.25" customHeight="1" x14ac:dyDescent="0.3"/>
    <row r="869" ht="74.25" customHeight="1" x14ac:dyDescent="0.3"/>
    <row r="870" ht="74.25" customHeight="1" x14ac:dyDescent="0.3"/>
    <row r="871" ht="74.25" customHeight="1" x14ac:dyDescent="0.3"/>
    <row r="872" ht="74.25" customHeight="1" x14ac:dyDescent="0.3"/>
    <row r="873" ht="74.25" customHeight="1" x14ac:dyDescent="0.3"/>
    <row r="874" ht="74.25" customHeight="1" x14ac:dyDescent="0.3"/>
    <row r="875" ht="74.25" customHeight="1" x14ac:dyDescent="0.3"/>
    <row r="876" ht="74.25" customHeight="1" x14ac:dyDescent="0.3"/>
    <row r="877" ht="74.25" customHeight="1" x14ac:dyDescent="0.3"/>
    <row r="878" ht="74.25" customHeight="1" x14ac:dyDescent="0.3"/>
    <row r="879" ht="74.25" customHeight="1" x14ac:dyDescent="0.3"/>
    <row r="880" ht="74.25" customHeight="1" x14ac:dyDescent="0.3"/>
    <row r="881" ht="74.25" customHeight="1" x14ac:dyDescent="0.3"/>
    <row r="882" ht="74.25" customHeight="1" x14ac:dyDescent="0.3"/>
    <row r="883" ht="74.25" customHeight="1" x14ac:dyDescent="0.3"/>
    <row r="884" ht="74.25" customHeight="1" x14ac:dyDescent="0.3"/>
    <row r="885" ht="74.25" customHeight="1" x14ac:dyDescent="0.3"/>
    <row r="886" ht="74.25" customHeight="1" x14ac:dyDescent="0.3"/>
    <row r="887" ht="74.25" customHeight="1" x14ac:dyDescent="0.3"/>
    <row r="888" ht="74.25" customHeight="1" x14ac:dyDescent="0.3"/>
    <row r="889" ht="74.25" customHeight="1" x14ac:dyDescent="0.3"/>
    <row r="890" ht="74.25" customHeight="1" x14ac:dyDescent="0.3"/>
    <row r="891" ht="74.25" customHeight="1" x14ac:dyDescent="0.3"/>
    <row r="892" ht="74.25" customHeight="1" x14ac:dyDescent="0.3"/>
    <row r="893" ht="74.25" customHeight="1" x14ac:dyDescent="0.3"/>
    <row r="894" ht="74.25" customHeight="1" x14ac:dyDescent="0.3"/>
    <row r="895" ht="74.25" customHeight="1" x14ac:dyDescent="0.3"/>
    <row r="896" ht="74.25" customHeight="1" x14ac:dyDescent="0.3"/>
    <row r="897" ht="74.25" customHeight="1" x14ac:dyDescent="0.3"/>
    <row r="898" ht="74.25" customHeight="1" x14ac:dyDescent="0.3"/>
    <row r="899" ht="74.25" customHeight="1" x14ac:dyDescent="0.3"/>
    <row r="900" ht="74.25" customHeight="1" x14ac:dyDescent="0.3"/>
    <row r="901" ht="74.25" customHeight="1" x14ac:dyDescent="0.3"/>
    <row r="902" ht="74.25" customHeight="1" x14ac:dyDescent="0.3"/>
    <row r="903" ht="74.25" customHeight="1" x14ac:dyDescent="0.3"/>
    <row r="904" ht="74.25" customHeight="1" x14ac:dyDescent="0.3"/>
    <row r="905" ht="74.25" customHeight="1" x14ac:dyDescent="0.3"/>
    <row r="906" ht="74.25" customHeight="1" x14ac:dyDescent="0.3"/>
    <row r="907" ht="74.25" customHeight="1" x14ac:dyDescent="0.3"/>
    <row r="908" ht="74.25" customHeight="1" x14ac:dyDescent="0.3"/>
    <row r="909" ht="74.25" customHeight="1" x14ac:dyDescent="0.3"/>
    <row r="910" ht="74.25" customHeight="1" x14ac:dyDescent="0.3"/>
    <row r="911" ht="74.25" customHeight="1" x14ac:dyDescent="0.3"/>
    <row r="912" ht="74.25" customHeight="1" x14ac:dyDescent="0.3"/>
    <row r="913" ht="74.25" customHeight="1" x14ac:dyDescent="0.3"/>
    <row r="914" ht="74.25" customHeight="1" x14ac:dyDescent="0.3"/>
    <row r="915" ht="74.25" customHeight="1" x14ac:dyDescent="0.3"/>
    <row r="916" ht="74.25" customHeight="1" x14ac:dyDescent="0.3"/>
    <row r="917" ht="74.25" customHeight="1" x14ac:dyDescent="0.3"/>
    <row r="918" ht="74.25" customHeight="1" x14ac:dyDescent="0.3"/>
    <row r="919" ht="74.25" customHeight="1" x14ac:dyDescent="0.3"/>
    <row r="920" ht="74.25" customHeight="1" x14ac:dyDescent="0.3"/>
    <row r="921" ht="74.25" customHeight="1" x14ac:dyDescent="0.3"/>
    <row r="922" ht="74.25" customHeight="1" x14ac:dyDescent="0.3"/>
    <row r="923" ht="74.25" customHeight="1" x14ac:dyDescent="0.3"/>
    <row r="924" ht="74.25" customHeight="1" x14ac:dyDescent="0.3"/>
    <row r="925" ht="74.25" customHeight="1" x14ac:dyDescent="0.3"/>
    <row r="926" ht="74.25" customHeight="1" x14ac:dyDescent="0.3"/>
    <row r="927" ht="74.25" customHeight="1" x14ac:dyDescent="0.3"/>
    <row r="928" ht="74.25" customHeight="1" x14ac:dyDescent="0.3"/>
    <row r="929" ht="74.25" customHeight="1" x14ac:dyDescent="0.3"/>
    <row r="930" ht="74.25" customHeight="1" x14ac:dyDescent="0.3"/>
    <row r="931" ht="74.25" customHeight="1" x14ac:dyDescent="0.3"/>
    <row r="932" ht="74.25" customHeight="1" x14ac:dyDescent="0.3"/>
    <row r="933" ht="74.25" customHeight="1" x14ac:dyDescent="0.3"/>
    <row r="934" ht="74.25" customHeight="1" x14ac:dyDescent="0.3"/>
    <row r="935" ht="74.25" customHeight="1" x14ac:dyDescent="0.3"/>
    <row r="936" ht="74.25" customHeight="1" x14ac:dyDescent="0.3"/>
    <row r="937" ht="74.25" customHeight="1" x14ac:dyDescent="0.3"/>
    <row r="938" ht="74.25" customHeight="1" x14ac:dyDescent="0.3"/>
    <row r="939" ht="74.25" customHeight="1" x14ac:dyDescent="0.3"/>
    <row r="940" ht="74.25" customHeight="1" x14ac:dyDescent="0.3"/>
    <row r="941" ht="74.25" customHeight="1" x14ac:dyDescent="0.3"/>
    <row r="942" ht="74.25" customHeight="1" x14ac:dyDescent="0.3"/>
    <row r="943" ht="74.25" customHeight="1" x14ac:dyDescent="0.3"/>
    <row r="944" ht="74.25" customHeight="1" x14ac:dyDescent="0.3"/>
    <row r="945" ht="74.25" customHeight="1" x14ac:dyDescent="0.3"/>
    <row r="946" ht="74.25" customHeight="1" x14ac:dyDescent="0.3"/>
    <row r="947" ht="74.25" customHeight="1" x14ac:dyDescent="0.3"/>
    <row r="948" ht="74.25" customHeight="1" x14ac:dyDescent="0.3"/>
    <row r="949" ht="74.25" customHeight="1" x14ac:dyDescent="0.3"/>
    <row r="950" ht="74.25" customHeight="1" x14ac:dyDescent="0.3"/>
    <row r="951" ht="74.25" customHeight="1" x14ac:dyDescent="0.3"/>
    <row r="952" ht="74.25" customHeight="1" x14ac:dyDescent="0.3"/>
    <row r="953" ht="74.25" customHeight="1" x14ac:dyDescent="0.3"/>
    <row r="954" ht="74.25" customHeight="1" x14ac:dyDescent="0.3"/>
    <row r="955" ht="74.25" customHeight="1" x14ac:dyDescent="0.3"/>
    <row r="956" ht="74.25" customHeight="1" x14ac:dyDescent="0.3"/>
    <row r="957" ht="74.25" customHeight="1" x14ac:dyDescent="0.3"/>
    <row r="958" ht="74.25" customHeight="1" x14ac:dyDescent="0.3"/>
    <row r="959" ht="74.25" customHeight="1" x14ac:dyDescent="0.3"/>
    <row r="960" ht="74.25" customHeight="1" x14ac:dyDescent="0.3"/>
    <row r="961" ht="74.25" customHeight="1" x14ac:dyDescent="0.3"/>
    <row r="962" ht="74.25" customHeight="1" x14ac:dyDescent="0.3"/>
    <row r="963" ht="74.25" customHeight="1" x14ac:dyDescent="0.3"/>
    <row r="964" ht="74.25" customHeight="1" x14ac:dyDescent="0.3"/>
    <row r="965" ht="74.25" customHeight="1" x14ac:dyDescent="0.3"/>
    <row r="966" ht="74.25" customHeight="1" x14ac:dyDescent="0.3"/>
    <row r="967" ht="74.25" customHeight="1" x14ac:dyDescent="0.3"/>
    <row r="968" ht="74.25" customHeight="1" x14ac:dyDescent="0.3"/>
    <row r="969" ht="74.25" customHeight="1" x14ac:dyDescent="0.3"/>
    <row r="970" ht="74.25" customHeight="1" x14ac:dyDescent="0.3"/>
    <row r="971" ht="74.25" customHeight="1" x14ac:dyDescent="0.3"/>
    <row r="972" ht="74.25" customHeight="1" x14ac:dyDescent="0.3"/>
    <row r="973" ht="74.25" customHeight="1" x14ac:dyDescent="0.3"/>
    <row r="974" ht="74.25" customHeight="1" x14ac:dyDescent="0.3"/>
    <row r="975" ht="74.25" customHeight="1" x14ac:dyDescent="0.3"/>
    <row r="976" ht="74.25" customHeight="1" x14ac:dyDescent="0.3"/>
    <row r="977" ht="74.25" customHeight="1" x14ac:dyDescent="0.3"/>
    <row r="978" ht="74.25" customHeight="1" x14ac:dyDescent="0.3"/>
    <row r="979" ht="74.25" customHeight="1" x14ac:dyDescent="0.3"/>
    <row r="980" ht="74.25" customHeight="1" x14ac:dyDescent="0.3"/>
    <row r="981" ht="74.25" customHeight="1" x14ac:dyDescent="0.3"/>
    <row r="982" ht="74.25" customHeight="1" x14ac:dyDescent="0.3"/>
    <row r="983" ht="74.25" customHeight="1" x14ac:dyDescent="0.3"/>
    <row r="984" ht="74.25" customHeight="1" x14ac:dyDescent="0.3"/>
    <row r="985" ht="74.25" customHeight="1" x14ac:dyDescent="0.3"/>
    <row r="986" ht="74.25" customHeight="1" x14ac:dyDescent="0.3"/>
    <row r="987" ht="74.25" customHeight="1" x14ac:dyDescent="0.3"/>
    <row r="988" ht="74.25" customHeight="1" x14ac:dyDescent="0.3"/>
    <row r="989" ht="74.25" customHeight="1" x14ac:dyDescent="0.3"/>
    <row r="990" ht="74.25" customHeight="1" x14ac:dyDescent="0.3"/>
    <row r="991" ht="74.25" customHeight="1" x14ac:dyDescent="0.3"/>
    <row r="992" ht="74.25" customHeight="1" x14ac:dyDescent="0.3"/>
    <row r="993" ht="74.25" customHeight="1" x14ac:dyDescent="0.3"/>
    <row r="994" ht="74.25" customHeight="1" x14ac:dyDescent="0.3"/>
    <row r="995" ht="74.25" customHeight="1" x14ac:dyDescent="0.3"/>
    <row r="996" ht="74.25" customHeight="1" x14ac:dyDescent="0.3"/>
    <row r="997" ht="74.25" customHeight="1" x14ac:dyDescent="0.3"/>
    <row r="998" ht="74.25" customHeight="1" x14ac:dyDescent="0.3"/>
    <row r="999" ht="74.25" customHeight="1" x14ac:dyDescent="0.3"/>
    <row r="1000" ht="74.25" customHeight="1" x14ac:dyDescent="0.3"/>
    <row r="1001" ht="74.25" customHeight="1" x14ac:dyDescent="0.3"/>
    <row r="1002" ht="74.25" customHeight="1" x14ac:dyDescent="0.3"/>
    <row r="1003" ht="74.25" customHeight="1" x14ac:dyDescent="0.3"/>
    <row r="1004" ht="74.25" customHeight="1" x14ac:dyDescent="0.3"/>
    <row r="1005" ht="74.25" customHeight="1" x14ac:dyDescent="0.3"/>
    <row r="1006" ht="74.25" customHeight="1" x14ac:dyDescent="0.3"/>
    <row r="1007" ht="74.25" customHeight="1" x14ac:dyDescent="0.3"/>
    <row r="1008" ht="74.25" customHeight="1" x14ac:dyDescent="0.3"/>
    <row r="1009" ht="74.25" customHeight="1" x14ac:dyDescent="0.3"/>
    <row r="1010" ht="74.25" customHeight="1" x14ac:dyDescent="0.3"/>
    <row r="1011" ht="74.25" customHeight="1" x14ac:dyDescent="0.3"/>
    <row r="1012" ht="74.25" customHeight="1" x14ac:dyDescent="0.3"/>
    <row r="1013" ht="74.25" customHeight="1" x14ac:dyDescent="0.3"/>
    <row r="1014" ht="74.25" customHeight="1" x14ac:dyDescent="0.3"/>
    <row r="1015" ht="74.25" customHeight="1" x14ac:dyDescent="0.3"/>
    <row r="1016" ht="74.25" customHeight="1" x14ac:dyDescent="0.3"/>
    <row r="1017" ht="74.25" customHeight="1" x14ac:dyDescent="0.3"/>
    <row r="1018" ht="74.25" customHeight="1" x14ac:dyDescent="0.3"/>
    <row r="1019" ht="74.25" customHeight="1" x14ac:dyDescent="0.3"/>
    <row r="1020" ht="74.25" customHeight="1" x14ac:dyDescent="0.3"/>
    <row r="1021" ht="74.25" customHeight="1" x14ac:dyDescent="0.3"/>
    <row r="1022" ht="74.25" customHeight="1" x14ac:dyDescent="0.3"/>
    <row r="1023" ht="74.25" customHeight="1" x14ac:dyDescent="0.3"/>
    <row r="1024" ht="74.25" customHeight="1" x14ac:dyDescent="0.3"/>
    <row r="1025" ht="74.25" customHeight="1" x14ac:dyDescent="0.3"/>
    <row r="1026" ht="74.25" customHeight="1" x14ac:dyDescent="0.3"/>
    <row r="1027" ht="74.25" customHeight="1" x14ac:dyDescent="0.3"/>
    <row r="1028" ht="74.25" customHeight="1" x14ac:dyDescent="0.3"/>
    <row r="1029" ht="74.25" customHeight="1" x14ac:dyDescent="0.3"/>
    <row r="1030" ht="74.25" customHeight="1" x14ac:dyDescent="0.3"/>
    <row r="1031" ht="74.25" customHeight="1" x14ac:dyDescent="0.3"/>
    <row r="1032" ht="74.25" customHeight="1" x14ac:dyDescent="0.3"/>
    <row r="1033" ht="74.25" customHeight="1" x14ac:dyDescent="0.3"/>
    <row r="1034" ht="74.25" customHeight="1" x14ac:dyDescent="0.3"/>
    <row r="1035" ht="74.25" customHeight="1" x14ac:dyDescent="0.3"/>
    <row r="1036" ht="74.25" customHeight="1" x14ac:dyDescent="0.3"/>
    <row r="1037" ht="74.25" customHeight="1" x14ac:dyDescent="0.3"/>
    <row r="1038" ht="74.25" customHeight="1" x14ac:dyDescent="0.3"/>
    <row r="1039" ht="74.25" customHeight="1" x14ac:dyDescent="0.3"/>
    <row r="1040" ht="74.25" customHeight="1" x14ac:dyDescent="0.3"/>
    <row r="1041" ht="74.25" customHeight="1" x14ac:dyDescent="0.3"/>
    <row r="1042" ht="74.25" customHeight="1" x14ac:dyDescent="0.3"/>
    <row r="1043" ht="74.25" customHeight="1" x14ac:dyDescent="0.3"/>
    <row r="1044" ht="74.25" customHeight="1" x14ac:dyDescent="0.3"/>
    <row r="1045" ht="74.25" customHeight="1" x14ac:dyDescent="0.3"/>
    <row r="1046" ht="74.25" customHeight="1" x14ac:dyDescent="0.3"/>
    <row r="1047" ht="74.25" customHeight="1" x14ac:dyDescent="0.3"/>
    <row r="1048" ht="74.25" customHeight="1" x14ac:dyDescent="0.3"/>
    <row r="1049" ht="74.25" customHeight="1" x14ac:dyDescent="0.3"/>
    <row r="1050" ht="74.25" customHeight="1" x14ac:dyDescent="0.3"/>
    <row r="1051" ht="74.25" customHeight="1" x14ac:dyDescent="0.3"/>
    <row r="1052" ht="74.25" customHeight="1" x14ac:dyDescent="0.3"/>
    <row r="1053" ht="74.25" customHeight="1" x14ac:dyDescent="0.3"/>
    <row r="1054" ht="74.25" customHeight="1" x14ac:dyDescent="0.3"/>
    <row r="1055" ht="74.25" customHeight="1" x14ac:dyDescent="0.3"/>
    <row r="1056" ht="74.25" customHeight="1" x14ac:dyDescent="0.3"/>
    <row r="1057" ht="74.25" customHeight="1" x14ac:dyDescent="0.3"/>
    <row r="1058" ht="74.25" customHeight="1" x14ac:dyDescent="0.3"/>
    <row r="1059" ht="74.25" customHeight="1" x14ac:dyDescent="0.3"/>
    <row r="1060" ht="74.25" customHeight="1" x14ac:dyDescent="0.3"/>
    <row r="1061" ht="74.25" customHeight="1" x14ac:dyDescent="0.3"/>
    <row r="1062" ht="74.25" customHeight="1" x14ac:dyDescent="0.3"/>
    <row r="1063" ht="74.25" customHeight="1" x14ac:dyDescent="0.3"/>
    <row r="1064" ht="74.25" customHeight="1" x14ac:dyDescent="0.3"/>
    <row r="1065" ht="74.25" customHeight="1" x14ac:dyDescent="0.3"/>
    <row r="1066" ht="74.25" customHeight="1" x14ac:dyDescent="0.3"/>
    <row r="1067" ht="74.25" customHeight="1" x14ac:dyDescent="0.3"/>
    <row r="1068" ht="74.25" customHeight="1" x14ac:dyDescent="0.3"/>
    <row r="1069" ht="74.25" customHeight="1" x14ac:dyDescent="0.3"/>
    <row r="1070" ht="74.25" customHeight="1" x14ac:dyDescent="0.3"/>
    <row r="1071" ht="74.25" customHeight="1" x14ac:dyDescent="0.3"/>
    <row r="1072" ht="74.25" customHeight="1" x14ac:dyDescent="0.3"/>
    <row r="1073" ht="74.25" customHeight="1" x14ac:dyDescent="0.3"/>
    <row r="1074" ht="74.25" customHeight="1" x14ac:dyDescent="0.3"/>
    <row r="1075" ht="74.25" customHeight="1" x14ac:dyDescent="0.3"/>
    <row r="1076" ht="74.25" customHeight="1" x14ac:dyDescent="0.3"/>
    <row r="1077" ht="74.25" customHeight="1" x14ac:dyDescent="0.3"/>
    <row r="1078" ht="74.25" customHeight="1" x14ac:dyDescent="0.3"/>
    <row r="1079" ht="74.25" customHeight="1" x14ac:dyDescent="0.3"/>
    <row r="1080" ht="74.25" customHeight="1" x14ac:dyDescent="0.3"/>
    <row r="1081" ht="74.25" customHeight="1" x14ac:dyDescent="0.3"/>
    <row r="1082" ht="74.25" customHeight="1" x14ac:dyDescent="0.3"/>
    <row r="1083" ht="74.25" customHeight="1" x14ac:dyDescent="0.3"/>
    <row r="1084" ht="74.25" customHeight="1" x14ac:dyDescent="0.3"/>
    <row r="1085" ht="74.25" customHeight="1" x14ac:dyDescent="0.3"/>
    <row r="1086" ht="74.25" customHeight="1" x14ac:dyDescent="0.3"/>
    <row r="1087" ht="74.25" customHeight="1" x14ac:dyDescent="0.3"/>
    <row r="1088" ht="74.25" customHeight="1" x14ac:dyDescent="0.3"/>
    <row r="1089" ht="74.25" customHeight="1" x14ac:dyDescent="0.3"/>
    <row r="1090" ht="74.25" customHeight="1" x14ac:dyDescent="0.3"/>
    <row r="1091" ht="74.25" customHeight="1" x14ac:dyDescent="0.3"/>
    <row r="1092" ht="74.25" customHeight="1" x14ac:dyDescent="0.3"/>
    <row r="1093" ht="74.25" customHeight="1" x14ac:dyDescent="0.3"/>
    <row r="1094" ht="74.25" customHeight="1" x14ac:dyDescent="0.3"/>
    <row r="1095" ht="74.25" customHeight="1" x14ac:dyDescent="0.3"/>
    <row r="1096" ht="74.25" customHeight="1" x14ac:dyDescent="0.3"/>
    <row r="1097" ht="74.25" customHeight="1" x14ac:dyDescent="0.3"/>
    <row r="1098" ht="74.25" customHeight="1" x14ac:dyDescent="0.3"/>
    <row r="1099" ht="74.25" customHeight="1" x14ac:dyDescent="0.3"/>
    <row r="1100" ht="74.25" customHeight="1" x14ac:dyDescent="0.3"/>
    <row r="1101" ht="74.25" customHeight="1" x14ac:dyDescent="0.3"/>
    <row r="1102" ht="74.25" customHeight="1" x14ac:dyDescent="0.3"/>
    <row r="1103" ht="74.25" customHeight="1" x14ac:dyDescent="0.3"/>
    <row r="1104" ht="74.25" customHeight="1" x14ac:dyDescent="0.3"/>
    <row r="1105" ht="74.25" customHeight="1" x14ac:dyDescent="0.3"/>
    <row r="1106" ht="74.25" customHeight="1" x14ac:dyDescent="0.3"/>
    <row r="1107" ht="74.25" customHeight="1" x14ac:dyDescent="0.3"/>
    <row r="1108" ht="74.25" customHeight="1" x14ac:dyDescent="0.3"/>
    <row r="1109" ht="74.25" customHeight="1" x14ac:dyDescent="0.3"/>
    <row r="1110" ht="74.25" customHeight="1" x14ac:dyDescent="0.3"/>
    <row r="1111" ht="74.25" customHeight="1" x14ac:dyDescent="0.3"/>
    <row r="1112" ht="74.25" customHeight="1" x14ac:dyDescent="0.3"/>
    <row r="1113" ht="74.25" customHeight="1" x14ac:dyDescent="0.3"/>
    <row r="1114" ht="74.25" customHeight="1" x14ac:dyDescent="0.3"/>
    <row r="1115" ht="74.25" customHeight="1" x14ac:dyDescent="0.3"/>
    <row r="1116" ht="74.25" customHeight="1" x14ac:dyDescent="0.3"/>
    <row r="1117" ht="74.25" customHeight="1" x14ac:dyDescent="0.3"/>
    <row r="1118" ht="74.25" customHeight="1" x14ac:dyDescent="0.3"/>
    <row r="1119" ht="74.25" customHeight="1" x14ac:dyDescent="0.3"/>
    <row r="1120" ht="74.25" customHeight="1" x14ac:dyDescent="0.3"/>
    <row r="1121" ht="74.25" customHeight="1" x14ac:dyDescent="0.3"/>
    <row r="1122" ht="74.25" customHeight="1" x14ac:dyDescent="0.3"/>
    <row r="1123" ht="74.25" customHeight="1" x14ac:dyDescent="0.3"/>
    <row r="1124" ht="74.25" customHeight="1" x14ac:dyDescent="0.3"/>
    <row r="1125" ht="74.25" customHeight="1" x14ac:dyDescent="0.3"/>
    <row r="1126" ht="74.25" customHeight="1" x14ac:dyDescent="0.3"/>
    <row r="1127" ht="74.25" customHeight="1" x14ac:dyDescent="0.3"/>
    <row r="1128" ht="74.25" customHeight="1" x14ac:dyDescent="0.3"/>
    <row r="1129" ht="74.25" customHeight="1" x14ac:dyDescent="0.3"/>
    <row r="1130" ht="74.25" customHeight="1" x14ac:dyDescent="0.3"/>
    <row r="1131" ht="74.25" customHeight="1" x14ac:dyDescent="0.3"/>
    <row r="1132" ht="74.25" customHeight="1" x14ac:dyDescent="0.3"/>
    <row r="1133" ht="74.25" customHeight="1" x14ac:dyDescent="0.3"/>
    <row r="1134" ht="74.25" customHeight="1" x14ac:dyDescent="0.3"/>
    <row r="1135" ht="74.25" customHeight="1" x14ac:dyDescent="0.3"/>
    <row r="1136" ht="74.25" customHeight="1" x14ac:dyDescent="0.3"/>
    <row r="1137" ht="74.25" customHeight="1" x14ac:dyDescent="0.3"/>
    <row r="1138" ht="74.25" customHeight="1" x14ac:dyDescent="0.3"/>
    <row r="1139" ht="74.25" customHeight="1" x14ac:dyDescent="0.3"/>
    <row r="1140" ht="74.25" customHeight="1" x14ac:dyDescent="0.3"/>
    <row r="1141" ht="74.25" customHeight="1" x14ac:dyDescent="0.3"/>
    <row r="1142" ht="74.25" customHeight="1" x14ac:dyDescent="0.3"/>
    <row r="1143" ht="74.25" customHeight="1" x14ac:dyDescent="0.3"/>
    <row r="1144" ht="74.25" customHeight="1" x14ac:dyDescent="0.3"/>
    <row r="1145" ht="74.25" customHeight="1" x14ac:dyDescent="0.3"/>
    <row r="1146" ht="74.25" customHeight="1" x14ac:dyDescent="0.3"/>
    <row r="1147" ht="74.25" customHeight="1" x14ac:dyDescent="0.3"/>
    <row r="1148" ht="74.25" customHeight="1" x14ac:dyDescent="0.3"/>
    <row r="1149" ht="74.25" customHeight="1" x14ac:dyDescent="0.3"/>
    <row r="1150" ht="74.25" customHeight="1" x14ac:dyDescent="0.3"/>
    <row r="1151" ht="74.25" customHeight="1" x14ac:dyDescent="0.3"/>
    <row r="1152" ht="74.25" customHeight="1" x14ac:dyDescent="0.3"/>
    <row r="1153" ht="74.25" customHeight="1" x14ac:dyDescent="0.3"/>
    <row r="1154" ht="74.25" customHeight="1" x14ac:dyDescent="0.3"/>
    <row r="1155" ht="74.25" customHeight="1" x14ac:dyDescent="0.3"/>
    <row r="1156" ht="74.25" customHeight="1" x14ac:dyDescent="0.3"/>
    <row r="1157" ht="74.25" customHeight="1" x14ac:dyDescent="0.3"/>
    <row r="1158" ht="74.25" customHeight="1" x14ac:dyDescent="0.3"/>
    <row r="1159" ht="74.25" customHeight="1" x14ac:dyDescent="0.3"/>
    <row r="1160" ht="74.25" customHeight="1" x14ac:dyDescent="0.3"/>
    <row r="1161" ht="74.25" customHeight="1" x14ac:dyDescent="0.3"/>
    <row r="1162" ht="74.25" customHeight="1" x14ac:dyDescent="0.3"/>
    <row r="1163" ht="74.25" customHeight="1" x14ac:dyDescent="0.3"/>
    <row r="1164" ht="74.25" customHeight="1" x14ac:dyDescent="0.3"/>
    <row r="1165" ht="74.25" customHeight="1" x14ac:dyDescent="0.3"/>
    <row r="1166" ht="74.25" customHeight="1" x14ac:dyDescent="0.3"/>
    <row r="1167" ht="74.25" customHeight="1" x14ac:dyDescent="0.3"/>
    <row r="1168" ht="74.25" customHeight="1" x14ac:dyDescent="0.3"/>
    <row r="1169" ht="74.25" customHeight="1" x14ac:dyDescent="0.3"/>
    <row r="1170" ht="74.25" customHeight="1" x14ac:dyDescent="0.3"/>
    <row r="1171" ht="74.25" customHeight="1" x14ac:dyDescent="0.3"/>
    <row r="1172" ht="74.25" customHeight="1" x14ac:dyDescent="0.3"/>
    <row r="1173" ht="74.25" customHeight="1" x14ac:dyDescent="0.3"/>
    <row r="1174" ht="74.25" customHeight="1" x14ac:dyDescent="0.3"/>
    <row r="1175" ht="74.25" customHeight="1" x14ac:dyDescent="0.3"/>
    <row r="1176" ht="74.25" customHeight="1" x14ac:dyDescent="0.3"/>
    <row r="1177" ht="74.25" customHeight="1" x14ac:dyDescent="0.3"/>
    <row r="1178" ht="74.25" customHeight="1" x14ac:dyDescent="0.3"/>
    <row r="1179" ht="74.25" customHeight="1" x14ac:dyDescent="0.3"/>
    <row r="1180" ht="74.25" customHeight="1" x14ac:dyDescent="0.3"/>
    <row r="1181" ht="74.25" customHeight="1" x14ac:dyDescent="0.3"/>
    <row r="1182" ht="74.25" customHeight="1" x14ac:dyDescent="0.3"/>
    <row r="1183" ht="74.25" customHeight="1" x14ac:dyDescent="0.3"/>
    <row r="1184" ht="74.25" customHeight="1" x14ac:dyDescent="0.3"/>
    <row r="1185" ht="74.25" customHeight="1" x14ac:dyDescent="0.3"/>
    <row r="1186" ht="74.25" customHeight="1" x14ac:dyDescent="0.3"/>
    <row r="1187" ht="74.25" customHeight="1" x14ac:dyDescent="0.3"/>
    <row r="1188" ht="74.25" customHeight="1" x14ac:dyDescent="0.3"/>
    <row r="1189" ht="74.25" customHeight="1" x14ac:dyDescent="0.3"/>
    <row r="1190" ht="74.25" customHeight="1" x14ac:dyDescent="0.3"/>
    <row r="1191" ht="74.25" customHeight="1" x14ac:dyDescent="0.3"/>
    <row r="1192" ht="74.25" customHeight="1" x14ac:dyDescent="0.3"/>
    <row r="1193" ht="74.25" customHeight="1" x14ac:dyDescent="0.3"/>
    <row r="1194" ht="74.25" customHeight="1" x14ac:dyDescent="0.3"/>
    <row r="1195" ht="74.25" customHeight="1" x14ac:dyDescent="0.3"/>
    <row r="1196" ht="74.25" customHeight="1" x14ac:dyDescent="0.3"/>
    <row r="1197" ht="74.25" customHeight="1" x14ac:dyDescent="0.3"/>
    <row r="1198" ht="74.25" customHeight="1" x14ac:dyDescent="0.3"/>
    <row r="1199" ht="74.25" customHeight="1" x14ac:dyDescent="0.3"/>
    <row r="1200" ht="74.25" customHeight="1" x14ac:dyDescent="0.3"/>
    <row r="1201" ht="74.25" customHeight="1" x14ac:dyDescent="0.3"/>
    <row r="1202" ht="74.25" customHeight="1" x14ac:dyDescent="0.3"/>
    <row r="1203" ht="74.25" customHeight="1" x14ac:dyDescent="0.3"/>
    <row r="1204" ht="74.25" customHeight="1" x14ac:dyDescent="0.3"/>
    <row r="1205" ht="74.25" customHeight="1" x14ac:dyDescent="0.3"/>
    <row r="1206" ht="74.25" customHeight="1" x14ac:dyDescent="0.3"/>
    <row r="1207" ht="74.25" customHeight="1" x14ac:dyDescent="0.3"/>
    <row r="1208" ht="74.25" customHeight="1" x14ac:dyDescent="0.3"/>
    <row r="1209" ht="74.25" customHeight="1" x14ac:dyDescent="0.3"/>
    <row r="1210" ht="74.25" customHeight="1" x14ac:dyDescent="0.3"/>
    <row r="1211" ht="74.25" customHeight="1" x14ac:dyDescent="0.3"/>
    <row r="1212" ht="74.25" customHeight="1" x14ac:dyDescent="0.3"/>
    <row r="1213" ht="74.25" customHeight="1" x14ac:dyDescent="0.3"/>
    <row r="1214" ht="74.25" customHeight="1" x14ac:dyDescent="0.3"/>
    <row r="1215" ht="74.25" customHeight="1" x14ac:dyDescent="0.3"/>
    <row r="1216" ht="74.25" customHeight="1" x14ac:dyDescent="0.3"/>
    <row r="1217" ht="74.25" customHeight="1" x14ac:dyDescent="0.3"/>
    <row r="1218" ht="74.25" customHeight="1" x14ac:dyDescent="0.3"/>
    <row r="1219" ht="74.25" customHeight="1" x14ac:dyDescent="0.3"/>
    <row r="1220" ht="74.25" customHeight="1" x14ac:dyDescent="0.3"/>
    <row r="1221" ht="74.25" customHeight="1" x14ac:dyDescent="0.3"/>
    <row r="1222" ht="74.25" customHeight="1" x14ac:dyDescent="0.3"/>
    <row r="1223" ht="74.25" customHeight="1" x14ac:dyDescent="0.3"/>
    <row r="1224" ht="74.25" customHeight="1" x14ac:dyDescent="0.3"/>
    <row r="1225" ht="74.25" customHeight="1" x14ac:dyDescent="0.3"/>
    <row r="1226" ht="74.25" customHeight="1" x14ac:dyDescent="0.3"/>
    <row r="1227" ht="74.25" customHeight="1" x14ac:dyDescent="0.3"/>
    <row r="1228" ht="74.25" customHeight="1" x14ac:dyDescent="0.3"/>
    <row r="1229" ht="74.25" customHeight="1" x14ac:dyDescent="0.3"/>
    <row r="1230" ht="74.25" customHeight="1" x14ac:dyDescent="0.3"/>
    <row r="1231" ht="74.25" customHeight="1" x14ac:dyDescent="0.3"/>
    <row r="1232" ht="74.25" customHeight="1" x14ac:dyDescent="0.3"/>
    <row r="1233" ht="74.25" customHeight="1" x14ac:dyDescent="0.3"/>
    <row r="1234" ht="74.25" customHeight="1" x14ac:dyDescent="0.3"/>
    <row r="1235" ht="74.25" customHeight="1" x14ac:dyDescent="0.3"/>
    <row r="1236" ht="74.25" customHeight="1" x14ac:dyDescent="0.3"/>
    <row r="1237" ht="74.25" customHeight="1" x14ac:dyDescent="0.3"/>
    <row r="1238" ht="74.25" customHeight="1" x14ac:dyDescent="0.3"/>
    <row r="1239" ht="74.25" customHeight="1" x14ac:dyDescent="0.3"/>
    <row r="1240" ht="74.25" customHeight="1" x14ac:dyDescent="0.3"/>
    <row r="1241" ht="74.25" customHeight="1" x14ac:dyDescent="0.3"/>
    <row r="1242" ht="74.25" customHeight="1" x14ac:dyDescent="0.3"/>
    <row r="1243" ht="74.25" customHeight="1" x14ac:dyDescent="0.3"/>
    <row r="1244" ht="74.25" customHeight="1" x14ac:dyDescent="0.3"/>
    <row r="1245" ht="74.25" customHeight="1" x14ac:dyDescent="0.3"/>
    <row r="1246" ht="74.25" customHeight="1" x14ac:dyDescent="0.3"/>
    <row r="1247" ht="74.25" customHeight="1" x14ac:dyDescent="0.3"/>
    <row r="1248" ht="74.25" customHeight="1" x14ac:dyDescent="0.3"/>
    <row r="1249" ht="74.25" customHeight="1" x14ac:dyDescent="0.3"/>
    <row r="1250" ht="74.25" customHeight="1" x14ac:dyDescent="0.3"/>
    <row r="1251" ht="74.25" customHeight="1" x14ac:dyDescent="0.3"/>
    <row r="1252" ht="74.25" customHeight="1" x14ac:dyDescent="0.3"/>
    <row r="1253" ht="74.25" customHeight="1" x14ac:dyDescent="0.3"/>
    <row r="1254" ht="74.25" customHeight="1" x14ac:dyDescent="0.3"/>
    <row r="1255" ht="74.25" customHeight="1" x14ac:dyDescent="0.3"/>
    <row r="1256" ht="74.25" customHeight="1" x14ac:dyDescent="0.3"/>
    <row r="1257" ht="74.25" customHeight="1" x14ac:dyDescent="0.3"/>
    <row r="1258" ht="74.25" customHeight="1" x14ac:dyDescent="0.3"/>
    <row r="1259" ht="74.25" customHeight="1" x14ac:dyDescent="0.3"/>
    <row r="1260" ht="74.25" customHeight="1" x14ac:dyDescent="0.3"/>
    <row r="1261" ht="74.25" customHeight="1" x14ac:dyDescent="0.3"/>
    <row r="1262" ht="74.25" customHeight="1" x14ac:dyDescent="0.3"/>
    <row r="1263" ht="74.25" customHeight="1" x14ac:dyDescent="0.3"/>
    <row r="1264" ht="74.25" customHeight="1" x14ac:dyDescent="0.3"/>
    <row r="1265" ht="74.25" customHeight="1" x14ac:dyDescent="0.3"/>
    <row r="1266" ht="74.25" customHeight="1" x14ac:dyDescent="0.3"/>
    <row r="1267" ht="74.25" customHeight="1" x14ac:dyDescent="0.3"/>
    <row r="1268" ht="74.25" customHeight="1" x14ac:dyDescent="0.3"/>
    <row r="1269" ht="74.25" customHeight="1" x14ac:dyDescent="0.3"/>
    <row r="1270" ht="74.25" customHeight="1" x14ac:dyDescent="0.3"/>
    <row r="1271" ht="74.25" customHeight="1" x14ac:dyDescent="0.3"/>
    <row r="1272" ht="74.25" customHeight="1" x14ac:dyDescent="0.3"/>
    <row r="1273" ht="74.25" customHeight="1" x14ac:dyDescent="0.3"/>
    <row r="1274" ht="74.25" customHeight="1" x14ac:dyDescent="0.3"/>
    <row r="1275" ht="74.25" customHeight="1" x14ac:dyDescent="0.3"/>
    <row r="1276" ht="74.25" customHeight="1" x14ac:dyDescent="0.3"/>
    <row r="1277" ht="74.25" customHeight="1" x14ac:dyDescent="0.3"/>
    <row r="1278" ht="74.25" customHeight="1" x14ac:dyDescent="0.3"/>
    <row r="1279" ht="74.25" customHeight="1" x14ac:dyDescent="0.3"/>
    <row r="1280" ht="74.25" customHeight="1" x14ac:dyDescent="0.3"/>
    <row r="1281" ht="74.25" customHeight="1" x14ac:dyDescent="0.3"/>
    <row r="1282" ht="74.25" customHeight="1" x14ac:dyDescent="0.3"/>
    <row r="1283" ht="74.25" customHeight="1" x14ac:dyDescent="0.3"/>
    <row r="1284" ht="74.25" customHeight="1" x14ac:dyDescent="0.3"/>
    <row r="1285" ht="74.25" customHeight="1" x14ac:dyDescent="0.3"/>
    <row r="1286" ht="74.25" customHeight="1" x14ac:dyDescent="0.3"/>
    <row r="1287" ht="74.25" customHeight="1" x14ac:dyDescent="0.3"/>
    <row r="1288" ht="74.25" customHeight="1" x14ac:dyDescent="0.3"/>
    <row r="1289" ht="74.25" customHeight="1" x14ac:dyDescent="0.3"/>
    <row r="1290" ht="74.25" customHeight="1" x14ac:dyDescent="0.3"/>
    <row r="1291" ht="74.25" customHeight="1" x14ac:dyDescent="0.3"/>
    <row r="1292" ht="74.25" customHeight="1" x14ac:dyDescent="0.3"/>
    <row r="1293" ht="74.25" customHeight="1" x14ac:dyDescent="0.3"/>
    <row r="1294" ht="74.25" customHeight="1" x14ac:dyDescent="0.3"/>
    <row r="1295" ht="74.25" customHeight="1" x14ac:dyDescent="0.3"/>
    <row r="1296" ht="74.25" customHeight="1" x14ac:dyDescent="0.3"/>
    <row r="1297" ht="74.25" customHeight="1" x14ac:dyDescent="0.3"/>
    <row r="1298" ht="74.25" customHeight="1" x14ac:dyDescent="0.3"/>
    <row r="1299" ht="74.25" customHeight="1" x14ac:dyDescent="0.3"/>
    <row r="1300" ht="74.25" customHeight="1" x14ac:dyDescent="0.3"/>
    <row r="1301" ht="74.25" customHeight="1" x14ac:dyDescent="0.3"/>
    <row r="1302" ht="74.25" customHeight="1" x14ac:dyDescent="0.3"/>
    <row r="1303" ht="74.25" customHeight="1" x14ac:dyDescent="0.3"/>
    <row r="1304" ht="74.25" customHeight="1" x14ac:dyDescent="0.3"/>
    <row r="1305" ht="74.25" customHeight="1" x14ac:dyDescent="0.3"/>
    <row r="1306" ht="74.25" customHeight="1" x14ac:dyDescent="0.3"/>
    <row r="1307" ht="74.25" customHeight="1" x14ac:dyDescent="0.3"/>
    <row r="1308" ht="74.25" customHeight="1" x14ac:dyDescent="0.3"/>
    <row r="1309" ht="74.25" customHeight="1" x14ac:dyDescent="0.3"/>
    <row r="1310" ht="74.25" customHeight="1" x14ac:dyDescent="0.3"/>
    <row r="1311" ht="74.25" customHeight="1" x14ac:dyDescent="0.3"/>
    <row r="1312" ht="74.25" customHeight="1" x14ac:dyDescent="0.3"/>
    <row r="1313" ht="74.25" customHeight="1" x14ac:dyDescent="0.3"/>
    <row r="1314" ht="74.25" customHeight="1" x14ac:dyDescent="0.3"/>
    <row r="1315" ht="74.25" customHeight="1" x14ac:dyDescent="0.3"/>
    <row r="1316" ht="74.25" customHeight="1" x14ac:dyDescent="0.3"/>
    <row r="1317" ht="74.25" customHeight="1" x14ac:dyDescent="0.3"/>
    <row r="1318" ht="74.25" customHeight="1" x14ac:dyDescent="0.3"/>
    <row r="1319" ht="74.25" customHeight="1" x14ac:dyDescent="0.3"/>
    <row r="1320" ht="74.25" customHeight="1" x14ac:dyDescent="0.3"/>
    <row r="1321" ht="74.25" customHeight="1" x14ac:dyDescent="0.3"/>
    <row r="1322" ht="74.25" customHeight="1" x14ac:dyDescent="0.3"/>
    <row r="1323" ht="74.25" customHeight="1" x14ac:dyDescent="0.3"/>
    <row r="1324" ht="74.25" customHeight="1" x14ac:dyDescent="0.3"/>
    <row r="1325" ht="74.25" customHeight="1" x14ac:dyDescent="0.3"/>
    <row r="1326" ht="74.25" customHeight="1" x14ac:dyDescent="0.3"/>
    <row r="1327" ht="74.25" customHeight="1" x14ac:dyDescent="0.3"/>
    <row r="1328" ht="74.25" customHeight="1" x14ac:dyDescent="0.3"/>
    <row r="1329" ht="74.25" customHeight="1" x14ac:dyDescent="0.3"/>
    <row r="1330" ht="74.25" customHeight="1" x14ac:dyDescent="0.3"/>
    <row r="1331" ht="74.25" customHeight="1" x14ac:dyDescent="0.3"/>
    <row r="1332" ht="74.25" customHeight="1" x14ac:dyDescent="0.3"/>
    <row r="1333" ht="74.25" customHeight="1" x14ac:dyDescent="0.3"/>
    <row r="1334" ht="74.25" customHeight="1" x14ac:dyDescent="0.3"/>
    <row r="1335" ht="74.25" customHeight="1" x14ac:dyDescent="0.3"/>
    <row r="1336" ht="74.25" customHeight="1" x14ac:dyDescent="0.3"/>
    <row r="1337" ht="74.25" customHeight="1" x14ac:dyDescent="0.3"/>
    <row r="1338" ht="74.25" customHeight="1" x14ac:dyDescent="0.3"/>
    <row r="1339" ht="74.25" customHeight="1" x14ac:dyDescent="0.3"/>
    <row r="1340" ht="74.25" customHeight="1" x14ac:dyDescent="0.3"/>
    <row r="1341" ht="74.25" customHeight="1" x14ac:dyDescent="0.3"/>
    <row r="1342" ht="74.25" customHeight="1" x14ac:dyDescent="0.3"/>
    <row r="1343" ht="74.25" customHeight="1" x14ac:dyDescent="0.3"/>
    <row r="1344" ht="74.25" customHeight="1" x14ac:dyDescent="0.3"/>
    <row r="1345" ht="74.25" customHeight="1" x14ac:dyDescent="0.3"/>
    <row r="1346" ht="74.25" customHeight="1" x14ac:dyDescent="0.3"/>
    <row r="1347" ht="74.25" customHeight="1" x14ac:dyDescent="0.3"/>
    <row r="1348" ht="74.25" customHeight="1" x14ac:dyDescent="0.3"/>
    <row r="1349" ht="74.25" customHeight="1" x14ac:dyDescent="0.3"/>
    <row r="1350" ht="74.25" customHeight="1" x14ac:dyDescent="0.3"/>
    <row r="1351" ht="74.25" customHeight="1" x14ac:dyDescent="0.3"/>
    <row r="1352" ht="74.25" customHeight="1" x14ac:dyDescent="0.3"/>
    <row r="1353" ht="74.25" customHeight="1" x14ac:dyDescent="0.3"/>
    <row r="1354" ht="74.25" customHeight="1" x14ac:dyDescent="0.3"/>
    <row r="1355" ht="74.25" customHeight="1" x14ac:dyDescent="0.3"/>
    <row r="1356" ht="74.25" customHeight="1" x14ac:dyDescent="0.3"/>
    <row r="1357" ht="74.25" customHeight="1" x14ac:dyDescent="0.3"/>
    <row r="1358" ht="74.25" customHeight="1" x14ac:dyDescent="0.3"/>
    <row r="1359" ht="74.25" customHeight="1" x14ac:dyDescent="0.3"/>
    <row r="1360" ht="74.25" customHeight="1" x14ac:dyDescent="0.3"/>
    <row r="1361" ht="74.25" customHeight="1" x14ac:dyDescent="0.3"/>
    <row r="1362" ht="74.25" customHeight="1" x14ac:dyDescent="0.3"/>
    <row r="1363" ht="74.25" customHeight="1" x14ac:dyDescent="0.3"/>
    <row r="1364" ht="74.25" customHeight="1" x14ac:dyDescent="0.3"/>
    <row r="1365" ht="74.25" customHeight="1" x14ac:dyDescent="0.3"/>
    <row r="1366" ht="74.25" customHeight="1" x14ac:dyDescent="0.3"/>
    <row r="1367" ht="74.25" customHeight="1" x14ac:dyDescent="0.3"/>
    <row r="1368" ht="74.25" customHeight="1" x14ac:dyDescent="0.3"/>
    <row r="1369" ht="74.25" customHeight="1" x14ac:dyDescent="0.3"/>
    <row r="1370" ht="74.25" customHeight="1" x14ac:dyDescent="0.3"/>
    <row r="1371" ht="74.25" customHeight="1" x14ac:dyDescent="0.3"/>
    <row r="1372" ht="74.25" customHeight="1" x14ac:dyDescent="0.3"/>
    <row r="1373" ht="74.25" customHeight="1" x14ac:dyDescent="0.3"/>
    <row r="1374" ht="74.25" customHeight="1" x14ac:dyDescent="0.3"/>
    <row r="1375" ht="74.25" customHeight="1" x14ac:dyDescent="0.3"/>
    <row r="1376" ht="74.25" customHeight="1" x14ac:dyDescent="0.3"/>
    <row r="1377" ht="74.25" customHeight="1" x14ac:dyDescent="0.3"/>
    <row r="1378" ht="74.25" customHeight="1" x14ac:dyDescent="0.3"/>
    <row r="1379" ht="74.25" customHeight="1" x14ac:dyDescent="0.3"/>
    <row r="1380" ht="74.25" customHeight="1" x14ac:dyDescent="0.3"/>
    <row r="1381" ht="74.25" customHeight="1" x14ac:dyDescent="0.3"/>
    <row r="1382" ht="74.25" customHeight="1" x14ac:dyDescent="0.3"/>
    <row r="1383" ht="74.25" customHeight="1" x14ac:dyDescent="0.3"/>
    <row r="1384" ht="74.25" customHeight="1" x14ac:dyDescent="0.3"/>
    <row r="1385" ht="74.25" customHeight="1" x14ac:dyDescent="0.3"/>
    <row r="1386" ht="74.25" customHeight="1" x14ac:dyDescent="0.3"/>
    <row r="1387" ht="74.25" customHeight="1" x14ac:dyDescent="0.3"/>
    <row r="1388" ht="74.25" customHeight="1" x14ac:dyDescent="0.3"/>
    <row r="1389" ht="74.25" customHeight="1" x14ac:dyDescent="0.3"/>
    <row r="1390" ht="74.25" customHeight="1" x14ac:dyDescent="0.3"/>
    <row r="1391" ht="74.25" customHeight="1" x14ac:dyDescent="0.3"/>
    <row r="1392" ht="74.25" customHeight="1" x14ac:dyDescent="0.3"/>
    <row r="1393" ht="74.25" customHeight="1" x14ac:dyDescent="0.3"/>
    <row r="1394" ht="74.25" customHeight="1" x14ac:dyDescent="0.3"/>
    <row r="1395" ht="74.25" customHeight="1" x14ac:dyDescent="0.3"/>
    <row r="1396" ht="74.25" customHeight="1" x14ac:dyDescent="0.3"/>
    <row r="1397" ht="74.25" customHeight="1" x14ac:dyDescent="0.3"/>
    <row r="1398" ht="74.25" customHeight="1" x14ac:dyDescent="0.3"/>
    <row r="1399" ht="74.25" customHeight="1" x14ac:dyDescent="0.3"/>
    <row r="1400" ht="74.25" customHeight="1" x14ac:dyDescent="0.3"/>
    <row r="1401" ht="74.25" customHeight="1" x14ac:dyDescent="0.3"/>
    <row r="1402" ht="74.25" customHeight="1" x14ac:dyDescent="0.3"/>
    <row r="1403" ht="74.25" customHeight="1" x14ac:dyDescent="0.3"/>
    <row r="1404" ht="74.25" customHeight="1" x14ac:dyDescent="0.3"/>
    <row r="1405" ht="74.25" customHeight="1" x14ac:dyDescent="0.3"/>
    <row r="1406" ht="74.25" customHeight="1" x14ac:dyDescent="0.3"/>
    <row r="1407" ht="74.25" customHeight="1" x14ac:dyDescent="0.3"/>
    <row r="1408" ht="74.25" customHeight="1" x14ac:dyDescent="0.3"/>
    <row r="1409" ht="74.25" customHeight="1" x14ac:dyDescent="0.3"/>
    <row r="1410" ht="74.25" customHeight="1" x14ac:dyDescent="0.3"/>
    <row r="1411" ht="74.25" customHeight="1" x14ac:dyDescent="0.3"/>
    <row r="1412" ht="74.25" customHeight="1" x14ac:dyDescent="0.3"/>
    <row r="1413" ht="74.25" customHeight="1" x14ac:dyDescent="0.3"/>
    <row r="1414" ht="74.25" customHeight="1" x14ac:dyDescent="0.3"/>
    <row r="1415" ht="74.25" customHeight="1" x14ac:dyDescent="0.3"/>
    <row r="1416" ht="74.25" customHeight="1" x14ac:dyDescent="0.3"/>
    <row r="1417" ht="74.25" customHeight="1" x14ac:dyDescent="0.3"/>
    <row r="1418" ht="74.25" customHeight="1" x14ac:dyDescent="0.3"/>
    <row r="1419" ht="74.25" customHeight="1" x14ac:dyDescent="0.3"/>
    <row r="1420" ht="74.25" customHeight="1" x14ac:dyDescent="0.3"/>
    <row r="1421" ht="74.25" customHeight="1" x14ac:dyDescent="0.3"/>
    <row r="1422" ht="74.25" customHeight="1" x14ac:dyDescent="0.3"/>
    <row r="1423" ht="74.25" customHeight="1" x14ac:dyDescent="0.3"/>
    <row r="1424" ht="74.25" customHeight="1" x14ac:dyDescent="0.3"/>
    <row r="1425" ht="74.25" customHeight="1" x14ac:dyDescent="0.3"/>
    <row r="1426" ht="74.25" customHeight="1" x14ac:dyDescent="0.3"/>
    <row r="1427" ht="74.25" customHeight="1" x14ac:dyDescent="0.3"/>
    <row r="1428" ht="74.25" customHeight="1" x14ac:dyDescent="0.3"/>
    <row r="1429" ht="74.25" customHeight="1" x14ac:dyDescent="0.3"/>
    <row r="1430" ht="74.25" customHeight="1" x14ac:dyDescent="0.3"/>
    <row r="1431" ht="74.25" customHeight="1" x14ac:dyDescent="0.3"/>
    <row r="1432" ht="74.25" customHeight="1" x14ac:dyDescent="0.3"/>
    <row r="1433" ht="74.25" customHeight="1" x14ac:dyDescent="0.3"/>
    <row r="1434" ht="74.25" customHeight="1" x14ac:dyDescent="0.3"/>
    <row r="1435" ht="74.25" customHeight="1" x14ac:dyDescent="0.3"/>
    <row r="1436" ht="74.25" customHeight="1" x14ac:dyDescent="0.3"/>
    <row r="1437" ht="74.25" customHeight="1" x14ac:dyDescent="0.3"/>
    <row r="1438" ht="74.25" customHeight="1" x14ac:dyDescent="0.3"/>
    <row r="1439" ht="74.25" customHeight="1" x14ac:dyDescent="0.3"/>
    <row r="1440" ht="74.25" customHeight="1" x14ac:dyDescent="0.3"/>
    <row r="1441" ht="74.25" customHeight="1" x14ac:dyDescent="0.3"/>
    <row r="1442" ht="74.25" customHeight="1" x14ac:dyDescent="0.3"/>
    <row r="1443" ht="74.25" customHeight="1" x14ac:dyDescent="0.3"/>
    <row r="1444" ht="74.25" customHeight="1" x14ac:dyDescent="0.3"/>
    <row r="1445" ht="74.25" customHeight="1" x14ac:dyDescent="0.3"/>
    <row r="1446" ht="74.25" customHeight="1" x14ac:dyDescent="0.3"/>
    <row r="1447" ht="74.25" customHeight="1" x14ac:dyDescent="0.3"/>
    <row r="1448" ht="74.25" customHeight="1" x14ac:dyDescent="0.3"/>
    <row r="1449" ht="74.25" customHeight="1" x14ac:dyDescent="0.3"/>
    <row r="1450" ht="74.25" customHeight="1" x14ac:dyDescent="0.3"/>
    <row r="1451" ht="74.25" customHeight="1" x14ac:dyDescent="0.3"/>
    <row r="1452" ht="74.25" customHeight="1" x14ac:dyDescent="0.3"/>
    <row r="1453" ht="74.25" customHeight="1" x14ac:dyDescent="0.3"/>
    <row r="1454" ht="74.25" customHeight="1" x14ac:dyDescent="0.3"/>
    <row r="1455" ht="74.25" customHeight="1" x14ac:dyDescent="0.3"/>
    <row r="1456" ht="74.25" customHeight="1" x14ac:dyDescent="0.3"/>
    <row r="1457" ht="74.25" customHeight="1" x14ac:dyDescent="0.3"/>
    <row r="1458" ht="74.25" customHeight="1" x14ac:dyDescent="0.3"/>
    <row r="1459" ht="74.25" customHeight="1" x14ac:dyDescent="0.3"/>
    <row r="1460" ht="74.25" customHeight="1" x14ac:dyDescent="0.3"/>
    <row r="1461" ht="74.25" customHeight="1" x14ac:dyDescent="0.3"/>
    <row r="1462" ht="74.25" customHeight="1" x14ac:dyDescent="0.3"/>
    <row r="1463" ht="74.25" customHeight="1" x14ac:dyDescent="0.3"/>
    <row r="1464" ht="74.25" customHeight="1" x14ac:dyDescent="0.3"/>
    <row r="1465" ht="74.25" customHeight="1" x14ac:dyDescent="0.3"/>
    <row r="1466" ht="74.25" customHeight="1" x14ac:dyDescent="0.3"/>
    <row r="1467" ht="74.25" customHeight="1" x14ac:dyDescent="0.3"/>
    <row r="1468" ht="74.25" customHeight="1" x14ac:dyDescent="0.3"/>
    <row r="1469" ht="74.25" customHeight="1" x14ac:dyDescent="0.3"/>
    <row r="1470" ht="74.25" customHeight="1" x14ac:dyDescent="0.3"/>
    <row r="1471" ht="74.25" customHeight="1" x14ac:dyDescent="0.3"/>
    <row r="1472" ht="74.25" customHeight="1" x14ac:dyDescent="0.3"/>
    <row r="1473" ht="74.25" customHeight="1" x14ac:dyDescent="0.3"/>
    <row r="1474" ht="74.25" customHeight="1" x14ac:dyDescent="0.3"/>
    <row r="1475" ht="74.25" customHeight="1" x14ac:dyDescent="0.3"/>
    <row r="1476" ht="74.25" customHeight="1" x14ac:dyDescent="0.3"/>
    <row r="1477" ht="74.25" customHeight="1" x14ac:dyDescent="0.3"/>
    <row r="1478" ht="74.25" customHeight="1" x14ac:dyDescent="0.3"/>
    <row r="1479" ht="74.25" customHeight="1" x14ac:dyDescent="0.3"/>
    <row r="1480" ht="74.25" customHeight="1" x14ac:dyDescent="0.3"/>
    <row r="1481" ht="74.25" customHeight="1" x14ac:dyDescent="0.3"/>
    <row r="1482" ht="74.25" customHeight="1" x14ac:dyDescent="0.3"/>
    <row r="1483" ht="74.25" customHeight="1" x14ac:dyDescent="0.3"/>
    <row r="1484" ht="74.25" customHeight="1" x14ac:dyDescent="0.3"/>
    <row r="1485" ht="74.25" customHeight="1" x14ac:dyDescent="0.3"/>
    <row r="1486" ht="74.25" customHeight="1" x14ac:dyDescent="0.3"/>
    <row r="1487" ht="74.25" customHeight="1" x14ac:dyDescent="0.3"/>
    <row r="1488" ht="74.25" customHeight="1" x14ac:dyDescent="0.3"/>
    <row r="1489" ht="74.25" customHeight="1" x14ac:dyDescent="0.3"/>
    <row r="1490" ht="74.25" customHeight="1" x14ac:dyDescent="0.3"/>
    <row r="1491" ht="74.25" customHeight="1" x14ac:dyDescent="0.3"/>
    <row r="1492" ht="74.25" customHeight="1" x14ac:dyDescent="0.3"/>
    <row r="1493" ht="74.25" customHeight="1" x14ac:dyDescent="0.3"/>
    <row r="1494" ht="74.25" customHeight="1" x14ac:dyDescent="0.3"/>
    <row r="1495" ht="74.25" customHeight="1" x14ac:dyDescent="0.3"/>
    <row r="1496" ht="74.25" customHeight="1" x14ac:dyDescent="0.3"/>
    <row r="1497" ht="74.25" customHeight="1" x14ac:dyDescent="0.3"/>
    <row r="1498" ht="74.25" customHeight="1" x14ac:dyDescent="0.3"/>
    <row r="1499" ht="74.25" customHeight="1" x14ac:dyDescent="0.3"/>
    <row r="1500" ht="74.25" customHeight="1" x14ac:dyDescent="0.3"/>
    <row r="1501" ht="74.25" customHeight="1" x14ac:dyDescent="0.3"/>
    <row r="1502" ht="74.25" customHeight="1" x14ac:dyDescent="0.3"/>
    <row r="1503" ht="74.25" customHeight="1" x14ac:dyDescent="0.3"/>
    <row r="1504" ht="74.25" customHeight="1" x14ac:dyDescent="0.3"/>
    <row r="1505" ht="74.25" customHeight="1" x14ac:dyDescent="0.3"/>
    <row r="1506" ht="74.25" customHeight="1" x14ac:dyDescent="0.3"/>
    <row r="1507" ht="74.25" customHeight="1" x14ac:dyDescent="0.3"/>
    <row r="1508" ht="74.25" customHeight="1" x14ac:dyDescent="0.3"/>
    <row r="1509" ht="74.25" customHeight="1" x14ac:dyDescent="0.3"/>
    <row r="1510" ht="74.25" customHeight="1" x14ac:dyDescent="0.3"/>
    <row r="1511" ht="74.25" customHeight="1" x14ac:dyDescent="0.3"/>
    <row r="1512" ht="74.25" customHeight="1" x14ac:dyDescent="0.3"/>
    <row r="1513" ht="74.25" customHeight="1" x14ac:dyDescent="0.3"/>
    <row r="1514" ht="74.25" customHeight="1" x14ac:dyDescent="0.3"/>
    <row r="1515" ht="74.25" customHeight="1" x14ac:dyDescent="0.3"/>
    <row r="1516" ht="74.25" customHeight="1" x14ac:dyDescent="0.3"/>
    <row r="1517" ht="74.25" customHeight="1" x14ac:dyDescent="0.3"/>
    <row r="1518" ht="74.25" customHeight="1" x14ac:dyDescent="0.3"/>
    <row r="1519" ht="74.25" customHeight="1" x14ac:dyDescent="0.3"/>
    <row r="1520" ht="74.25" customHeight="1" x14ac:dyDescent="0.3"/>
    <row r="1521" ht="74.25" customHeight="1" x14ac:dyDescent="0.3"/>
    <row r="1522" ht="74.25" customHeight="1" x14ac:dyDescent="0.3"/>
    <row r="1523" ht="74.25" customHeight="1" x14ac:dyDescent="0.3"/>
    <row r="1524" ht="74.25" customHeight="1" x14ac:dyDescent="0.3"/>
    <row r="1525" ht="74.25" customHeight="1" x14ac:dyDescent="0.3"/>
    <row r="1526" ht="74.25" customHeight="1" x14ac:dyDescent="0.3"/>
    <row r="1527" ht="74.25" customHeight="1" x14ac:dyDescent="0.3"/>
    <row r="1528" ht="74.25" customHeight="1" x14ac:dyDescent="0.3"/>
    <row r="1529" ht="74.25" customHeight="1" x14ac:dyDescent="0.3"/>
    <row r="1530" ht="74.25" customHeight="1" x14ac:dyDescent="0.3"/>
    <row r="1531" ht="74.25" customHeight="1" x14ac:dyDescent="0.3"/>
    <row r="1532" ht="74.25" customHeight="1" x14ac:dyDescent="0.3"/>
    <row r="1533" ht="74.25" customHeight="1" x14ac:dyDescent="0.3"/>
    <row r="1534" ht="74.25" customHeight="1" x14ac:dyDescent="0.3"/>
    <row r="1535" ht="74.25" customHeight="1" x14ac:dyDescent="0.3"/>
    <row r="1536" ht="74.25" customHeight="1" x14ac:dyDescent="0.3"/>
    <row r="1537" ht="74.25" customHeight="1" x14ac:dyDescent="0.3"/>
    <row r="1538" ht="74.25" customHeight="1" x14ac:dyDescent="0.3"/>
    <row r="1539" ht="74.25" customHeight="1" x14ac:dyDescent="0.3"/>
    <row r="1540" ht="74.25" customHeight="1" x14ac:dyDescent="0.3"/>
    <row r="1541" ht="74.25" customHeight="1" x14ac:dyDescent="0.3"/>
    <row r="1542" ht="74.25" customHeight="1" x14ac:dyDescent="0.3"/>
    <row r="1543" ht="74.25" customHeight="1" x14ac:dyDescent="0.3"/>
    <row r="1544" ht="74.25" customHeight="1" x14ac:dyDescent="0.3"/>
    <row r="1545" ht="74.25" customHeight="1" x14ac:dyDescent="0.3"/>
    <row r="1546" ht="74.25" customHeight="1" x14ac:dyDescent="0.3"/>
    <row r="1547" ht="74.25" customHeight="1" x14ac:dyDescent="0.3"/>
    <row r="1548" ht="74.25" customHeight="1" x14ac:dyDescent="0.3"/>
    <row r="1549" ht="74.25" customHeight="1" x14ac:dyDescent="0.3"/>
    <row r="1550" ht="74.25" customHeight="1" x14ac:dyDescent="0.3"/>
    <row r="1551" ht="74.25" customHeight="1" x14ac:dyDescent="0.3"/>
    <row r="1552" ht="74.25" customHeight="1" x14ac:dyDescent="0.3"/>
    <row r="1553" ht="74.25" customHeight="1" x14ac:dyDescent="0.3"/>
    <row r="1554" ht="74.25" customHeight="1" x14ac:dyDescent="0.3"/>
    <row r="1555" ht="74.25" customHeight="1" x14ac:dyDescent="0.3"/>
    <row r="1556" ht="74.25" customHeight="1" x14ac:dyDescent="0.3"/>
    <row r="1557" ht="74.25" customHeight="1" x14ac:dyDescent="0.3"/>
    <row r="1558" ht="74.25" customHeight="1" x14ac:dyDescent="0.3"/>
    <row r="1559" ht="74.25" customHeight="1" x14ac:dyDescent="0.3"/>
    <row r="1560" ht="74.25" customHeight="1" x14ac:dyDescent="0.3"/>
    <row r="1561" ht="74.25" customHeight="1" x14ac:dyDescent="0.3"/>
    <row r="1562" ht="74.25" customHeight="1" x14ac:dyDescent="0.3"/>
    <row r="1563" ht="74.25" customHeight="1" x14ac:dyDescent="0.3"/>
    <row r="1564" ht="74.25" customHeight="1" x14ac:dyDescent="0.3"/>
    <row r="1565" ht="74.25" customHeight="1" x14ac:dyDescent="0.3"/>
    <row r="1566" ht="74.25" customHeight="1" x14ac:dyDescent="0.3"/>
    <row r="1567" ht="74.25" customHeight="1" x14ac:dyDescent="0.3"/>
    <row r="1568" ht="74.25" customHeight="1" x14ac:dyDescent="0.3"/>
    <row r="1569" ht="74.25" customHeight="1" x14ac:dyDescent="0.3"/>
    <row r="1570" ht="74.25" customHeight="1" x14ac:dyDescent="0.3"/>
    <row r="1571" ht="74.25" customHeight="1" x14ac:dyDescent="0.3"/>
    <row r="1572" ht="74.25" customHeight="1" x14ac:dyDescent="0.3"/>
    <row r="1573" ht="74.25" customHeight="1" x14ac:dyDescent="0.3"/>
    <row r="1574" ht="74.25" customHeight="1" x14ac:dyDescent="0.3"/>
    <row r="1575" ht="74.25" customHeight="1" x14ac:dyDescent="0.3"/>
    <row r="1576" ht="74.25" customHeight="1" x14ac:dyDescent="0.3"/>
    <row r="1577" ht="74.25" customHeight="1" x14ac:dyDescent="0.3"/>
    <row r="1578" ht="74.25" customHeight="1" x14ac:dyDescent="0.3"/>
    <row r="1579" ht="74.25" customHeight="1" x14ac:dyDescent="0.3"/>
    <row r="1580" ht="74.25" customHeight="1" x14ac:dyDescent="0.3"/>
    <row r="1581" ht="74.25" customHeight="1" x14ac:dyDescent="0.3"/>
    <row r="1582" ht="74.25" customHeight="1" x14ac:dyDescent="0.3"/>
    <row r="1583" ht="74.25" customHeight="1" x14ac:dyDescent="0.3"/>
    <row r="1584" ht="74.25" customHeight="1" x14ac:dyDescent="0.3"/>
    <row r="1585" ht="74.25" customHeight="1" x14ac:dyDescent="0.3"/>
    <row r="1586" ht="74.25" customHeight="1" x14ac:dyDescent="0.3"/>
    <row r="1587" ht="74.25" customHeight="1" x14ac:dyDescent="0.3"/>
    <row r="1588" ht="74.25" customHeight="1" x14ac:dyDescent="0.3"/>
    <row r="1589" ht="74.25" customHeight="1" x14ac:dyDescent="0.3"/>
    <row r="1590" ht="74.25" customHeight="1" x14ac:dyDescent="0.3"/>
    <row r="1591" ht="74.25" customHeight="1" x14ac:dyDescent="0.3"/>
    <row r="1592" ht="74.25" customHeight="1" x14ac:dyDescent="0.3"/>
    <row r="1593" ht="74.25" customHeight="1" x14ac:dyDescent="0.3"/>
    <row r="1594" ht="74.25" customHeight="1" x14ac:dyDescent="0.3"/>
    <row r="1595" ht="74.25" customHeight="1" x14ac:dyDescent="0.3"/>
    <row r="1596" ht="74.25" customHeight="1" x14ac:dyDescent="0.3"/>
    <row r="1597" ht="74.25" customHeight="1" x14ac:dyDescent="0.3"/>
    <row r="1598" ht="74.25" customHeight="1" x14ac:dyDescent="0.3"/>
    <row r="1599" ht="74.25" customHeight="1" x14ac:dyDescent="0.3"/>
    <row r="1600" ht="74.25" customHeight="1" x14ac:dyDescent="0.3"/>
    <row r="1601" ht="74.25" customHeight="1" x14ac:dyDescent="0.3"/>
    <row r="1602" ht="74.25" customHeight="1" x14ac:dyDescent="0.3"/>
    <row r="1603" ht="74.25" customHeight="1" x14ac:dyDescent="0.3"/>
    <row r="1604" ht="74.25" customHeight="1" x14ac:dyDescent="0.3"/>
    <row r="1605" ht="74.25" customHeight="1" x14ac:dyDescent="0.3"/>
    <row r="1606" ht="74.25" customHeight="1" x14ac:dyDescent="0.3"/>
    <row r="1607" ht="74.25" customHeight="1" x14ac:dyDescent="0.3"/>
    <row r="1608" ht="74.25" customHeight="1" x14ac:dyDescent="0.3"/>
    <row r="1609" ht="74.25" customHeight="1" x14ac:dyDescent="0.3"/>
    <row r="1610" ht="74.25" customHeight="1" x14ac:dyDescent="0.3"/>
    <row r="1611" ht="74.25" customHeight="1" x14ac:dyDescent="0.3"/>
    <row r="1612" ht="74.25" customHeight="1" x14ac:dyDescent="0.3"/>
    <row r="1613" ht="74.25" customHeight="1" x14ac:dyDescent="0.3"/>
    <row r="1614" ht="74.25" customHeight="1" x14ac:dyDescent="0.3"/>
    <row r="1615" ht="74.25" customHeight="1" x14ac:dyDescent="0.3"/>
    <row r="1616" ht="74.25" customHeight="1" x14ac:dyDescent="0.3"/>
    <row r="1617" ht="74.25" customHeight="1" x14ac:dyDescent="0.3"/>
    <row r="1618" ht="74.25" customHeight="1" x14ac:dyDescent="0.3"/>
    <row r="1619" ht="74.25" customHeight="1" x14ac:dyDescent="0.3"/>
    <row r="1620" ht="74.25" customHeight="1" x14ac:dyDescent="0.3"/>
    <row r="1621" ht="74.25" customHeight="1" x14ac:dyDescent="0.3"/>
    <row r="1622" ht="74.25" customHeight="1" x14ac:dyDescent="0.3"/>
    <row r="1623" ht="74.25" customHeight="1" x14ac:dyDescent="0.3"/>
    <row r="1624" ht="74.25" customHeight="1" x14ac:dyDescent="0.3"/>
    <row r="1625" ht="74.25" customHeight="1" x14ac:dyDescent="0.3"/>
    <row r="1626" ht="74.25" customHeight="1" x14ac:dyDescent="0.3"/>
    <row r="1627" ht="74.25" customHeight="1" x14ac:dyDescent="0.3"/>
    <row r="1628" ht="74.25" customHeight="1" x14ac:dyDescent="0.3"/>
    <row r="1629" ht="74.25" customHeight="1" x14ac:dyDescent="0.3"/>
    <row r="1630" ht="74.25" customHeight="1" x14ac:dyDescent="0.3"/>
    <row r="1631" ht="74.25" customHeight="1" x14ac:dyDescent="0.3"/>
    <row r="1632" ht="74.25" customHeight="1" x14ac:dyDescent="0.3"/>
    <row r="1633" ht="74.25" customHeight="1" x14ac:dyDescent="0.3"/>
    <row r="1634" ht="74.25" customHeight="1" x14ac:dyDescent="0.3"/>
    <row r="1635" ht="74.25" customHeight="1" x14ac:dyDescent="0.3"/>
    <row r="1636" ht="74.25" customHeight="1" x14ac:dyDescent="0.3"/>
    <row r="1637" ht="74.25" customHeight="1" x14ac:dyDescent="0.3"/>
    <row r="1638" ht="74.25" customHeight="1" x14ac:dyDescent="0.3"/>
    <row r="1639" ht="74.25" customHeight="1" x14ac:dyDescent="0.3"/>
    <row r="1640" ht="74.25" customHeight="1" x14ac:dyDescent="0.3"/>
    <row r="1641" ht="74.25" customHeight="1" x14ac:dyDescent="0.3"/>
    <row r="1642" ht="74.25" customHeight="1" x14ac:dyDescent="0.3"/>
    <row r="1643" ht="74.25" customHeight="1" x14ac:dyDescent="0.3"/>
    <row r="1644" ht="74.25" customHeight="1" x14ac:dyDescent="0.3"/>
    <row r="1645" ht="74.25" customHeight="1" x14ac:dyDescent="0.3"/>
    <row r="1646" ht="74.25" customHeight="1" x14ac:dyDescent="0.3"/>
    <row r="1647" ht="74.25" customHeight="1" x14ac:dyDescent="0.3"/>
    <row r="1648" ht="74.25" customHeight="1" x14ac:dyDescent="0.3"/>
    <row r="1649" ht="74.25" customHeight="1" x14ac:dyDescent="0.3"/>
    <row r="1650" ht="74.25" customHeight="1" x14ac:dyDescent="0.3"/>
    <row r="1651" ht="74.25" customHeight="1" x14ac:dyDescent="0.3"/>
    <row r="1652" ht="74.25" customHeight="1" x14ac:dyDescent="0.3"/>
    <row r="1653" ht="74.25" customHeight="1" x14ac:dyDescent="0.3"/>
    <row r="1654" ht="74.25" customHeight="1" x14ac:dyDescent="0.3"/>
    <row r="1655" ht="74.25" customHeight="1" x14ac:dyDescent="0.3"/>
    <row r="1656" ht="74.25" customHeight="1" x14ac:dyDescent="0.3"/>
    <row r="1657" ht="74.25" customHeight="1" x14ac:dyDescent="0.3"/>
    <row r="1658" ht="74.25" customHeight="1" x14ac:dyDescent="0.3"/>
    <row r="1659" ht="74.25" customHeight="1" x14ac:dyDescent="0.3"/>
    <row r="1660" ht="74.25" customHeight="1" x14ac:dyDescent="0.3"/>
    <row r="1661" ht="74.25" customHeight="1" x14ac:dyDescent="0.3"/>
    <row r="1662" ht="74.25" customHeight="1" x14ac:dyDescent="0.3"/>
    <row r="1663" ht="74.25" customHeight="1" x14ac:dyDescent="0.3"/>
    <row r="1664" ht="74.25" customHeight="1" x14ac:dyDescent="0.3"/>
    <row r="1665" ht="74.25" customHeight="1" x14ac:dyDescent="0.3"/>
    <row r="1666" ht="74.25" customHeight="1" x14ac:dyDescent="0.3"/>
    <row r="1667" ht="74.25" customHeight="1" x14ac:dyDescent="0.3"/>
    <row r="1668" ht="74.25" customHeight="1" x14ac:dyDescent="0.3"/>
    <row r="1669" ht="74.25" customHeight="1" x14ac:dyDescent="0.3"/>
    <row r="1670" ht="74.25" customHeight="1" x14ac:dyDescent="0.3"/>
    <row r="1671" ht="74.25" customHeight="1" x14ac:dyDescent="0.3"/>
    <row r="1672" ht="74.25" customHeight="1" x14ac:dyDescent="0.3"/>
    <row r="1673" ht="74.25" customHeight="1" x14ac:dyDescent="0.3"/>
    <row r="1674" ht="74.25" customHeight="1" x14ac:dyDescent="0.3"/>
    <row r="1675" ht="74.25" customHeight="1" x14ac:dyDescent="0.3"/>
    <row r="1676" ht="74.25" customHeight="1" x14ac:dyDescent="0.3"/>
    <row r="1677" ht="74.25" customHeight="1" x14ac:dyDescent="0.3"/>
    <row r="1678" ht="74.25" customHeight="1" x14ac:dyDescent="0.3"/>
    <row r="1679" ht="74.25" customHeight="1" x14ac:dyDescent="0.3"/>
    <row r="1680" ht="74.25" customHeight="1" x14ac:dyDescent="0.3"/>
    <row r="1681" ht="74.25" customHeight="1" x14ac:dyDescent="0.3"/>
    <row r="1682" ht="74.25" customHeight="1" x14ac:dyDescent="0.3"/>
    <row r="1683" ht="74.25" customHeight="1" x14ac:dyDescent="0.3"/>
    <row r="1684" ht="74.25" customHeight="1" x14ac:dyDescent="0.3"/>
    <row r="1685" ht="74.25" customHeight="1" x14ac:dyDescent="0.3"/>
    <row r="1686" ht="74.25" customHeight="1" x14ac:dyDescent="0.3"/>
    <row r="1687" ht="74.25" customHeight="1" x14ac:dyDescent="0.3"/>
    <row r="1688" ht="74.25" customHeight="1" x14ac:dyDescent="0.3"/>
    <row r="1689" ht="74.25" customHeight="1" x14ac:dyDescent="0.3"/>
    <row r="1690" ht="74.25" customHeight="1" x14ac:dyDescent="0.3"/>
    <row r="1691" ht="74.25" customHeight="1" x14ac:dyDescent="0.3"/>
    <row r="1692" ht="74.25" customHeight="1" x14ac:dyDescent="0.3"/>
    <row r="1693" ht="74.25" customHeight="1" x14ac:dyDescent="0.3"/>
    <row r="1694" ht="74.25" customHeight="1" x14ac:dyDescent="0.3"/>
    <row r="1695" ht="74.25" customHeight="1" x14ac:dyDescent="0.3"/>
    <row r="1696" ht="74.25" customHeight="1" x14ac:dyDescent="0.3"/>
    <row r="1697" ht="74.25" customHeight="1" x14ac:dyDescent="0.3"/>
    <row r="1698" ht="74.25" customHeight="1" x14ac:dyDescent="0.3"/>
    <row r="1699" ht="74.25" customHeight="1" x14ac:dyDescent="0.3"/>
    <row r="1700" ht="74.25" customHeight="1" x14ac:dyDescent="0.3"/>
    <row r="1701" ht="74.25" customHeight="1" x14ac:dyDescent="0.3"/>
    <row r="1702" ht="74.25" customHeight="1" x14ac:dyDescent="0.3"/>
    <row r="1703" ht="74.25" customHeight="1" x14ac:dyDescent="0.3"/>
    <row r="1704" ht="74.25" customHeight="1" x14ac:dyDescent="0.3"/>
    <row r="1705" ht="74.25" customHeight="1" x14ac:dyDescent="0.3"/>
    <row r="1706" ht="74.25" customHeight="1" x14ac:dyDescent="0.3"/>
    <row r="1707" ht="74.25" customHeight="1" x14ac:dyDescent="0.3"/>
    <row r="1708" ht="74.25" customHeight="1" x14ac:dyDescent="0.3"/>
    <row r="1709" ht="74.25" customHeight="1" x14ac:dyDescent="0.3"/>
    <row r="1710" ht="74.25" customHeight="1" x14ac:dyDescent="0.3"/>
    <row r="1711" ht="74.25" customHeight="1" x14ac:dyDescent="0.3"/>
    <row r="1712" ht="74.25" customHeight="1" x14ac:dyDescent="0.3"/>
    <row r="1713" ht="74.25" customHeight="1" x14ac:dyDescent="0.3"/>
    <row r="1714" ht="74.25" customHeight="1" x14ac:dyDescent="0.3"/>
    <row r="1715" ht="74.25" customHeight="1" x14ac:dyDescent="0.3"/>
    <row r="1716" ht="74.25" customHeight="1" x14ac:dyDescent="0.3"/>
    <row r="1717" ht="74.25" customHeight="1" x14ac:dyDescent="0.3"/>
    <row r="1718" ht="74.25" customHeight="1" x14ac:dyDescent="0.3"/>
    <row r="1719" ht="74.25" customHeight="1" x14ac:dyDescent="0.3"/>
    <row r="1720" ht="74.25" customHeight="1" x14ac:dyDescent="0.3"/>
    <row r="1721" ht="74.25" customHeight="1" x14ac:dyDescent="0.3"/>
    <row r="1722" ht="74.25" customHeight="1" x14ac:dyDescent="0.3"/>
    <row r="1723" ht="74.25" customHeight="1" x14ac:dyDescent="0.3"/>
    <row r="1724" ht="74.25" customHeight="1" x14ac:dyDescent="0.3"/>
    <row r="1725" ht="74.25" customHeight="1" x14ac:dyDescent="0.3"/>
    <row r="1726" ht="74.25" customHeight="1" x14ac:dyDescent="0.3"/>
    <row r="1727" ht="74.25" customHeight="1" x14ac:dyDescent="0.3"/>
    <row r="1728" ht="74.25" customHeight="1" x14ac:dyDescent="0.3"/>
    <row r="1729" ht="74.25" customHeight="1" x14ac:dyDescent="0.3"/>
    <row r="1730" ht="74.25" customHeight="1" x14ac:dyDescent="0.3"/>
    <row r="1731" ht="74.25" customHeight="1" x14ac:dyDescent="0.3"/>
    <row r="1732" ht="74.25" customHeight="1" x14ac:dyDescent="0.3"/>
    <row r="1733" ht="74.25" customHeight="1" x14ac:dyDescent="0.3"/>
    <row r="1734" ht="74.25" customHeight="1" x14ac:dyDescent="0.3"/>
    <row r="1735" ht="74.25" customHeight="1" x14ac:dyDescent="0.3"/>
    <row r="1736" ht="74.25" customHeight="1" x14ac:dyDescent="0.3"/>
    <row r="1737" ht="74.25" customHeight="1" x14ac:dyDescent="0.3"/>
    <row r="1738" ht="74.25" customHeight="1" x14ac:dyDescent="0.3"/>
    <row r="1739" ht="74.25" customHeight="1" x14ac:dyDescent="0.3"/>
    <row r="1740" ht="74.25" customHeight="1" x14ac:dyDescent="0.3"/>
    <row r="1741" ht="74.25" customHeight="1" x14ac:dyDescent="0.3"/>
    <row r="1742" ht="74.25" customHeight="1" x14ac:dyDescent="0.3"/>
    <row r="1743" ht="74.25" customHeight="1" x14ac:dyDescent="0.3"/>
    <row r="1744" ht="74.25" customHeight="1" x14ac:dyDescent="0.3"/>
    <row r="1745" ht="74.25" customHeight="1" x14ac:dyDescent="0.3"/>
    <row r="1746" ht="74.25" customHeight="1" x14ac:dyDescent="0.3"/>
    <row r="1747" ht="74.25" customHeight="1" x14ac:dyDescent="0.3"/>
    <row r="1748" ht="74.25" customHeight="1" x14ac:dyDescent="0.3"/>
    <row r="1749" ht="74.25" customHeight="1" x14ac:dyDescent="0.3"/>
    <row r="1750" ht="74.25" customHeight="1" x14ac:dyDescent="0.3"/>
    <row r="1751" ht="74.25" customHeight="1" x14ac:dyDescent="0.3"/>
    <row r="1752" ht="74.25" customHeight="1" x14ac:dyDescent="0.3"/>
    <row r="1753" ht="74.25" customHeight="1" x14ac:dyDescent="0.3"/>
    <row r="1754" ht="74.25" customHeight="1" x14ac:dyDescent="0.3"/>
    <row r="1755" ht="74.25" customHeight="1" x14ac:dyDescent="0.3"/>
    <row r="1756" ht="74.25" customHeight="1" x14ac:dyDescent="0.3"/>
    <row r="1757" ht="74.25" customHeight="1" x14ac:dyDescent="0.3"/>
    <row r="1758" ht="74.25" customHeight="1" x14ac:dyDescent="0.3"/>
    <row r="1759" ht="74.25" customHeight="1" x14ac:dyDescent="0.3"/>
    <row r="1760" ht="74.25" customHeight="1" x14ac:dyDescent="0.3"/>
    <row r="1761" ht="74.25" customHeight="1" x14ac:dyDescent="0.3"/>
    <row r="1762" ht="74.25" customHeight="1" x14ac:dyDescent="0.3"/>
    <row r="1763" ht="74.25" customHeight="1" x14ac:dyDescent="0.3"/>
    <row r="1764" ht="74.25" customHeight="1" x14ac:dyDescent="0.3"/>
    <row r="1765" ht="74.25" customHeight="1" x14ac:dyDescent="0.3"/>
    <row r="1766" ht="74.25" customHeight="1" x14ac:dyDescent="0.3"/>
    <row r="1767" ht="74.25" customHeight="1" x14ac:dyDescent="0.3"/>
    <row r="1768" ht="74.25" customHeight="1" x14ac:dyDescent="0.3"/>
    <row r="1769" ht="74.25" customHeight="1" x14ac:dyDescent="0.3"/>
    <row r="1770" ht="74.25" customHeight="1" x14ac:dyDescent="0.3"/>
    <row r="1771" ht="74.25" customHeight="1" x14ac:dyDescent="0.3"/>
    <row r="1772" ht="74.25" customHeight="1" x14ac:dyDescent="0.3"/>
    <row r="1773" ht="74.25" customHeight="1" x14ac:dyDescent="0.3"/>
    <row r="1774" ht="74.25" customHeight="1" x14ac:dyDescent="0.3"/>
    <row r="1775" ht="74.25" customHeight="1" x14ac:dyDescent="0.3"/>
    <row r="1776" ht="74.25" customHeight="1" x14ac:dyDescent="0.3"/>
    <row r="1777" ht="74.25" customHeight="1" x14ac:dyDescent="0.3"/>
    <row r="1778" ht="74.25" customHeight="1" x14ac:dyDescent="0.3"/>
    <row r="1779" ht="74.25" customHeight="1" x14ac:dyDescent="0.3"/>
    <row r="1780" ht="74.25" customHeight="1" x14ac:dyDescent="0.3"/>
    <row r="1781" ht="74.25" customHeight="1" x14ac:dyDescent="0.3"/>
    <row r="1782" ht="74.25" customHeight="1" x14ac:dyDescent="0.3"/>
    <row r="1783" ht="74.25" customHeight="1" x14ac:dyDescent="0.3"/>
    <row r="1784" ht="74.25" customHeight="1" x14ac:dyDescent="0.3"/>
    <row r="1785" ht="74.25" customHeight="1" x14ac:dyDescent="0.3"/>
    <row r="1786" ht="74.25" customHeight="1" x14ac:dyDescent="0.3"/>
    <row r="1787" ht="74.25" customHeight="1" x14ac:dyDescent="0.3"/>
    <row r="1788" ht="74.25" customHeight="1" x14ac:dyDescent="0.3"/>
    <row r="1789" ht="74.25" customHeight="1" x14ac:dyDescent="0.3"/>
    <row r="1790" ht="74.25" customHeight="1" x14ac:dyDescent="0.3"/>
    <row r="1791" ht="74.25" customHeight="1" x14ac:dyDescent="0.3"/>
    <row r="1792" ht="74.25" customHeight="1" x14ac:dyDescent="0.3"/>
    <row r="1793" ht="74.25" customHeight="1" x14ac:dyDescent="0.3"/>
    <row r="1794" ht="74.25" customHeight="1" x14ac:dyDescent="0.3"/>
    <row r="1795" ht="74.25" customHeight="1" x14ac:dyDescent="0.3"/>
    <row r="1796" ht="74.25" customHeight="1" x14ac:dyDescent="0.3"/>
    <row r="1797" ht="74.25" customHeight="1" x14ac:dyDescent="0.3"/>
    <row r="1798" ht="74.25" customHeight="1" x14ac:dyDescent="0.3"/>
    <row r="1799" ht="74.25" customHeight="1" x14ac:dyDescent="0.3"/>
    <row r="1800" ht="74.25" customHeight="1" x14ac:dyDescent="0.3"/>
    <row r="1801" ht="74.25" customHeight="1" x14ac:dyDescent="0.3"/>
    <row r="1802" ht="74.25" customHeight="1" x14ac:dyDescent="0.3"/>
    <row r="1803" ht="74.25" customHeight="1" x14ac:dyDescent="0.3"/>
    <row r="1804" ht="74.25" customHeight="1" x14ac:dyDescent="0.3"/>
    <row r="1805" ht="74.25" customHeight="1" x14ac:dyDescent="0.3"/>
    <row r="1806" ht="74.25" customHeight="1" x14ac:dyDescent="0.3"/>
    <row r="1807" ht="74.25" customHeight="1" x14ac:dyDescent="0.3"/>
    <row r="1808" ht="74.25" customHeight="1" x14ac:dyDescent="0.3"/>
    <row r="1809" ht="74.25" customHeight="1" x14ac:dyDescent="0.3"/>
    <row r="1810" ht="74.25" customHeight="1" x14ac:dyDescent="0.3"/>
    <row r="1811" ht="74.25" customHeight="1" x14ac:dyDescent="0.3"/>
    <row r="1812" ht="74.25" customHeight="1" x14ac:dyDescent="0.3"/>
    <row r="1813" ht="74.25" customHeight="1" x14ac:dyDescent="0.3"/>
    <row r="1814" ht="74.25" customHeight="1" x14ac:dyDescent="0.3"/>
    <row r="1815" ht="74.25" customHeight="1" x14ac:dyDescent="0.3"/>
    <row r="1816" ht="74.25" customHeight="1" x14ac:dyDescent="0.3"/>
    <row r="1817" ht="74.25" customHeight="1" x14ac:dyDescent="0.3"/>
    <row r="1818" ht="74.25" customHeight="1" x14ac:dyDescent="0.3"/>
    <row r="1819" ht="74.25" customHeight="1" x14ac:dyDescent="0.3"/>
    <row r="1820" ht="74.25" customHeight="1" x14ac:dyDescent="0.3"/>
    <row r="1821" ht="74.25" customHeight="1" x14ac:dyDescent="0.3"/>
    <row r="1822" ht="74.25" customHeight="1" x14ac:dyDescent="0.3"/>
    <row r="1823" ht="74.25" customHeight="1" x14ac:dyDescent="0.3"/>
    <row r="1824" ht="74.25" customHeight="1" x14ac:dyDescent="0.3"/>
    <row r="1825" ht="74.25" customHeight="1" x14ac:dyDescent="0.3"/>
    <row r="1826" ht="74.25" customHeight="1" x14ac:dyDescent="0.3"/>
    <row r="1827" ht="74.25" customHeight="1" x14ac:dyDescent="0.3"/>
    <row r="1828" ht="74.25" customHeight="1" x14ac:dyDescent="0.3"/>
    <row r="1829" ht="74.25" customHeight="1" x14ac:dyDescent="0.3"/>
    <row r="1830" ht="74.25" customHeight="1" x14ac:dyDescent="0.3"/>
    <row r="1831" ht="74.25" customHeight="1" x14ac:dyDescent="0.3"/>
    <row r="1832" ht="74.25" customHeight="1" x14ac:dyDescent="0.3"/>
    <row r="1833" ht="74.25" customHeight="1" x14ac:dyDescent="0.3"/>
    <row r="1834" ht="74.25" customHeight="1" x14ac:dyDescent="0.3"/>
    <row r="1835" ht="74.25" customHeight="1" x14ac:dyDescent="0.3"/>
    <row r="1836" ht="74.25" customHeight="1" x14ac:dyDescent="0.3"/>
    <row r="1837" ht="74.25" customHeight="1" x14ac:dyDescent="0.3"/>
    <row r="1838" ht="74.25" customHeight="1" x14ac:dyDescent="0.3"/>
    <row r="1839" ht="74.25" customHeight="1" x14ac:dyDescent="0.3"/>
    <row r="1840" ht="74.25" customHeight="1" x14ac:dyDescent="0.3"/>
    <row r="1841" ht="74.25" customHeight="1" x14ac:dyDescent="0.3"/>
    <row r="1842" ht="74.25" customHeight="1" x14ac:dyDescent="0.3"/>
    <row r="1843" ht="74.25" customHeight="1" x14ac:dyDescent="0.3"/>
    <row r="1844" ht="74.25" customHeight="1" x14ac:dyDescent="0.3"/>
    <row r="1845" ht="74.25" customHeight="1" x14ac:dyDescent="0.3"/>
    <row r="1846" ht="74.25" customHeight="1" x14ac:dyDescent="0.3"/>
    <row r="1847" ht="74.25" customHeight="1" x14ac:dyDescent="0.3"/>
    <row r="1848" ht="74.25" customHeight="1" x14ac:dyDescent="0.3"/>
    <row r="1849" ht="74.25" customHeight="1" x14ac:dyDescent="0.3"/>
    <row r="1850" ht="74.25" customHeight="1" x14ac:dyDescent="0.3"/>
    <row r="1851" ht="74.25" customHeight="1" x14ac:dyDescent="0.3"/>
    <row r="1852" ht="74.25" customHeight="1" x14ac:dyDescent="0.3"/>
    <row r="1853" ht="74.25" customHeight="1" x14ac:dyDescent="0.3"/>
    <row r="1854" ht="74.25" customHeight="1" x14ac:dyDescent="0.3"/>
    <row r="1855" ht="74.25" customHeight="1" x14ac:dyDescent="0.3"/>
    <row r="1856" ht="74.25" customHeight="1" x14ac:dyDescent="0.3"/>
    <row r="1857" ht="74.25" customHeight="1" x14ac:dyDescent="0.3"/>
    <row r="1858" ht="74.25" customHeight="1" x14ac:dyDescent="0.3"/>
    <row r="1859" ht="74.25" customHeight="1" x14ac:dyDescent="0.3"/>
    <row r="1860" ht="74.25" customHeight="1" x14ac:dyDescent="0.3"/>
    <row r="1861" ht="74.25" customHeight="1" x14ac:dyDescent="0.3"/>
    <row r="1862" ht="74.25" customHeight="1" x14ac:dyDescent="0.3"/>
    <row r="1863" ht="74.25" customHeight="1" x14ac:dyDescent="0.3"/>
    <row r="1864" ht="74.25" customHeight="1" x14ac:dyDescent="0.3"/>
    <row r="1865" ht="74.25" customHeight="1" x14ac:dyDescent="0.3"/>
    <row r="1866" ht="74.25" customHeight="1" x14ac:dyDescent="0.3"/>
    <row r="1867" ht="74.25" customHeight="1" x14ac:dyDescent="0.3"/>
    <row r="1868" ht="74.25" customHeight="1" x14ac:dyDescent="0.3"/>
    <row r="1869" ht="74.25" customHeight="1" x14ac:dyDescent="0.3"/>
    <row r="1870" ht="74.25" customHeight="1" x14ac:dyDescent="0.3"/>
    <row r="1871" ht="74.25" customHeight="1" x14ac:dyDescent="0.3"/>
    <row r="1872" ht="74.25" customHeight="1" x14ac:dyDescent="0.3"/>
    <row r="1873" ht="74.25" customHeight="1" x14ac:dyDescent="0.3"/>
    <row r="1874" ht="74.25" customHeight="1" x14ac:dyDescent="0.3"/>
    <row r="1875" ht="74.25" customHeight="1" x14ac:dyDescent="0.3"/>
    <row r="1876" ht="74.25" customHeight="1" x14ac:dyDescent="0.3"/>
    <row r="1877" ht="74.25" customHeight="1" x14ac:dyDescent="0.3"/>
    <row r="1878" ht="74.25" customHeight="1" x14ac:dyDescent="0.3"/>
    <row r="1879" ht="74.25" customHeight="1" x14ac:dyDescent="0.3"/>
    <row r="1880" ht="74.25" customHeight="1" x14ac:dyDescent="0.3"/>
    <row r="1881" ht="74.25" customHeight="1" x14ac:dyDescent="0.3"/>
    <row r="1882" ht="74.25" customHeight="1" x14ac:dyDescent="0.3"/>
    <row r="1883" ht="74.25" customHeight="1" x14ac:dyDescent="0.3"/>
    <row r="1884" ht="74.25" customHeight="1" x14ac:dyDescent="0.3"/>
    <row r="1885" ht="74.25" customHeight="1" x14ac:dyDescent="0.3"/>
    <row r="1886" ht="74.25" customHeight="1" x14ac:dyDescent="0.3"/>
    <row r="1887" ht="74.25" customHeight="1" x14ac:dyDescent="0.3"/>
    <row r="1888" ht="74.25" customHeight="1" x14ac:dyDescent="0.3"/>
    <row r="1889" ht="74.25" customHeight="1" x14ac:dyDescent="0.3"/>
    <row r="1890" ht="74.25" customHeight="1" x14ac:dyDescent="0.3"/>
    <row r="1891" ht="74.25" customHeight="1" x14ac:dyDescent="0.3"/>
    <row r="1892" ht="74.25" customHeight="1" x14ac:dyDescent="0.3"/>
    <row r="1893" ht="74.25" customHeight="1" x14ac:dyDescent="0.3"/>
    <row r="1894" ht="74.25" customHeight="1" x14ac:dyDescent="0.3"/>
    <row r="1895" ht="74.25" customHeight="1" x14ac:dyDescent="0.3"/>
    <row r="1896" ht="74.25" customHeight="1" x14ac:dyDescent="0.3"/>
    <row r="1897" ht="74.25" customHeight="1" x14ac:dyDescent="0.3"/>
    <row r="1898" ht="74.25" customHeight="1" x14ac:dyDescent="0.3"/>
    <row r="1899" ht="74.25" customHeight="1" x14ac:dyDescent="0.3"/>
    <row r="1900" ht="74.25" customHeight="1" x14ac:dyDescent="0.3"/>
    <row r="1901" ht="74.25" customHeight="1" x14ac:dyDescent="0.3"/>
    <row r="1902" ht="74.25" customHeight="1" x14ac:dyDescent="0.3"/>
    <row r="1903" ht="74.25" customHeight="1" x14ac:dyDescent="0.3"/>
    <row r="1904" ht="74.25" customHeight="1" x14ac:dyDescent="0.3"/>
    <row r="1905" ht="74.25" customHeight="1" x14ac:dyDescent="0.3"/>
    <row r="1906" ht="74.25" customHeight="1" x14ac:dyDescent="0.3"/>
    <row r="1907" ht="74.25" customHeight="1" x14ac:dyDescent="0.3"/>
    <row r="1908" ht="74.25" customHeight="1" x14ac:dyDescent="0.3"/>
    <row r="1909" ht="74.25" customHeight="1" x14ac:dyDescent="0.3"/>
    <row r="1910" ht="74.25" customHeight="1" x14ac:dyDescent="0.3"/>
    <row r="1911" ht="74.25" customHeight="1" x14ac:dyDescent="0.3"/>
    <row r="1912" ht="74.25" customHeight="1" x14ac:dyDescent="0.3"/>
    <row r="1913" ht="74.25" customHeight="1" x14ac:dyDescent="0.3"/>
    <row r="1914" ht="74.25" customHeight="1" x14ac:dyDescent="0.3"/>
    <row r="1915" ht="74.25" customHeight="1" x14ac:dyDescent="0.3"/>
    <row r="1916" ht="74.25" customHeight="1" x14ac:dyDescent="0.3"/>
    <row r="1917" ht="74.25" customHeight="1" x14ac:dyDescent="0.3"/>
    <row r="1918" ht="74.25" customHeight="1" x14ac:dyDescent="0.3"/>
    <row r="1919" ht="74.25" customHeight="1" x14ac:dyDescent="0.3"/>
    <row r="1920" ht="74.25" customHeight="1" x14ac:dyDescent="0.3"/>
    <row r="1921" ht="74.25" customHeight="1" x14ac:dyDescent="0.3"/>
    <row r="1922" ht="74.25" customHeight="1" x14ac:dyDescent="0.3"/>
    <row r="1923" ht="74.25" customHeight="1" x14ac:dyDescent="0.3"/>
    <row r="1924" ht="74.25" customHeight="1" x14ac:dyDescent="0.3"/>
    <row r="1925" ht="74.25" customHeight="1" x14ac:dyDescent="0.3"/>
    <row r="1926" ht="74.25" customHeight="1" x14ac:dyDescent="0.3"/>
    <row r="1927" ht="74.25" customHeight="1" x14ac:dyDescent="0.3"/>
    <row r="1928" ht="74.25" customHeight="1" x14ac:dyDescent="0.3"/>
    <row r="1929" ht="74.25" customHeight="1" x14ac:dyDescent="0.3"/>
    <row r="1930" ht="74.25" customHeight="1" x14ac:dyDescent="0.3"/>
    <row r="1931" ht="74.25" customHeight="1" x14ac:dyDescent="0.3"/>
    <row r="1932" ht="74.25" customHeight="1" x14ac:dyDescent="0.3"/>
    <row r="1933" ht="74.25" customHeight="1" x14ac:dyDescent="0.3"/>
    <row r="1934" ht="74.25" customHeight="1" x14ac:dyDescent="0.3"/>
    <row r="1935" ht="74.25" customHeight="1" x14ac:dyDescent="0.3"/>
    <row r="1936" ht="74.25" customHeight="1" x14ac:dyDescent="0.3"/>
    <row r="1937" ht="74.25" customHeight="1" x14ac:dyDescent="0.3"/>
    <row r="1938" ht="74.25" customHeight="1" x14ac:dyDescent="0.3"/>
    <row r="1939" ht="74.25" customHeight="1" x14ac:dyDescent="0.3"/>
    <row r="1940" ht="74.25" customHeight="1" x14ac:dyDescent="0.3"/>
    <row r="1941" ht="74.25" customHeight="1" x14ac:dyDescent="0.3"/>
    <row r="1942" ht="74.25" customHeight="1" x14ac:dyDescent="0.3"/>
    <row r="1943" ht="74.25" customHeight="1" x14ac:dyDescent="0.3"/>
    <row r="1944" ht="74.25" customHeight="1" x14ac:dyDescent="0.3"/>
    <row r="1945" ht="74.25" customHeight="1" x14ac:dyDescent="0.3"/>
    <row r="1946" ht="74.25" customHeight="1" x14ac:dyDescent="0.3"/>
    <row r="1947" ht="74.25" customHeight="1" x14ac:dyDescent="0.3"/>
    <row r="1948" ht="74.25" customHeight="1" x14ac:dyDescent="0.3"/>
    <row r="1949" ht="74.25" customHeight="1" x14ac:dyDescent="0.3"/>
    <row r="1950" ht="74.25" customHeight="1" x14ac:dyDescent="0.3"/>
    <row r="1951" ht="74.25" customHeight="1" x14ac:dyDescent="0.3"/>
    <row r="1952" ht="74.25" customHeight="1" x14ac:dyDescent="0.3"/>
    <row r="1953" ht="74.25" customHeight="1" x14ac:dyDescent="0.3"/>
    <row r="1954" ht="74.25" customHeight="1" x14ac:dyDescent="0.3"/>
    <row r="1955" ht="74.25" customHeight="1" x14ac:dyDescent="0.3"/>
    <row r="1956" ht="74.25" customHeight="1" x14ac:dyDescent="0.3"/>
    <row r="1957" ht="74.25" customHeight="1" x14ac:dyDescent="0.3"/>
    <row r="1958" ht="74.25" customHeight="1" x14ac:dyDescent="0.3"/>
    <row r="1959" ht="74.25" customHeight="1" x14ac:dyDescent="0.3"/>
    <row r="1960" ht="74.25" customHeight="1" x14ac:dyDescent="0.3"/>
    <row r="1961" ht="74.25" customHeight="1" x14ac:dyDescent="0.3"/>
    <row r="1962" ht="74.25" customHeight="1" x14ac:dyDescent="0.3"/>
    <row r="1963" ht="74.25" customHeight="1" x14ac:dyDescent="0.3"/>
    <row r="1964" ht="74.25" customHeight="1" x14ac:dyDescent="0.3"/>
    <row r="1965" ht="74.25" customHeight="1" x14ac:dyDescent="0.3"/>
    <row r="1966" ht="74.25" customHeight="1" x14ac:dyDescent="0.3"/>
    <row r="1967" ht="74.25" customHeight="1" x14ac:dyDescent="0.3"/>
    <row r="1968" ht="74.25" customHeight="1" x14ac:dyDescent="0.3"/>
    <row r="1969" ht="74.25" customHeight="1" x14ac:dyDescent="0.3"/>
    <row r="1970" ht="74.25" customHeight="1" x14ac:dyDescent="0.3"/>
    <row r="1971" ht="74.25" customHeight="1" x14ac:dyDescent="0.3"/>
    <row r="1972" ht="74.25" customHeight="1" x14ac:dyDescent="0.3"/>
    <row r="1973" ht="74.25" customHeight="1" x14ac:dyDescent="0.3"/>
    <row r="1974" ht="74.25" customHeight="1" x14ac:dyDescent="0.3"/>
    <row r="1975" ht="74.25" customHeight="1" x14ac:dyDescent="0.3"/>
    <row r="1976" ht="74.25" customHeight="1" x14ac:dyDescent="0.3"/>
    <row r="1977" ht="74.25" customHeight="1" x14ac:dyDescent="0.3"/>
    <row r="1978" ht="74.25" customHeight="1" x14ac:dyDescent="0.3"/>
    <row r="1979" ht="74.25" customHeight="1" x14ac:dyDescent="0.3"/>
    <row r="1980" ht="74.25" customHeight="1" x14ac:dyDescent="0.3"/>
    <row r="1981" ht="74.25" customHeight="1" x14ac:dyDescent="0.3"/>
    <row r="1982" ht="74.25" customHeight="1" x14ac:dyDescent="0.3"/>
    <row r="1983" ht="74.25" customHeight="1" x14ac:dyDescent="0.3"/>
    <row r="1984" ht="74.25" customHeight="1" x14ac:dyDescent="0.3"/>
    <row r="1985" ht="74.25" customHeight="1" x14ac:dyDescent="0.3"/>
    <row r="1986" ht="74.25" customHeight="1" x14ac:dyDescent="0.3"/>
    <row r="1987" ht="74.25" customHeight="1" x14ac:dyDescent="0.3"/>
    <row r="1988" ht="74.25" customHeight="1" x14ac:dyDescent="0.3"/>
    <row r="1989" ht="74.25" customHeight="1" x14ac:dyDescent="0.3"/>
    <row r="1990" ht="74.25" customHeight="1" x14ac:dyDescent="0.3"/>
    <row r="1991" ht="74.25" customHeight="1" x14ac:dyDescent="0.3"/>
    <row r="1992" ht="74.25" customHeight="1" x14ac:dyDescent="0.3"/>
    <row r="1993" ht="74.25" customHeight="1" x14ac:dyDescent="0.3"/>
    <row r="1994" ht="74.25" customHeight="1" x14ac:dyDescent="0.3"/>
    <row r="1995" ht="74.25" customHeight="1" x14ac:dyDescent="0.3"/>
    <row r="1996" ht="74.25" customHeight="1" x14ac:dyDescent="0.3"/>
    <row r="1997" ht="74.25" customHeight="1" x14ac:dyDescent="0.3"/>
    <row r="1998" ht="74.25" customHeight="1" x14ac:dyDescent="0.3"/>
    <row r="1999" ht="74.25" customHeight="1" x14ac:dyDescent="0.3"/>
    <row r="2000" ht="74.25" customHeight="1" x14ac:dyDescent="0.3"/>
    <row r="2001" ht="74.25" customHeight="1" x14ac:dyDescent="0.3"/>
    <row r="2002" ht="74.25" customHeight="1" x14ac:dyDescent="0.3"/>
    <row r="2003" ht="74.25" customHeight="1" x14ac:dyDescent="0.3"/>
    <row r="2004" ht="74.25" customHeight="1" x14ac:dyDescent="0.3"/>
    <row r="2005" ht="74.25" customHeight="1" x14ac:dyDescent="0.3"/>
    <row r="2006" ht="74.25" customHeight="1" x14ac:dyDescent="0.3"/>
    <row r="2007" ht="74.25" customHeight="1" x14ac:dyDescent="0.3"/>
    <row r="2008" ht="74.25" customHeight="1" x14ac:dyDescent="0.3"/>
    <row r="2009" ht="74.25" customHeight="1" x14ac:dyDescent="0.3"/>
    <row r="2010" ht="74.25" customHeight="1" x14ac:dyDescent="0.3"/>
    <row r="2011" ht="74.25" customHeight="1" x14ac:dyDescent="0.3"/>
    <row r="2012" ht="74.25" customHeight="1" x14ac:dyDescent="0.3"/>
    <row r="2013" ht="74.25" customHeight="1" x14ac:dyDescent="0.3"/>
    <row r="2014" ht="74.25" customHeight="1" x14ac:dyDescent="0.3"/>
    <row r="2015" ht="74.25" customHeight="1" x14ac:dyDescent="0.3"/>
    <row r="2016" ht="74.25" customHeight="1" x14ac:dyDescent="0.3"/>
    <row r="2017" ht="74.25" customHeight="1" x14ac:dyDescent="0.3"/>
    <row r="2018" ht="74.25" customHeight="1" x14ac:dyDescent="0.3"/>
    <row r="2019" ht="74.25" customHeight="1" x14ac:dyDescent="0.3"/>
    <row r="2020" ht="74.25" customHeight="1" x14ac:dyDescent="0.3"/>
    <row r="2021" ht="74.25" customHeight="1" x14ac:dyDescent="0.3"/>
    <row r="2022" ht="74.25" customHeight="1" x14ac:dyDescent="0.3"/>
    <row r="2023" ht="74.25" customHeight="1" x14ac:dyDescent="0.3"/>
    <row r="2024" ht="74.25" customHeight="1" x14ac:dyDescent="0.3"/>
    <row r="2025" ht="74.25" customHeight="1" x14ac:dyDescent="0.3"/>
    <row r="2026" ht="74.25" customHeight="1" x14ac:dyDescent="0.3"/>
    <row r="2027" ht="74.25" customHeight="1" x14ac:dyDescent="0.3"/>
    <row r="2028" ht="74.25" customHeight="1" x14ac:dyDescent="0.3"/>
    <row r="2029" ht="74.25" customHeight="1" x14ac:dyDescent="0.3"/>
    <row r="2030" ht="74.25" customHeight="1" x14ac:dyDescent="0.3"/>
    <row r="2031" ht="74.25" customHeight="1" x14ac:dyDescent="0.3"/>
    <row r="2032" ht="74.25" customHeight="1" x14ac:dyDescent="0.3"/>
    <row r="2033" ht="74.25" customHeight="1" x14ac:dyDescent="0.3"/>
    <row r="2034" ht="74.25" customHeight="1" x14ac:dyDescent="0.3"/>
    <row r="2035" ht="74.25" customHeight="1" x14ac:dyDescent="0.3"/>
    <row r="2036" ht="74.25" customHeight="1" x14ac:dyDescent="0.3"/>
    <row r="2037" ht="74.25" customHeight="1" x14ac:dyDescent="0.3"/>
    <row r="2038" ht="74.25" customHeight="1" x14ac:dyDescent="0.3"/>
    <row r="2039" ht="74.25" customHeight="1" x14ac:dyDescent="0.3"/>
    <row r="2040" ht="74.25" customHeight="1" x14ac:dyDescent="0.3"/>
    <row r="2041" ht="74.25" customHeight="1" x14ac:dyDescent="0.3"/>
    <row r="2042" ht="74.25" customHeight="1" x14ac:dyDescent="0.3"/>
    <row r="2043" ht="74.25" customHeight="1" x14ac:dyDescent="0.3"/>
    <row r="2044" ht="74.25" customHeight="1" x14ac:dyDescent="0.3"/>
    <row r="2045" ht="74.25" customHeight="1" x14ac:dyDescent="0.3"/>
    <row r="2046" ht="74.25" customHeight="1" x14ac:dyDescent="0.3"/>
    <row r="2047" ht="74.25" customHeight="1" x14ac:dyDescent="0.3"/>
    <row r="2048" ht="74.25" customHeight="1" x14ac:dyDescent="0.3"/>
    <row r="2049" ht="74.25" customHeight="1" x14ac:dyDescent="0.3"/>
    <row r="2050" ht="74.25" customHeight="1" x14ac:dyDescent="0.3"/>
    <row r="2051" ht="74.25" customHeight="1" x14ac:dyDescent="0.3"/>
    <row r="2052" ht="74.25" customHeight="1" x14ac:dyDescent="0.3"/>
    <row r="2053" ht="74.25" customHeight="1" x14ac:dyDescent="0.3"/>
    <row r="2054" ht="74.25" customHeight="1" x14ac:dyDescent="0.3"/>
    <row r="2055" ht="74.25" customHeight="1" x14ac:dyDescent="0.3"/>
    <row r="2056" ht="74.25" customHeight="1" x14ac:dyDescent="0.3"/>
    <row r="2057" ht="74.25" customHeight="1" x14ac:dyDescent="0.3"/>
    <row r="2058" ht="74.25" customHeight="1" x14ac:dyDescent="0.3"/>
    <row r="2059" ht="74.25" customHeight="1" x14ac:dyDescent="0.3"/>
    <row r="2060" ht="74.25" customHeight="1" x14ac:dyDescent="0.3"/>
    <row r="2061" ht="74.25" customHeight="1" x14ac:dyDescent="0.3"/>
    <row r="2062" ht="74.25" customHeight="1" x14ac:dyDescent="0.3"/>
    <row r="2063" ht="74.25" customHeight="1" x14ac:dyDescent="0.3"/>
    <row r="2064" ht="74.25" customHeight="1" x14ac:dyDescent="0.3"/>
    <row r="2065" ht="74.25" customHeight="1" x14ac:dyDescent="0.3"/>
    <row r="2066" ht="74.25" customHeight="1" x14ac:dyDescent="0.3"/>
    <row r="2067" ht="74.25" customHeight="1" x14ac:dyDescent="0.3"/>
    <row r="2068" ht="74.25" customHeight="1" x14ac:dyDescent="0.3"/>
    <row r="2069" ht="74.25" customHeight="1" x14ac:dyDescent="0.3"/>
    <row r="2070" ht="74.25" customHeight="1" x14ac:dyDescent="0.3"/>
    <row r="2071" ht="74.25" customHeight="1" x14ac:dyDescent="0.3"/>
    <row r="2072" ht="74.25" customHeight="1" x14ac:dyDescent="0.3"/>
    <row r="2073" ht="74.25" customHeight="1" x14ac:dyDescent="0.3"/>
    <row r="2074" ht="74.25" customHeight="1" x14ac:dyDescent="0.3"/>
    <row r="2075" ht="74.25" customHeight="1" x14ac:dyDescent="0.3"/>
    <row r="2076" ht="74.25" customHeight="1" x14ac:dyDescent="0.3"/>
    <row r="2077" ht="74.25" customHeight="1" x14ac:dyDescent="0.3"/>
    <row r="2078" ht="74.25" customHeight="1" x14ac:dyDescent="0.3"/>
    <row r="2079" ht="74.25" customHeight="1" x14ac:dyDescent="0.3"/>
    <row r="2080" ht="74.25" customHeight="1" x14ac:dyDescent="0.3"/>
    <row r="2081" ht="74.25" customHeight="1" x14ac:dyDescent="0.3"/>
    <row r="2082" ht="74.25" customHeight="1" x14ac:dyDescent="0.3"/>
    <row r="2083" ht="74.25" customHeight="1" x14ac:dyDescent="0.3"/>
    <row r="2084" ht="74.25" customHeight="1" x14ac:dyDescent="0.3"/>
    <row r="2085" ht="74.25" customHeight="1" x14ac:dyDescent="0.3"/>
    <row r="2086" ht="74.25" customHeight="1" x14ac:dyDescent="0.3"/>
    <row r="2087" ht="74.25" customHeight="1" x14ac:dyDescent="0.3"/>
    <row r="2088" ht="74.25" customHeight="1" x14ac:dyDescent="0.3"/>
    <row r="2089" ht="74.25" customHeight="1" x14ac:dyDescent="0.3"/>
    <row r="2090" ht="74.25" customHeight="1" x14ac:dyDescent="0.3"/>
    <row r="2091" ht="74.25" customHeight="1" x14ac:dyDescent="0.3"/>
    <row r="2092" ht="74.25" customHeight="1" x14ac:dyDescent="0.3"/>
    <row r="2093" ht="74.25" customHeight="1" x14ac:dyDescent="0.3"/>
    <row r="2094" ht="74.25" customHeight="1" x14ac:dyDescent="0.3"/>
    <row r="2095" ht="74.25" customHeight="1" x14ac:dyDescent="0.3"/>
    <row r="2096" ht="74.25" customHeight="1" x14ac:dyDescent="0.3"/>
    <row r="2097" ht="74.25" customHeight="1" x14ac:dyDescent="0.3"/>
    <row r="2098" ht="74.25" customHeight="1" x14ac:dyDescent="0.3"/>
    <row r="2099" ht="74.25" customHeight="1" x14ac:dyDescent="0.3"/>
    <row r="2100" ht="74.25" customHeight="1" x14ac:dyDescent="0.3"/>
    <row r="2101" ht="74.25" customHeight="1" x14ac:dyDescent="0.3"/>
    <row r="2102" ht="74.25" customHeight="1" x14ac:dyDescent="0.3"/>
    <row r="2103" ht="74.25" customHeight="1" x14ac:dyDescent="0.3"/>
    <row r="2104" ht="74.25" customHeight="1" x14ac:dyDescent="0.3"/>
    <row r="2105" ht="74.25" customHeight="1" x14ac:dyDescent="0.3"/>
    <row r="2106" ht="74.25" customHeight="1" x14ac:dyDescent="0.3"/>
    <row r="2107" ht="74.25" customHeight="1" x14ac:dyDescent="0.3"/>
    <row r="2108" ht="74.25" customHeight="1" x14ac:dyDescent="0.3"/>
    <row r="2109" ht="74.25" customHeight="1" x14ac:dyDescent="0.3"/>
    <row r="2110" ht="74.25" customHeight="1" x14ac:dyDescent="0.3"/>
    <row r="2111" ht="74.25" customHeight="1" x14ac:dyDescent="0.3"/>
    <row r="2112" ht="74.25" customHeight="1" x14ac:dyDescent="0.3"/>
    <row r="2113" ht="74.25" customHeight="1" x14ac:dyDescent="0.3"/>
    <row r="2114" ht="74.25" customHeight="1" x14ac:dyDescent="0.3"/>
    <row r="2115" ht="74.25" customHeight="1" x14ac:dyDescent="0.3"/>
    <row r="2116" ht="74.25" customHeight="1" x14ac:dyDescent="0.3"/>
    <row r="2117" ht="74.25" customHeight="1" x14ac:dyDescent="0.3"/>
    <row r="2118" ht="74.25" customHeight="1" x14ac:dyDescent="0.3"/>
    <row r="2119" ht="74.25" customHeight="1" x14ac:dyDescent="0.3"/>
    <row r="2120" ht="74.25" customHeight="1" x14ac:dyDescent="0.3"/>
    <row r="2121" ht="74.25" customHeight="1" x14ac:dyDescent="0.3"/>
    <row r="2122" ht="74.25" customHeight="1" x14ac:dyDescent="0.3"/>
    <row r="2123" ht="74.25" customHeight="1" x14ac:dyDescent="0.3"/>
    <row r="2124" ht="74.25" customHeight="1" x14ac:dyDescent="0.3"/>
    <row r="2125" ht="74.25" customHeight="1" x14ac:dyDescent="0.3"/>
    <row r="2126" ht="74.25" customHeight="1" x14ac:dyDescent="0.3"/>
    <row r="2127" ht="74.25" customHeight="1" x14ac:dyDescent="0.3"/>
    <row r="2128" ht="74.25" customHeight="1" x14ac:dyDescent="0.3"/>
    <row r="2129" ht="74.25" customHeight="1" x14ac:dyDescent="0.3"/>
    <row r="2130" ht="74.25" customHeight="1" x14ac:dyDescent="0.3"/>
    <row r="2131" ht="74.25" customHeight="1" x14ac:dyDescent="0.3"/>
    <row r="2132" ht="74.25" customHeight="1" x14ac:dyDescent="0.3"/>
    <row r="2133" ht="74.25" customHeight="1" x14ac:dyDescent="0.3"/>
    <row r="2134" ht="74.25" customHeight="1" x14ac:dyDescent="0.3"/>
    <row r="2135" ht="74.25" customHeight="1" x14ac:dyDescent="0.3"/>
    <row r="2136" ht="74.25" customHeight="1" x14ac:dyDescent="0.3"/>
    <row r="2137" ht="74.25" customHeight="1" x14ac:dyDescent="0.3"/>
    <row r="2138" ht="74.25" customHeight="1" x14ac:dyDescent="0.3"/>
    <row r="2139" ht="74.25" customHeight="1" x14ac:dyDescent="0.3"/>
    <row r="2140" ht="74.25" customHeight="1" x14ac:dyDescent="0.3"/>
    <row r="2141" ht="74.25" customHeight="1" x14ac:dyDescent="0.3"/>
    <row r="2142" ht="74.25" customHeight="1" x14ac:dyDescent="0.3"/>
    <row r="2143" ht="74.25" customHeight="1" x14ac:dyDescent="0.3"/>
    <row r="2144" ht="74.25" customHeight="1" x14ac:dyDescent="0.3"/>
    <row r="2145" ht="74.25" customHeight="1" x14ac:dyDescent="0.3"/>
    <row r="2146" ht="74.25" customHeight="1" x14ac:dyDescent="0.3"/>
    <row r="2147" ht="74.25" customHeight="1" x14ac:dyDescent="0.3"/>
    <row r="2148" ht="74.25" customHeight="1" x14ac:dyDescent="0.3"/>
    <row r="2149" ht="74.25" customHeight="1" x14ac:dyDescent="0.3"/>
    <row r="2150" ht="74.25" customHeight="1" x14ac:dyDescent="0.3"/>
    <row r="2151" ht="74.25" customHeight="1" x14ac:dyDescent="0.3"/>
    <row r="2152" ht="74.25" customHeight="1" x14ac:dyDescent="0.3"/>
    <row r="2153" ht="74.25" customHeight="1" x14ac:dyDescent="0.3"/>
    <row r="2154" ht="74.25" customHeight="1" x14ac:dyDescent="0.3"/>
    <row r="2155" ht="74.25" customHeight="1" x14ac:dyDescent="0.3"/>
    <row r="2156" ht="74.25" customHeight="1" x14ac:dyDescent="0.3"/>
    <row r="2157" ht="74.25" customHeight="1" x14ac:dyDescent="0.3"/>
    <row r="2158" ht="74.25" customHeight="1" x14ac:dyDescent="0.3"/>
    <row r="2159" ht="74.25" customHeight="1" x14ac:dyDescent="0.3"/>
    <row r="2160" ht="74.25" customHeight="1" x14ac:dyDescent="0.3"/>
    <row r="2161" ht="74.25" customHeight="1" x14ac:dyDescent="0.3"/>
    <row r="2162" ht="74.25" customHeight="1" x14ac:dyDescent="0.3"/>
    <row r="2163" ht="74.25" customHeight="1" x14ac:dyDescent="0.3"/>
    <row r="2164" ht="74.25" customHeight="1" x14ac:dyDescent="0.3"/>
    <row r="2165" ht="74.25" customHeight="1" x14ac:dyDescent="0.3"/>
    <row r="2166" ht="74.25" customHeight="1" x14ac:dyDescent="0.3"/>
    <row r="2167" ht="74.25" customHeight="1" x14ac:dyDescent="0.3"/>
    <row r="2168" ht="74.25" customHeight="1" x14ac:dyDescent="0.3"/>
    <row r="2169" ht="74.25" customHeight="1" x14ac:dyDescent="0.3"/>
    <row r="2170" ht="74.25" customHeight="1" x14ac:dyDescent="0.3"/>
    <row r="2171" ht="74.25" customHeight="1" x14ac:dyDescent="0.3"/>
    <row r="2172" ht="74.25" customHeight="1" x14ac:dyDescent="0.3"/>
    <row r="2173" ht="74.25" customHeight="1" x14ac:dyDescent="0.3"/>
    <row r="2174" ht="74.25" customHeight="1" x14ac:dyDescent="0.3"/>
    <row r="2175" ht="74.25" customHeight="1" x14ac:dyDescent="0.3"/>
    <row r="2176" ht="74.25" customHeight="1" x14ac:dyDescent="0.3"/>
    <row r="2177" ht="74.25" customHeight="1" x14ac:dyDescent="0.3"/>
    <row r="2178" ht="74.25" customHeight="1" x14ac:dyDescent="0.3"/>
    <row r="2179" ht="74.25" customHeight="1" x14ac:dyDescent="0.3"/>
    <row r="2180" ht="74.25" customHeight="1" x14ac:dyDescent="0.3"/>
    <row r="2181" ht="74.25" customHeight="1" x14ac:dyDescent="0.3"/>
    <row r="2182" ht="74.25" customHeight="1" x14ac:dyDescent="0.3"/>
    <row r="2183" ht="74.25" customHeight="1" x14ac:dyDescent="0.3"/>
    <row r="2184" ht="74.25" customHeight="1" x14ac:dyDescent="0.3"/>
    <row r="2185" ht="74.25" customHeight="1" x14ac:dyDescent="0.3"/>
    <row r="2186" ht="74.25" customHeight="1" x14ac:dyDescent="0.3"/>
    <row r="2187" ht="74.25" customHeight="1" x14ac:dyDescent="0.3"/>
    <row r="2188" ht="74.25" customHeight="1" x14ac:dyDescent="0.3"/>
    <row r="2189" ht="74.25" customHeight="1" x14ac:dyDescent="0.3"/>
    <row r="2190" ht="74.25" customHeight="1" x14ac:dyDescent="0.3"/>
    <row r="2191" ht="74.25" customHeight="1" x14ac:dyDescent="0.3"/>
    <row r="2192" ht="74.25" customHeight="1" x14ac:dyDescent="0.3"/>
    <row r="2193" ht="74.25" customHeight="1" x14ac:dyDescent="0.3"/>
    <row r="2194" ht="74.25" customHeight="1" x14ac:dyDescent="0.3"/>
    <row r="2195" ht="74.25" customHeight="1" x14ac:dyDescent="0.3"/>
    <row r="2196" ht="74.25" customHeight="1" x14ac:dyDescent="0.3"/>
    <row r="2197" ht="74.25" customHeight="1" x14ac:dyDescent="0.3"/>
    <row r="2198" ht="74.25" customHeight="1" x14ac:dyDescent="0.3"/>
    <row r="2199" ht="74.25" customHeight="1" x14ac:dyDescent="0.3"/>
    <row r="2200" ht="74.25" customHeight="1" x14ac:dyDescent="0.3"/>
    <row r="2201" ht="74.25" customHeight="1" x14ac:dyDescent="0.3"/>
    <row r="2202" ht="74.25" customHeight="1" x14ac:dyDescent="0.3"/>
    <row r="2203" ht="74.25" customHeight="1" x14ac:dyDescent="0.3"/>
    <row r="2204" ht="74.25" customHeight="1" x14ac:dyDescent="0.3"/>
    <row r="2205" ht="74.25" customHeight="1" x14ac:dyDescent="0.3"/>
    <row r="2206" ht="74.25" customHeight="1" x14ac:dyDescent="0.3"/>
    <row r="2207" ht="74.25" customHeight="1" x14ac:dyDescent="0.3"/>
    <row r="2208" ht="74.25" customHeight="1" x14ac:dyDescent="0.3"/>
    <row r="2209" ht="74.25" customHeight="1" x14ac:dyDescent="0.3"/>
    <row r="2210" ht="74.25" customHeight="1" x14ac:dyDescent="0.3"/>
    <row r="2211" ht="74.25" customHeight="1" x14ac:dyDescent="0.3"/>
    <row r="2212" ht="74.25" customHeight="1" x14ac:dyDescent="0.3"/>
    <row r="2213" ht="74.25" customHeight="1" x14ac:dyDescent="0.3"/>
    <row r="2214" ht="74.25" customHeight="1" x14ac:dyDescent="0.3"/>
    <row r="2215" ht="74.25" customHeight="1" x14ac:dyDescent="0.3"/>
    <row r="2216" ht="74.25" customHeight="1" x14ac:dyDescent="0.3"/>
    <row r="2217" ht="74.25" customHeight="1" x14ac:dyDescent="0.3"/>
    <row r="2218" ht="74.25" customHeight="1" x14ac:dyDescent="0.3"/>
    <row r="2219" ht="74.25" customHeight="1" x14ac:dyDescent="0.3"/>
    <row r="2220" ht="74.25" customHeight="1" x14ac:dyDescent="0.3"/>
    <row r="2221" ht="74.25" customHeight="1" x14ac:dyDescent="0.3"/>
    <row r="2222" ht="74.25" customHeight="1" x14ac:dyDescent="0.3"/>
    <row r="2223" ht="74.25" customHeight="1" x14ac:dyDescent="0.3"/>
    <row r="2224" ht="74.25" customHeight="1" x14ac:dyDescent="0.3"/>
    <row r="2225" ht="74.25" customHeight="1" x14ac:dyDescent="0.3"/>
    <row r="2226" ht="74.25" customHeight="1" x14ac:dyDescent="0.3"/>
    <row r="2227" ht="74.25" customHeight="1" x14ac:dyDescent="0.3"/>
    <row r="2228" ht="74.25" customHeight="1" x14ac:dyDescent="0.3"/>
    <row r="2229" ht="74.25" customHeight="1" x14ac:dyDescent="0.3"/>
    <row r="2230" ht="74.25" customHeight="1" x14ac:dyDescent="0.3"/>
    <row r="2231" ht="74.25" customHeight="1" x14ac:dyDescent="0.3"/>
    <row r="2232" ht="74.25" customHeight="1" x14ac:dyDescent="0.3"/>
    <row r="2233" ht="74.25" customHeight="1" x14ac:dyDescent="0.3"/>
    <row r="2234" ht="74.25" customHeight="1" x14ac:dyDescent="0.3"/>
    <row r="2235" ht="74.25" customHeight="1" x14ac:dyDescent="0.3"/>
    <row r="2236" ht="74.25" customHeight="1" x14ac:dyDescent="0.3"/>
    <row r="2237" ht="74.25" customHeight="1" x14ac:dyDescent="0.3"/>
    <row r="2238" ht="74.25" customHeight="1" x14ac:dyDescent="0.3"/>
    <row r="2239" ht="74.25" customHeight="1" x14ac:dyDescent="0.3"/>
    <row r="2240" ht="74.25" customHeight="1" x14ac:dyDescent="0.3"/>
    <row r="2241" ht="74.25" customHeight="1" x14ac:dyDescent="0.3"/>
    <row r="2242" ht="74.25" customHeight="1" x14ac:dyDescent="0.3"/>
    <row r="2243" ht="74.25" customHeight="1" x14ac:dyDescent="0.3"/>
    <row r="2244" ht="74.25" customHeight="1" x14ac:dyDescent="0.3"/>
    <row r="2245" ht="74.25" customHeight="1" x14ac:dyDescent="0.3"/>
    <row r="2246" ht="74.25" customHeight="1" x14ac:dyDescent="0.3"/>
    <row r="2247" ht="74.25" customHeight="1" x14ac:dyDescent="0.3"/>
    <row r="2248" ht="74.25" customHeight="1" x14ac:dyDescent="0.3"/>
    <row r="2249" ht="74.25" customHeight="1" x14ac:dyDescent="0.3"/>
    <row r="2250" ht="74.25" customHeight="1" x14ac:dyDescent="0.3"/>
    <row r="2251" ht="74.25" customHeight="1" x14ac:dyDescent="0.3"/>
    <row r="2252" ht="74.25" customHeight="1" x14ac:dyDescent="0.3"/>
    <row r="2253" ht="74.25" customHeight="1" x14ac:dyDescent="0.3"/>
    <row r="2254" ht="74.25" customHeight="1" x14ac:dyDescent="0.3"/>
    <row r="2255" ht="74.25" customHeight="1" x14ac:dyDescent="0.3"/>
    <row r="2256" ht="74.25" customHeight="1" x14ac:dyDescent="0.3"/>
    <row r="2257" ht="74.25" customHeight="1" x14ac:dyDescent="0.3"/>
    <row r="2258" ht="74.25" customHeight="1" x14ac:dyDescent="0.3"/>
    <row r="2259" ht="74.25" customHeight="1" x14ac:dyDescent="0.3"/>
    <row r="2260" ht="74.25" customHeight="1" x14ac:dyDescent="0.3"/>
    <row r="2261" ht="74.25" customHeight="1" x14ac:dyDescent="0.3"/>
    <row r="2262" ht="74.25" customHeight="1" x14ac:dyDescent="0.3"/>
    <row r="2263" ht="74.25" customHeight="1" x14ac:dyDescent="0.3"/>
    <row r="2264" ht="74.25" customHeight="1" x14ac:dyDescent="0.3"/>
    <row r="2265" ht="74.25" customHeight="1" x14ac:dyDescent="0.3"/>
    <row r="2266" ht="74.25" customHeight="1" x14ac:dyDescent="0.3"/>
    <row r="2267" ht="74.25" customHeight="1" x14ac:dyDescent="0.3"/>
    <row r="2268" ht="74.25" customHeight="1" x14ac:dyDescent="0.3"/>
    <row r="2269" ht="74.25" customHeight="1" x14ac:dyDescent="0.3"/>
    <row r="2270" ht="74.25" customHeight="1" x14ac:dyDescent="0.3"/>
    <row r="2271" ht="74.25" customHeight="1" x14ac:dyDescent="0.3"/>
    <row r="2272" ht="74.25" customHeight="1" x14ac:dyDescent="0.3"/>
    <row r="2273" ht="74.25" customHeight="1" x14ac:dyDescent="0.3"/>
    <row r="2274" ht="74.25" customHeight="1" x14ac:dyDescent="0.3"/>
    <row r="2275" ht="74.25" customHeight="1" x14ac:dyDescent="0.3"/>
    <row r="2276" ht="74.25" customHeight="1" x14ac:dyDescent="0.3"/>
    <row r="2277" ht="74.25" customHeight="1" x14ac:dyDescent="0.3"/>
    <row r="2278" ht="74.25" customHeight="1" x14ac:dyDescent="0.3"/>
    <row r="2279" ht="74.25" customHeight="1" x14ac:dyDescent="0.3"/>
    <row r="2280" ht="74.25" customHeight="1" x14ac:dyDescent="0.3"/>
    <row r="2281" ht="74.25" customHeight="1" x14ac:dyDescent="0.3"/>
    <row r="2282" ht="74.25" customHeight="1" x14ac:dyDescent="0.3"/>
    <row r="2283" ht="74.25" customHeight="1" x14ac:dyDescent="0.3"/>
    <row r="2284" ht="74.25" customHeight="1" x14ac:dyDescent="0.3"/>
    <row r="2285" ht="74.25" customHeight="1" x14ac:dyDescent="0.3"/>
    <row r="2286" ht="74.25" customHeight="1" x14ac:dyDescent="0.3"/>
    <row r="2287" ht="74.25" customHeight="1" x14ac:dyDescent="0.3"/>
    <row r="2288" ht="74.25" customHeight="1" x14ac:dyDescent="0.3"/>
    <row r="2289" ht="74.25" customHeight="1" x14ac:dyDescent="0.3"/>
    <row r="2290" ht="74.25" customHeight="1" x14ac:dyDescent="0.3"/>
    <row r="2291" ht="74.25" customHeight="1" x14ac:dyDescent="0.3"/>
    <row r="2292" ht="74.25" customHeight="1" x14ac:dyDescent="0.3"/>
    <row r="2293" ht="74.25" customHeight="1" x14ac:dyDescent="0.3"/>
    <row r="2294" ht="74.25" customHeight="1" x14ac:dyDescent="0.3"/>
    <row r="2295" ht="74.25" customHeight="1" x14ac:dyDescent="0.3"/>
    <row r="2296" ht="74.25" customHeight="1" x14ac:dyDescent="0.3"/>
    <row r="2297" ht="74.25" customHeight="1" x14ac:dyDescent="0.3"/>
    <row r="2298" ht="74.25" customHeight="1" x14ac:dyDescent="0.3"/>
    <row r="2299" ht="74.25" customHeight="1" x14ac:dyDescent="0.3"/>
    <row r="2300" ht="74.25" customHeight="1" x14ac:dyDescent="0.3"/>
    <row r="2301" ht="74.25" customHeight="1" x14ac:dyDescent="0.3"/>
    <row r="2302" ht="74.25" customHeight="1" x14ac:dyDescent="0.3"/>
    <row r="2303" ht="74.25" customHeight="1" x14ac:dyDescent="0.3"/>
    <row r="2304" ht="74.25" customHeight="1" x14ac:dyDescent="0.3"/>
    <row r="2305" ht="74.25" customHeight="1" x14ac:dyDescent="0.3"/>
    <row r="2306" ht="74.25" customHeight="1" x14ac:dyDescent="0.3"/>
    <row r="2307" ht="74.25" customHeight="1" x14ac:dyDescent="0.3"/>
    <row r="2308" ht="74.25" customHeight="1" x14ac:dyDescent="0.3"/>
    <row r="2309" ht="74.25" customHeight="1" x14ac:dyDescent="0.3"/>
    <row r="2310" ht="74.25" customHeight="1" x14ac:dyDescent="0.3"/>
    <row r="2311" ht="74.25" customHeight="1" x14ac:dyDescent="0.3"/>
    <row r="2312" ht="74.25" customHeight="1" x14ac:dyDescent="0.3"/>
    <row r="2313" ht="74.25" customHeight="1" x14ac:dyDescent="0.3"/>
    <row r="2314" ht="74.25" customHeight="1" x14ac:dyDescent="0.3"/>
    <row r="2315" ht="74.25" customHeight="1" x14ac:dyDescent="0.3"/>
    <row r="2316" ht="74.25" customHeight="1" x14ac:dyDescent="0.3"/>
    <row r="2317" ht="74.25" customHeight="1" x14ac:dyDescent="0.3"/>
    <row r="2318" ht="74.25" customHeight="1" x14ac:dyDescent="0.3"/>
    <row r="2319" ht="74.25" customHeight="1" x14ac:dyDescent="0.3"/>
    <row r="2320" ht="74.25" customHeight="1" x14ac:dyDescent="0.3"/>
    <row r="2321" ht="74.25" customHeight="1" x14ac:dyDescent="0.3"/>
    <row r="2322" ht="74.25" customHeight="1" x14ac:dyDescent="0.3"/>
    <row r="2323" ht="74.25" customHeight="1" x14ac:dyDescent="0.3"/>
    <row r="2324" ht="74.25" customHeight="1" x14ac:dyDescent="0.3"/>
    <row r="2325" ht="74.25" customHeight="1" x14ac:dyDescent="0.3"/>
    <row r="2326" ht="74.25" customHeight="1" x14ac:dyDescent="0.3"/>
    <row r="2327" ht="74.25" customHeight="1" x14ac:dyDescent="0.3"/>
    <row r="2328" ht="74.25" customHeight="1" x14ac:dyDescent="0.3"/>
    <row r="2329" ht="74.25" customHeight="1" x14ac:dyDescent="0.3"/>
    <row r="2330" ht="74.25" customHeight="1" x14ac:dyDescent="0.3"/>
    <row r="2331" ht="74.25" customHeight="1" x14ac:dyDescent="0.3"/>
    <row r="2332" ht="74.25" customHeight="1" x14ac:dyDescent="0.3"/>
    <row r="2333" ht="74.25" customHeight="1" x14ac:dyDescent="0.3"/>
    <row r="2334" ht="74.25" customHeight="1" x14ac:dyDescent="0.3"/>
    <row r="2335" ht="74.25" customHeight="1" x14ac:dyDescent="0.3"/>
    <row r="2336" ht="74.25" customHeight="1" x14ac:dyDescent="0.3"/>
    <row r="2337" ht="74.25" customHeight="1" x14ac:dyDescent="0.3"/>
    <row r="2338" ht="74.25" customHeight="1" x14ac:dyDescent="0.3"/>
    <row r="2339" ht="74.25" customHeight="1" x14ac:dyDescent="0.3"/>
    <row r="2340" ht="74.25" customHeight="1" x14ac:dyDescent="0.3"/>
    <row r="2341" ht="74.25" customHeight="1" x14ac:dyDescent="0.3"/>
    <row r="2342" ht="74.25" customHeight="1" x14ac:dyDescent="0.3"/>
    <row r="2343" ht="74.25" customHeight="1" x14ac:dyDescent="0.3"/>
    <row r="2344" ht="74.25" customHeight="1" x14ac:dyDescent="0.3"/>
    <row r="2345" ht="74.25" customHeight="1" x14ac:dyDescent="0.3"/>
    <row r="2346" ht="74.25" customHeight="1" x14ac:dyDescent="0.3"/>
    <row r="2347" ht="74.25" customHeight="1" x14ac:dyDescent="0.3"/>
    <row r="2348" ht="74.25" customHeight="1" x14ac:dyDescent="0.3"/>
    <row r="2349" ht="74.25" customHeight="1" x14ac:dyDescent="0.3"/>
    <row r="2350" ht="74.25" customHeight="1" x14ac:dyDescent="0.3"/>
    <row r="2351" ht="74.25" customHeight="1" x14ac:dyDescent="0.3"/>
    <row r="2352" ht="74.25" customHeight="1" x14ac:dyDescent="0.3"/>
    <row r="2353" ht="74.25" customHeight="1" x14ac:dyDescent="0.3"/>
    <row r="2354" ht="74.25" customHeight="1" x14ac:dyDescent="0.3"/>
    <row r="2355" ht="74.25" customHeight="1" x14ac:dyDescent="0.3"/>
    <row r="2356" ht="74.25" customHeight="1" x14ac:dyDescent="0.3"/>
    <row r="2357" ht="74.25" customHeight="1" x14ac:dyDescent="0.3"/>
    <row r="2358" ht="74.25" customHeight="1" x14ac:dyDescent="0.3"/>
    <row r="2359" ht="74.25" customHeight="1" x14ac:dyDescent="0.3"/>
    <row r="2360" ht="74.25" customHeight="1" x14ac:dyDescent="0.3"/>
    <row r="2361" ht="74.25" customHeight="1" x14ac:dyDescent="0.3"/>
    <row r="2362" ht="74.25" customHeight="1" x14ac:dyDescent="0.3"/>
    <row r="2363" ht="74.25" customHeight="1" x14ac:dyDescent="0.3"/>
    <row r="2364" ht="74.25" customHeight="1" x14ac:dyDescent="0.3"/>
    <row r="2365" ht="74.25" customHeight="1" x14ac:dyDescent="0.3"/>
    <row r="2366" ht="74.25" customHeight="1" x14ac:dyDescent="0.3"/>
    <row r="2367" ht="74.25" customHeight="1" x14ac:dyDescent="0.3"/>
    <row r="2368" ht="74.25" customHeight="1" x14ac:dyDescent="0.3"/>
    <row r="2369" ht="74.25" customHeight="1" x14ac:dyDescent="0.3"/>
    <row r="2370" ht="74.25" customHeight="1" x14ac:dyDescent="0.3"/>
    <row r="2371" ht="74.25" customHeight="1" x14ac:dyDescent="0.3"/>
    <row r="2372" ht="74.25" customHeight="1" x14ac:dyDescent="0.3"/>
    <row r="2373" ht="74.25" customHeight="1" x14ac:dyDescent="0.3"/>
    <row r="2374" ht="74.25" customHeight="1" x14ac:dyDescent="0.3"/>
    <row r="2375" ht="74.25" customHeight="1" x14ac:dyDescent="0.3"/>
    <row r="2376" ht="74.25" customHeight="1" x14ac:dyDescent="0.3"/>
    <row r="2377" ht="74.25" customHeight="1" x14ac:dyDescent="0.3"/>
    <row r="2378" ht="74.25" customHeight="1" x14ac:dyDescent="0.3"/>
    <row r="2379" ht="74.25" customHeight="1" x14ac:dyDescent="0.3"/>
    <row r="2380" ht="74.25" customHeight="1" x14ac:dyDescent="0.3"/>
    <row r="2381" ht="74.25" customHeight="1" x14ac:dyDescent="0.3"/>
    <row r="2382" ht="74.25" customHeight="1" x14ac:dyDescent="0.3"/>
    <row r="2383" ht="74.25" customHeight="1" x14ac:dyDescent="0.3"/>
    <row r="2384" ht="74.25" customHeight="1" x14ac:dyDescent="0.3"/>
    <row r="2385" ht="74.25" customHeight="1" x14ac:dyDescent="0.3"/>
    <row r="2386" ht="74.25" customHeight="1" x14ac:dyDescent="0.3"/>
    <row r="2387" ht="74.25" customHeight="1" x14ac:dyDescent="0.3"/>
    <row r="2388" ht="74.25" customHeight="1" x14ac:dyDescent="0.3"/>
    <row r="2389" ht="74.25" customHeight="1" x14ac:dyDescent="0.3"/>
    <row r="2390" ht="74.25" customHeight="1" x14ac:dyDescent="0.3"/>
    <row r="2391" ht="74.25" customHeight="1" x14ac:dyDescent="0.3"/>
    <row r="2392" ht="74.25" customHeight="1" x14ac:dyDescent="0.3"/>
    <row r="2393" ht="74.25" customHeight="1" x14ac:dyDescent="0.3"/>
    <row r="2394" ht="74.25" customHeight="1" x14ac:dyDescent="0.3"/>
    <row r="2395" ht="74.25" customHeight="1" x14ac:dyDescent="0.3"/>
    <row r="2396" ht="74.25" customHeight="1" x14ac:dyDescent="0.3"/>
    <row r="2397" ht="74.25" customHeight="1" x14ac:dyDescent="0.3"/>
    <row r="2398" ht="74.25" customHeight="1" x14ac:dyDescent="0.3"/>
    <row r="2399" ht="74.25" customHeight="1" x14ac:dyDescent="0.3"/>
    <row r="2400" ht="74.25" customHeight="1" x14ac:dyDescent="0.3"/>
    <row r="2401" ht="74.25" customHeight="1" x14ac:dyDescent="0.3"/>
    <row r="2402" ht="74.25" customHeight="1" x14ac:dyDescent="0.3"/>
    <row r="2403" ht="74.25" customHeight="1" x14ac:dyDescent="0.3"/>
    <row r="2404" ht="74.25" customHeight="1" x14ac:dyDescent="0.3"/>
    <row r="2405" ht="74.25" customHeight="1" x14ac:dyDescent="0.3"/>
    <row r="2406" ht="74.25" customHeight="1" x14ac:dyDescent="0.3"/>
    <row r="2407" ht="74.25" customHeight="1" x14ac:dyDescent="0.3"/>
    <row r="2408" ht="74.25" customHeight="1" x14ac:dyDescent="0.3"/>
    <row r="2409" ht="74.25" customHeight="1" x14ac:dyDescent="0.3"/>
    <row r="2410" ht="74.25" customHeight="1" x14ac:dyDescent="0.3"/>
    <row r="2411" ht="74.25" customHeight="1" x14ac:dyDescent="0.3"/>
    <row r="2412" ht="74.25" customHeight="1" x14ac:dyDescent="0.3"/>
    <row r="2413" ht="74.25" customHeight="1" x14ac:dyDescent="0.3"/>
    <row r="2414" ht="74.25" customHeight="1" x14ac:dyDescent="0.3"/>
    <row r="2415" ht="74.25" customHeight="1" x14ac:dyDescent="0.3"/>
    <row r="2416" ht="74.25" customHeight="1" x14ac:dyDescent="0.3"/>
    <row r="2417" ht="74.25" customHeight="1" x14ac:dyDescent="0.3"/>
    <row r="2418" ht="74.25" customHeight="1" x14ac:dyDescent="0.3"/>
    <row r="2419" ht="74.25" customHeight="1" x14ac:dyDescent="0.3"/>
    <row r="2420" ht="74.25" customHeight="1" x14ac:dyDescent="0.3"/>
    <row r="2421" ht="74.25" customHeight="1" x14ac:dyDescent="0.3"/>
    <row r="2422" ht="74.25" customHeight="1" x14ac:dyDescent="0.3"/>
    <row r="2423" ht="74.25" customHeight="1" x14ac:dyDescent="0.3"/>
    <row r="2424" ht="74.25" customHeight="1" x14ac:dyDescent="0.3"/>
    <row r="2425" ht="74.25" customHeight="1" x14ac:dyDescent="0.3"/>
    <row r="2426" ht="74.25" customHeight="1" x14ac:dyDescent="0.3"/>
    <row r="2427" ht="74.25" customHeight="1" x14ac:dyDescent="0.3"/>
    <row r="2428" ht="74.25" customHeight="1" x14ac:dyDescent="0.3"/>
    <row r="2429" ht="74.25" customHeight="1" x14ac:dyDescent="0.3"/>
    <row r="2430" ht="74.25" customHeight="1" x14ac:dyDescent="0.3"/>
    <row r="2431" ht="74.25" customHeight="1" x14ac:dyDescent="0.3"/>
    <row r="2432" ht="74.25" customHeight="1" x14ac:dyDescent="0.3"/>
    <row r="2433" ht="74.25" customHeight="1" x14ac:dyDescent="0.3"/>
    <row r="2434" ht="74.25" customHeight="1" x14ac:dyDescent="0.3"/>
    <row r="2435" ht="74.25" customHeight="1" x14ac:dyDescent="0.3"/>
    <row r="2436" ht="74.25" customHeight="1" x14ac:dyDescent="0.3"/>
    <row r="2437" ht="74.25" customHeight="1" x14ac:dyDescent="0.3"/>
    <row r="2438" ht="74.25" customHeight="1" x14ac:dyDescent="0.3"/>
    <row r="2439" ht="74.25" customHeight="1" x14ac:dyDescent="0.3"/>
    <row r="2440" ht="74.25" customHeight="1" x14ac:dyDescent="0.3"/>
    <row r="2441" ht="74.25" customHeight="1" x14ac:dyDescent="0.3"/>
    <row r="2442" ht="74.25" customHeight="1" x14ac:dyDescent="0.3"/>
    <row r="2443" ht="74.25" customHeight="1" x14ac:dyDescent="0.3"/>
    <row r="2444" ht="74.25" customHeight="1" x14ac:dyDescent="0.3"/>
    <row r="2445" ht="74.25" customHeight="1" x14ac:dyDescent="0.3"/>
    <row r="2446" ht="74.25" customHeight="1" x14ac:dyDescent="0.3"/>
    <row r="2447" ht="74.25" customHeight="1" x14ac:dyDescent="0.3"/>
    <row r="2448" ht="74.25" customHeight="1" x14ac:dyDescent="0.3"/>
    <row r="2449" ht="74.25" customHeight="1" x14ac:dyDescent="0.3"/>
    <row r="2450" ht="74.25" customHeight="1" x14ac:dyDescent="0.3"/>
    <row r="2451" ht="74.25" customHeight="1" x14ac:dyDescent="0.3"/>
    <row r="2452" ht="74.25" customHeight="1" x14ac:dyDescent="0.3"/>
    <row r="2453" ht="74.25" customHeight="1" x14ac:dyDescent="0.3"/>
    <row r="2454" ht="74.25" customHeight="1" x14ac:dyDescent="0.3"/>
    <row r="2455" ht="74.25" customHeight="1" x14ac:dyDescent="0.3"/>
    <row r="2456" ht="74.25" customHeight="1" x14ac:dyDescent="0.3"/>
    <row r="2457" ht="74.25" customHeight="1" x14ac:dyDescent="0.3"/>
    <row r="2458" ht="74.25" customHeight="1" x14ac:dyDescent="0.3"/>
    <row r="2459" ht="74.25" customHeight="1" x14ac:dyDescent="0.3"/>
    <row r="2460" ht="74.25" customHeight="1" x14ac:dyDescent="0.3"/>
    <row r="2461" ht="74.25" customHeight="1" x14ac:dyDescent="0.3"/>
    <row r="2462" ht="74.25" customHeight="1" x14ac:dyDescent="0.3"/>
    <row r="2463" ht="74.25" customHeight="1" x14ac:dyDescent="0.3"/>
    <row r="2464" ht="74.25" customHeight="1" x14ac:dyDescent="0.3"/>
    <row r="2465" ht="74.25" customHeight="1" x14ac:dyDescent="0.3"/>
    <row r="2466" ht="74.25" customHeight="1" x14ac:dyDescent="0.3"/>
    <row r="2467" ht="74.25" customHeight="1" x14ac:dyDescent="0.3"/>
    <row r="2468" ht="74.25" customHeight="1" x14ac:dyDescent="0.3"/>
    <row r="2469" ht="74.25" customHeight="1" x14ac:dyDescent="0.3"/>
    <row r="2470" ht="74.25" customHeight="1" x14ac:dyDescent="0.3"/>
    <row r="2471" ht="74.25" customHeight="1" x14ac:dyDescent="0.3"/>
    <row r="2472" ht="74.25" customHeight="1" x14ac:dyDescent="0.3"/>
    <row r="2473" ht="74.25" customHeight="1" x14ac:dyDescent="0.3"/>
    <row r="2474" ht="74.25" customHeight="1" x14ac:dyDescent="0.3"/>
    <row r="2475" ht="74.25" customHeight="1" x14ac:dyDescent="0.3"/>
    <row r="2476" ht="74.25" customHeight="1" x14ac:dyDescent="0.3"/>
    <row r="2477" ht="74.25" customHeight="1" x14ac:dyDescent="0.3"/>
    <row r="2478" ht="74.25" customHeight="1" x14ac:dyDescent="0.3"/>
    <row r="2479" ht="74.25" customHeight="1" x14ac:dyDescent="0.3"/>
    <row r="2480" ht="74.25" customHeight="1" x14ac:dyDescent="0.3"/>
    <row r="2481" ht="74.25" customHeight="1" x14ac:dyDescent="0.3"/>
    <row r="2482" ht="74.25" customHeight="1" x14ac:dyDescent="0.3"/>
    <row r="2483" ht="74.25" customHeight="1" x14ac:dyDescent="0.3"/>
    <row r="2484" ht="74.25" customHeight="1" x14ac:dyDescent="0.3"/>
    <row r="2485" ht="74.25" customHeight="1" x14ac:dyDescent="0.3"/>
    <row r="2486" ht="74.25" customHeight="1" x14ac:dyDescent="0.3"/>
    <row r="2487" ht="74.25" customHeight="1" x14ac:dyDescent="0.3"/>
    <row r="2488" ht="74.25" customHeight="1" x14ac:dyDescent="0.3"/>
    <row r="2489" ht="74.25" customHeight="1" x14ac:dyDescent="0.3"/>
    <row r="2490" ht="74.25" customHeight="1" x14ac:dyDescent="0.3"/>
    <row r="2491" ht="74.25" customHeight="1" x14ac:dyDescent="0.3"/>
    <row r="2492" ht="74.25" customHeight="1" x14ac:dyDescent="0.3"/>
    <row r="2493" ht="74.25" customHeight="1" x14ac:dyDescent="0.3"/>
    <row r="2494" ht="74.25" customHeight="1" x14ac:dyDescent="0.3"/>
    <row r="2495" ht="74.25" customHeight="1" x14ac:dyDescent="0.3"/>
    <row r="2496" ht="74.25" customHeight="1" x14ac:dyDescent="0.3"/>
    <row r="2497" ht="74.25" customHeight="1" x14ac:dyDescent="0.3"/>
    <row r="2498" ht="74.25" customHeight="1" x14ac:dyDescent="0.3"/>
    <row r="2499" ht="74.25" customHeight="1" x14ac:dyDescent="0.3"/>
    <row r="2500" ht="74.25" customHeight="1" x14ac:dyDescent="0.3"/>
    <row r="2501" ht="74.25" customHeight="1" x14ac:dyDescent="0.3"/>
    <row r="2502" ht="74.25" customHeight="1" x14ac:dyDescent="0.3"/>
    <row r="2503" ht="74.25" customHeight="1" x14ac:dyDescent="0.3"/>
    <row r="2504" ht="74.25" customHeight="1" x14ac:dyDescent="0.3"/>
    <row r="2505" ht="74.25" customHeight="1" x14ac:dyDescent="0.3"/>
    <row r="2506" ht="74.25" customHeight="1" x14ac:dyDescent="0.3"/>
    <row r="2507" ht="74.25" customHeight="1" x14ac:dyDescent="0.3"/>
    <row r="2508" ht="74.25" customHeight="1" x14ac:dyDescent="0.3"/>
    <row r="2509" ht="74.25" customHeight="1" x14ac:dyDescent="0.3"/>
    <row r="2510" ht="74.25" customHeight="1" x14ac:dyDescent="0.3"/>
    <row r="2511" ht="74.25" customHeight="1" x14ac:dyDescent="0.3"/>
    <row r="2512" ht="74.25" customHeight="1" x14ac:dyDescent="0.3"/>
    <row r="2513" ht="74.25" customHeight="1" x14ac:dyDescent="0.3"/>
    <row r="2514" ht="74.25" customHeight="1" x14ac:dyDescent="0.3"/>
    <row r="2515" ht="74.25" customHeight="1" x14ac:dyDescent="0.3"/>
    <row r="2516" ht="74.25" customHeight="1" x14ac:dyDescent="0.3"/>
    <row r="2517" ht="74.25" customHeight="1" x14ac:dyDescent="0.3"/>
    <row r="2518" ht="74.25" customHeight="1" x14ac:dyDescent="0.3"/>
    <row r="2519" ht="74.25" customHeight="1" x14ac:dyDescent="0.3"/>
    <row r="2520" ht="74.25" customHeight="1" x14ac:dyDescent="0.3"/>
    <row r="2521" ht="74.25" customHeight="1" x14ac:dyDescent="0.3"/>
    <row r="2522" ht="74.25" customHeight="1" x14ac:dyDescent="0.3"/>
    <row r="2523" ht="74.25" customHeight="1" x14ac:dyDescent="0.3"/>
    <row r="2524" ht="74.25" customHeight="1" x14ac:dyDescent="0.3"/>
    <row r="2525" ht="74.25" customHeight="1" x14ac:dyDescent="0.3"/>
    <row r="2526" ht="74.25" customHeight="1" x14ac:dyDescent="0.3"/>
    <row r="2527" ht="74.25" customHeight="1" x14ac:dyDescent="0.3"/>
    <row r="2528" ht="74.25" customHeight="1" x14ac:dyDescent="0.3"/>
    <row r="2529" ht="74.25" customHeight="1" x14ac:dyDescent="0.3"/>
    <row r="2530" ht="74.25" customHeight="1" x14ac:dyDescent="0.3"/>
    <row r="2531" ht="74.25" customHeight="1" x14ac:dyDescent="0.3"/>
    <row r="2532" ht="74.25" customHeight="1" x14ac:dyDescent="0.3"/>
    <row r="2533" ht="74.25" customHeight="1" x14ac:dyDescent="0.3"/>
    <row r="2534" ht="74.25" customHeight="1" x14ac:dyDescent="0.3"/>
    <row r="2535" ht="74.25" customHeight="1" x14ac:dyDescent="0.3"/>
    <row r="2536" ht="74.25" customHeight="1" x14ac:dyDescent="0.3"/>
    <row r="2537" ht="74.25" customHeight="1" x14ac:dyDescent="0.3"/>
    <row r="2538" ht="74.25" customHeight="1" x14ac:dyDescent="0.3"/>
    <row r="2539" ht="74.25" customHeight="1" x14ac:dyDescent="0.3"/>
    <row r="2540" ht="74.25" customHeight="1" x14ac:dyDescent="0.3"/>
    <row r="2541" ht="74.25" customHeight="1" x14ac:dyDescent="0.3"/>
    <row r="2542" ht="74.25" customHeight="1" x14ac:dyDescent="0.3"/>
    <row r="2543" ht="74.25" customHeight="1" x14ac:dyDescent="0.3"/>
    <row r="2544" ht="74.25" customHeight="1" x14ac:dyDescent="0.3"/>
    <row r="2545" ht="74.25" customHeight="1" x14ac:dyDescent="0.3"/>
    <row r="2546" ht="74.25" customHeight="1" x14ac:dyDescent="0.3"/>
    <row r="2547" ht="74.25" customHeight="1" x14ac:dyDescent="0.3"/>
    <row r="2548" ht="74.25" customHeight="1" x14ac:dyDescent="0.3"/>
    <row r="2549" ht="74.25" customHeight="1" x14ac:dyDescent="0.3"/>
    <row r="2550" ht="74.25" customHeight="1" x14ac:dyDescent="0.3"/>
    <row r="2551" ht="74.25" customHeight="1" x14ac:dyDescent="0.3"/>
    <row r="2552" ht="74.25" customHeight="1" x14ac:dyDescent="0.3"/>
    <row r="2553" ht="74.25" customHeight="1" x14ac:dyDescent="0.3"/>
    <row r="2554" ht="74.25" customHeight="1" x14ac:dyDescent="0.3"/>
    <row r="2555" ht="74.25" customHeight="1" x14ac:dyDescent="0.3"/>
    <row r="2556" ht="74.25" customHeight="1" x14ac:dyDescent="0.3"/>
    <row r="2557" ht="74.25" customHeight="1" x14ac:dyDescent="0.3"/>
    <row r="2558" ht="74.25" customHeight="1" x14ac:dyDescent="0.3"/>
    <row r="2559" ht="74.25" customHeight="1" x14ac:dyDescent="0.3"/>
    <row r="2560" ht="74.25" customHeight="1" x14ac:dyDescent="0.3"/>
    <row r="2561" ht="74.25" customHeight="1" x14ac:dyDescent="0.3"/>
    <row r="2562" ht="74.25" customHeight="1" x14ac:dyDescent="0.3"/>
    <row r="2563" ht="74.25" customHeight="1" x14ac:dyDescent="0.3"/>
    <row r="2564" ht="74.25" customHeight="1" x14ac:dyDescent="0.3"/>
    <row r="2565" ht="74.25" customHeight="1" x14ac:dyDescent="0.3"/>
    <row r="2566" ht="74.25" customHeight="1" x14ac:dyDescent="0.3"/>
    <row r="2567" ht="74.25" customHeight="1" x14ac:dyDescent="0.3"/>
    <row r="2568" ht="74.25" customHeight="1" x14ac:dyDescent="0.3"/>
    <row r="2569" ht="74.25" customHeight="1" x14ac:dyDescent="0.3"/>
    <row r="2570" ht="74.25" customHeight="1" x14ac:dyDescent="0.3"/>
    <row r="2571" ht="74.25" customHeight="1" x14ac:dyDescent="0.3"/>
    <row r="2572" ht="74.25" customHeight="1" x14ac:dyDescent="0.3"/>
    <row r="2573" ht="74.25" customHeight="1" x14ac:dyDescent="0.3"/>
    <row r="2574" ht="74.25" customHeight="1" x14ac:dyDescent="0.3"/>
    <row r="2575" ht="74.25" customHeight="1" x14ac:dyDescent="0.3"/>
    <row r="2576" ht="74.25" customHeight="1" x14ac:dyDescent="0.3"/>
    <row r="2577" ht="74.25" customHeight="1" x14ac:dyDescent="0.3"/>
    <row r="2578" ht="74.25" customHeight="1" x14ac:dyDescent="0.3"/>
    <row r="2579" ht="74.25" customHeight="1" x14ac:dyDescent="0.3"/>
    <row r="2580" ht="74.25" customHeight="1" x14ac:dyDescent="0.3"/>
    <row r="2581" ht="74.25" customHeight="1" x14ac:dyDescent="0.3"/>
    <row r="2582" ht="74.25" customHeight="1" x14ac:dyDescent="0.3"/>
    <row r="2583" ht="74.25" customHeight="1" x14ac:dyDescent="0.3"/>
    <row r="2584" ht="74.25" customHeight="1" x14ac:dyDescent="0.3"/>
    <row r="2585" ht="74.25" customHeight="1" x14ac:dyDescent="0.3"/>
    <row r="2586" ht="74.25" customHeight="1" x14ac:dyDescent="0.3"/>
    <row r="2587" ht="74.25" customHeight="1" x14ac:dyDescent="0.3"/>
    <row r="2588" ht="74.25" customHeight="1" x14ac:dyDescent="0.3"/>
    <row r="2589" ht="74.25" customHeight="1" x14ac:dyDescent="0.3"/>
    <row r="2590" ht="74.25" customHeight="1" x14ac:dyDescent="0.3"/>
    <row r="2591" ht="74.25" customHeight="1" x14ac:dyDescent="0.3"/>
    <row r="2592" ht="74.25" customHeight="1" x14ac:dyDescent="0.3"/>
    <row r="2593" ht="74.25" customHeight="1" x14ac:dyDescent="0.3"/>
    <row r="2594" ht="74.25" customHeight="1" x14ac:dyDescent="0.3"/>
    <row r="2595" ht="74.25" customHeight="1" x14ac:dyDescent="0.3"/>
    <row r="2596" ht="74.25" customHeight="1" x14ac:dyDescent="0.3"/>
    <row r="2597" ht="74.25" customHeight="1" x14ac:dyDescent="0.3"/>
    <row r="2598" ht="74.25" customHeight="1" x14ac:dyDescent="0.3"/>
    <row r="2599" ht="74.25" customHeight="1" x14ac:dyDescent="0.3"/>
    <row r="2600" ht="74.25" customHeight="1" x14ac:dyDescent="0.3"/>
    <row r="2601" ht="74.25" customHeight="1" x14ac:dyDescent="0.3"/>
    <row r="2602" ht="74.25" customHeight="1" x14ac:dyDescent="0.3"/>
    <row r="2603" ht="74.25" customHeight="1" x14ac:dyDescent="0.3"/>
    <row r="2604" ht="74.25" customHeight="1" x14ac:dyDescent="0.3"/>
    <row r="2605" ht="74.25" customHeight="1" x14ac:dyDescent="0.3"/>
    <row r="2606" ht="74.25" customHeight="1" x14ac:dyDescent="0.3"/>
    <row r="2607" ht="74.25" customHeight="1" x14ac:dyDescent="0.3"/>
    <row r="2608" ht="74.25" customHeight="1" x14ac:dyDescent="0.3"/>
    <row r="2609" ht="74.25" customHeight="1" x14ac:dyDescent="0.3"/>
    <row r="2610" ht="74.25" customHeight="1" x14ac:dyDescent="0.3"/>
    <row r="2611" ht="74.25" customHeight="1" x14ac:dyDescent="0.3"/>
    <row r="2612" ht="74.25" customHeight="1" x14ac:dyDescent="0.3"/>
    <row r="2613" ht="74.25" customHeight="1" x14ac:dyDescent="0.3"/>
    <row r="2614" ht="74.25" customHeight="1" x14ac:dyDescent="0.3"/>
    <row r="2615" ht="74.25" customHeight="1" x14ac:dyDescent="0.3"/>
    <row r="2616" ht="74.25" customHeight="1" x14ac:dyDescent="0.3"/>
    <row r="2617" ht="74.25" customHeight="1" x14ac:dyDescent="0.3"/>
    <row r="2618" ht="74.25" customHeight="1" x14ac:dyDescent="0.3"/>
    <row r="2619" ht="74.25" customHeight="1" x14ac:dyDescent="0.3"/>
    <row r="2620" ht="74.25" customHeight="1" x14ac:dyDescent="0.3"/>
    <row r="2621" ht="74.25" customHeight="1" x14ac:dyDescent="0.3"/>
    <row r="2622" ht="74.25" customHeight="1" x14ac:dyDescent="0.3"/>
    <row r="2623" ht="74.25" customHeight="1" x14ac:dyDescent="0.3"/>
    <row r="2624" ht="74.25" customHeight="1" x14ac:dyDescent="0.3"/>
    <row r="2625" ht="74.25" customHeight="1" x14ac:dyDescent="0.3"/>
    <row r="2626" ht="74.25" customHeight="1" x14ac:dyDescent="0.3"/>
    <row r="2627" ht="74.25" customHeight="1" x14ac:dyDescent="0.3"/>
    <row r="2628" ht="74.25" customHeight="1" x14ac:dyDescent="0.3"/>
    <row r="2629" ht="74.25" customHeight="1" x14ac:dyDescent="0.3"/>
    <row r="2630" ht="74.25" customHeight="1" x14ac:dyDescent="0.3"/>
    <row r="2631" ht="74.25" customHeight="1" x14ac:dyDescent="0.3"/>
    <row r="2632" ht="74.25" customHeight="1" x14ac:dyDescent="0.3"/>
    <row r="2633" ht="74.25" customHeight="1" x14ac:dyDescent="0.3"/>
    <row r="2634" ht="74.25" customHeight="1" x14ac:dyDescent="0.3"/>
    <row r="2635" ht="74.25" customHeight="1" x14ac:dyDescent="0.3"/>
    <row r="2636" ht="74.25" customHeight="1" x14ac:dyDescent="0.3"/>
    <row r="2637" ht="74.25" customHeight="1" x14ac:dyDescent="0.3"/>
    <row r="2638" ht="74.25" customHeight="1" x14ac:dyDescent="0.3"/>
    <row r="2639" ht="74.25" customHeight="1" x14ac:dyDescent="0.3"/>
    <row r="2640" ht="74.25" customHeight="1" x14ac:dyDescent="0.3"/>
    <row r="2641" ht="74.25" customHeight="1" x14ac:dyDescent="0.3"/>
    <row r="2642" ht="74.25" customHeight="1" x14ac:dyDescent="0.3"/>
    <row r="2643" ht="74.25" customHeight="1" x14ac:dyDescent="0.3"/>
    <row r="2644" ht="74.25" customHeight="1" x14ac:dyDescent="0.3"/>
    <row r="2645" ht="74.25" customHeight="1" x14ac:dyDescent="0.3"/>
    <row r="2646" ht="74.25" customHeight="1" x14ac:dyDescent="0.3"/>
    <row r="2647" ht="74.25" customHeight="1" x14ac:dyDescent="0.3"/>
    <row r="2648" ht="74.25" customHeight="1" x14ac:dyDescent="0.3"/>
    <row r="2649" ht="74.25" customHeight="1" x14ac:dyDescent="0.3"/>
    <row r="2650" ht="74.25" customHeight="1" x14ac:dyDescent="0.3"/>
    <row r="2651" ht="74.25" customHeight="1" x14ac:dyDescent="0.3"/>
    <row r="2652" ht="74.25" customHeight="1" x14ac:dyDescent="0.3"/>
    <row r="2653" ht="74.25" customHeight="1" x14ac:dyDescent="0.3"/>
    <row r="2654" ht="74.25" customHeight="1" x14ac:dyDescent="0.3"/>
    <row r="2655" ht="74.25" customHeight="1" x14ac:dyDescent="0.3"/>
    <row r="2656" ht="74.25" customHeight="1" x14ac:dyDescent="0.3"/>
    <row r="2657" ht="74.25" customHeight="1" x14ac:dyDescent="0.3"/>
    <row r="2658" ht="74.25" customHeight="1" x14ac:dyDescent="0.3"/>
    <row r="2659" ht="74.25" customHeight="1" x14ac:dyDescent="0.3"/>
    <row r="2660" ht="74.25" customHeight="1" x14ac:dyDescent="0.3"/>
    <row r="2661" ht="74.25" customHeight="1" x14ac:dyDescent="0.3"/>
    <row r="2662" ht="74.25" customHeight="1" x14ac:dyDescent="0.3"/>
    <row r="2663" ht="74.25" customHeight="1" x14ac:dyDescent="0.3"/>
    <row r="2664" ht="74.25" customHeight="1" x14ac:dyDescent="0.3"/>
    <row r="2665" ht="74.25" customHeight="1" x14ac:dyDescent="0.3"/>
    <row r="2666" ht="74.25" customHeight="1" x14ac:dyDescent="0.3"/>
    <row r="2667" ht="74.25" customHeight="1" x14ac:dyDescent="0.3"/>
    <row r="2668" ht="74.25" customHeight="1" x14ac:dyDescent="0.3"/>
    <row r="2669" ht="74.25" customHeight="1" x14ac:dyDescent="0.3"/>
    <row r="2670" ht="74.25" customHeight="1" x14ac:dyDescent="0.3"/>
    <row r="2671" ht="74.25" customHeight="1" x14ac:dyDescent="0.3"/>
    <row r="2672" ht="74.25" customHeight="1" x14ac:dyDescent="0.3"/>
    <row r="2673" ht="74.25" customHeight="1" x14ac:dyDescent="0.3"/>
    <row r="2674" ht="74.25" customHeight="1" x14ac:dyDescent="0.3"/>
    <row r="2675" ht="74.25" customHeight="1" x14ac:dyDescent="0.3"/>
    <row r="2676" ht="74.25" customHeight="1" x14ac:dyDescent="0.3"/>
    <row r="2677" ht="74.25" customHeight="1" x14ac:dyDescent="0.3"/>
    <row r="2678" ht="74.25" customHeight="1" x14ac:dyDescent="0.3"/>
    <row r="2679" ht="74.25" customHeight="1" x14ac:dyDescent="0.3"/>
    <row r="2680" ht="74.25" customHeight="1" x14ac:dyDescent="0.3"/>
    <row r="2681" ht="74.25" customHeight="1" x14ac:dyDescent="0.3"/>
    <row r="2682" ht="74.25" customHeight="1" x14ac:dyDescent="0.3"/>
    <row r="2683" ht="74.25" customHeight="1" x14ac:dyDescent="0.3"/>
    <row r="2684" ht="74.25" customHeight="1" x14ac:dyDescent="0.3"/>
    <row r="2685" ht="74.25" customHeight="1" x14ac:dyDescent="0.3"/>
    <row r="2686" ht="74.25" customHeight="1" x14ac:dyDescent="0.3"/>
    <row r="2687" ht="74.25" customHeight="1" x14ac:dyDescent="0.3"/>
    <row r="2688" ht="74.25" customHeight="1" x14ac:dyDescent="0.3"/>
    <row r="2689" ht="74.25" customHeight="1" x14ac:dyDescent="0.3"/>
    <row r="2690" ht="74.25" customHeight="1" x14ac:dyDescent="0.3"/>
    <row r="2691" ht="74.25" customHeight="1" x14ac:dyDescent="0.3"/>
    <row r="2692" ht="74.25" customHeight="1" x14ac:dyDescent="0.3"/>
    <row r="2693" ht="74.25" customHeight="1" x14ac:dyDescent="0.3"/>
    <row r="2694" ht="74.25" customHeight="1" x14ac:dyDescent="0.3"/>
    <row r="2695" ht="74.25" customHeight="1" x14ac:dyDescent="0.3"/>
    <row r="2696" ht="74.25" customHeight="1" x14ac:dyDescent="0.3"/>
    <row r="2697" ht="74.25" customHeight="1" x14ac:dyDescent="0.3"/>
    <row r="2698" ht="74.25" customHeight="1" x14ac:dyDescent="0.3"/>
    <row r="2699" ht="74.25" customHeight="1" x14ac:dyDescent="0.3"/>
    <row r="2700" ht="74.25" customHeight="1" x14ac:dyDescent="0.3"/>
    <row r="2701" ht="74.25" customHeight="1" x14ac:dyDescent="0.3"/>
    <row r="2702" ht="74.25" customHeight="1" x14ac:dyDescent="0.3"/>
    <row r="2703" ht="74.25" customHeight="1" x14ac:dyDescent="0.3"/>
    <row r="2704" ht="74.25" customHeight="1" x14ac:dyDescent="0.3"/>
    <row r="2705" ht="74.25" customHeight="1" x14ac:dyDescent="0.3"/>
    <row r="2706" ht="74.25" customHeight="1" x14ac:dyDescent="0.3"/>
    <row r="2707" ht="74.25" customHeight="1" x14ac:dyDescent="0.3"/>
    <row r="2708" ht="74.25" customHeight="1" x14ac:dyDescent="0.3"/>
    <row r="2709" ht="74.25" customHeight="1" x14ac:dyDescent="0.3"/>
    <row r="2710" ht="74.25" customHeight="1" x14ac:dyDescent="0.3"/>
    <row r="2711" ht="74.25" customHeight="1" x14ac:dyDescent="0.3"/>
    <row r="2712" ht="74.25" customHeight="1" x14ac:dyDescent="0.3"/>
    <row r="2713" ht="74.25" customHeight="1" x14ac:dyDescent="0.3"/>
    <row r="2714" ht="74.25" customHeight="1" x14ac:dyDescent="0.3"/>
    <row r="2715" ht="74.25" customHeight="1" x14ac:dyDescent="0.3"/>
    <row r="2716" ht="74.25" customHeight="1" x14ac:dyDescent="0.3"/>
    <row r="2717" ht="74.25" customHeight="1" x14ac:dyDescent="0.3"/>
    <row r="2718" ht="74.25" customHeight="1" x14ac:dyDescent="0.3"/>
    <row r="2719" ht="74.25" customHeight="1" x14ac:dyDescent="0.3"/>
    <row r="2720" ht="74.25" customHeight="1" x14ac:dyDescent="0.3"/>
    <row r="2721" ht="74.25" customHeight="1" x14ac:dyDescent="0.3"/>
    <row r="2722" ht="74.25" customHeight="1" x14ac:dyDescent="0.3"/>
    <row r="2723" ht="74.25" customHeight="1" x14ac:dyDescent="0.3"/>
    <row r="2724" ht="74.25" customHeight="1" x14ac:dyDescent="0.3"/>
    <row r="2725" ht="74.25" customHeight="1" x14ac:dyDescent="0.3"/>
    <row r="2726" ht="74.25" customHeight="1" x14ac:dyDescent="0.3"/>
    <row r="2727" ht="74.25" customHeight="1" x14ac:dyDescent="0.3"/>
    <row r="2728" ht="74.25" customHeight="1" x14ac:dyDescent="0.3"/>
    <row r="2729" ht="74.25" customHeight="1" x14ac:dyDescent="0.3"/>
    <row r="2730" ht="74.25" customHeight="1" x14ac:dyDescent="0.3"/>
    <row r="2731" ht="74.25" customHeight="1" x14ac:dyDescent="0.3"/>
    <row r="2732" ht="74.25" customHeight="1" x14ac:dyDescent="0.3"/>
    <row r="2733" ht="74.25" customHeight="1" x14ac:dyDescent="0.3"/>
    <row r="2734" ht="74.25" customHeight="1" x14ac:dyDescent="0.3"/>
    <row r="2735" ht="74.25" customHeight="1" x14ac:dyDescent="0.3"/>
    <row r="2736" ht="74.25" customHeight="1" x14ac:dyDescent="0.3"/>
    <row r="2737" ht="74.25" customHeight="1" x14ac:dyDescent="0.3"/>
    <row r="2738" ht="74.25" customHeight="1" x14ac:dyDescent="0.3"/>
    <row r="2739" ht="74.25" customHeight="1" x14ac:dyDescent="0.3"/>
    <row r="2740" ht="74.25" customHeight="1" x14ac:dyDescent="0.3"/>
    <row r="2741" ht="74.25" customHeight="1" x14ac:dyDescent="0.3"/>
    <row r="2742" ht="74.25" customHeight="1" x14ac:dyDescent="0.3"/>
    <row r="2743" ht="74.25" customHeight="1" x14ac:dyDescent="0.3"/>
    <row r="2744" ht="74.25" customHeight="1" x14ac:dyDescent="0.3"/>
    <row r="2745" ht="74.25" customHeight="1" x14ac:dyDescent="0.3"/>
    <row r="2746" ht="74.25" customHeight="1" x14ac:dyDescent="0.3"/>
    <row r="2747" ht="74.25" customHeight="1" x14ac:dyDescent="0.3"/>
    <row r="2748" ht="74.25" customHeight="1" x14ac:dyDescent="0.3"/>
    <row r="2749" ht="74.25" customHeight="1" x14ac:dyDescent="0.3"/>
    <row r="2750" ht="74.25" customHeight="1" x14ac:dyDescent="0.3"/>
    <row r="2751" ht="74.25" customHeight="1" x14ac:dyDescent="0.3"/>
    <row r="2752" ht="74.25" customHeight="1" x14ac:dyDescent="0.3"/>
    <row r="2753" ht="74.25" customHeight="1" x14ac:dyDescent="0.3"/>
    <row r="2754" ht="74.25" customHeight="1" x14ac:dyDescent="0.3"/>
    <row r="2755" ht="74.25" customHeight="1" x14ac:dyDescent="0.3"/>
    <row r="2756" ht="74.25" customHeight="1" x14ac:dyDescent="0.3"/>
    <row r="2757" ht="74.25" customHeight="1" x14ac:dyDescent="0.3"/>
    <row r="2758" ht="74.25" customHeight="1" x14ac:dyDescent="0.3"/>
    <row r="2759" ht="74.25" customHeight="1" x14ac:dyDescent="0.3"/>
    <row r="2760" ht="74.25" customHeight="1" x14ac:dyDescent="0.3"/>
    <row r="2761" ht="74.25" customHeight="1" x14ac:dyDescent="0.3"/>
    <row r="2762" ht="74.25" customHeight="1" x14ac:dyDescent="0.3"/>
    <row r="2763" ht="74.25" customHeight="1" x14ac:dyDescent="0.3"/>
    <row r="2764" ht="74.25" customHeight="1" x14ac:dyDescent="0.3"/>
    <row r="2765" ht="74.25" customHeight="1" x14ac:dyDescent="0.3"/>
    <row r="2766" ht="74.25" customHeight="1" x14ac:dyDescent="0.3"/>
    <row r="2767" ht="74.25" customHeight="1" x14ac:dyDescent="0.3"/>
    <row r="2768" ht="74.25" customHeight="1" x14ac:dyDescent="0.3"/>
    <row r="2769" ht="74.25" customHeight="1" x14ac:dyDescent="0.3"/>
    <row r="2770" ht="74.25" customHeight="1" x14ac:dyDescent="0.3"/>
    <row r="2771" ht="74.25" customHeight="1" x14ac:dyDescent="0.3"/>
    <row r="2772" ht="74.25" customHeight="1" x14ac:dyDescent="0.3"/>
    <row r="2773" ht="74.25" customHeight="1" x14ac:dyDescent="0.3"/>
    <row r="2774" ht="74.25" customHeight="1" x14ac:dyDescent="0.3"/>
    <row r="2775" ht="74.25" customHeight="1" x14ac:dyDescent="0.3"/>
    <row r="2776" ht="74.25" customHeight="1" x14ac:dyDescent="0.3"/>
    <row r="2777" ht="74.25" customHeight="1" x14ac:dyDescent="0.3"/>
    <row r="2778" ht="74.25" customHeight="1" x14ac:dyDescent="0.3"/>
    <row r="2779" ht="74.25" customHeight="1" x14ac:dyDescent="0.3"/>
    <row r="2780" ht="74.25" customHeight="1" x14ac:dyDescent="0.3"/>
    <row r="2781" ht="74.25" customHeight="1" x14ac:dyDescent="0.3"/>
    <row r="2782" ht="74.25" customHeight="1" x14ac:dyDescent="0.3"/>
    <row r="2783" ht="74.25" customHeight="1" x14ac:dyDescent="0.3"/>
    <row r="2784" ht="74.25" customHeight="1" x14ac:dyDescent="0.3"/>
    <row r="2785" ht="74.25" customHeight="1" x14ac:dyDescent="0.3"/>
    <row r="2786" ht="74.25" customHeight="1" x14ac:dyDescent="0.3"/>
    <row r="2787" ht="74.25" customHeight="1" x14ac:dyDescent="0.3"/>
    <row r="2788" ht="74.25" customHeight="1" x14ac:dyDescent="0.3"/>
    <row r="2789" ht="74.25" customHeight="1" x14ac:dyDescent="0.3"/>
    <row r="2790" ht="74.25" customHeight="1" x14ac:dyDescent="0.3"/>
    <row r="2791" ht="74.25" customHeight="1" x14ac:dyDescent="0.3"/>
    <row r="2792" ht="74.25" customHeight="1" x14ac:dyDescent="0.3"/>
    <row r="2793" ht="74.25" customHeight="1" x14ac:dyDescent="0.3"/>
    <row r="2794" ht="74.25" customHeight="1" x14ac:dyDescent="0.3"/>
    <row r="2795" ht="74.25" customHeight="1" x14ac:dyDescent="0.3"/>
    <row r="2796" ht="74.25" customHeight="1" x14ac:dyDescent="0.3"/>
    <row r="2797" ht="74.25" customHeight="1" x14ac:dyDescent="0.3"/>
    <row r="2798" ht="74.25" customHeight="1" x14ac:dyDescent="0.3"/>
    <row r="2799" ht="74.25" customHeight="1" x14ac:dyDescent="0.3"/>
    <row r="2800" ht="74.25" customHeight="1" x14ac:dyDescent="0.3"/>
    <row r="2801" ht="74.25" customHeight="1" x14ac:dyDescent="0.3"/>
    <row r="2802" ht="74.25" customHeight="1" x14ac:dyDescent="0.3"/>
    <row r="2803" ht="74.25" customHeight="1" x14ac:dyDescent="0.3"/>
    <row r="2804" ht="74.25" customHeight="1" x14ac:dyDescent="0.3"/>
    <row r="2805" ht="74.25" customHeight="1" x14ac:dyDescent="0.3"/>
    <row r="2806" ht="74.25" customHeight="1" x14ac:dyDescent="0.3"/>
    <row r="2807" ht="74.25" customHeight="1" x14ac:dyDescent="0.3"/>
    <row r="2808" ht="74.25" customHeight="1" x14ac:dyDescent="0.3"/>
    <row r="2809" ht="74.25" customHeight="1" x14ac:dyDescent="0.3"/>
    <row r="2810" ht="74.25" customHeight="1" x14ac:dyDescent="0.3"/>
    <row r="2811" ht="74.25" customHeight="1" x14ac:dyDescent="0.3"/>
    <row r="2812" ht="74.25" customHeight="1" x14ac:dyDescent="0.3"/>
    <row r="2813" ht="74.25" customHeight="1" x14ac:dyDescent="0.3"/>
    <row r="2814" ht="74.25" customHeight="1" x14ac:dyDescent="0.3"/>
    <row r="2815" ht="74.25" customHeight="1" x14ac:dyDescent="0.3"/>
    <row r="2816" ht="74.25" customHeight="1" x14ac:dyDescent="0.3"/>
    <row r="2817" ht="74.25" customHeight="1" x14ac:dyDescent="0.3"/>
    <row r="2818" ht="74.25" customHeight="1" x14ac:dyDescent="0.3"/>
    <row r="2819" ht="74.25" customHeight="1" x14ac:dyDescent="0.3"/>
    <row r="2820" ht="74.25" customHeight="1" x14ac:dyDescent="0.3"/>
    <row r="2821" ht="74.25" customHeight="1" x14ac:dyDescent="0.3"/>
    <row r="2822" ht="74.25" customHeight="1" x14ac:dyDescent="0.3"/>
    <row r="2823" ht="74.25" customHeight="1" x14ac:dyDescent="0.3"/>
    <row r="2824" ht="74.25" customHeight="1" x14ac:dyDescent="0.3"/>
    <row r="2825" ht="74.25" customHeight="1" x14ac:dyDescent="0.3"/>
    <row r="2826" ht="74.25" customHeight="1" x14ac:dyDescent="0.3"/>
    <row r="2827" ht="74.25" customHeight="1" x14ac:dyDescent="0.3"/>
    <row r="2828" ht="74.25" customHeight="1" x14ac:dyDescent="0.3"/>
    <row r="2829" ht="74.25" customHeight="1" x14ac:dyDescent="0.3"/>
    <row r="2830" ht="74.25" customHeight="1" x14ac:dyDescent="0.3"/>
    <row r="2831" ht="74.25" customHeight="1" x14ac:dyDescent="0.3"/>
    <row r="2832" ht="74.25" customHeight="1" x14ac:dyDescent="0.3"/>
    <row r="2833" ht="74.25" customHeight="1" x14ac:dyDescent="0.3"/>
    <row r="2834" ht="74.25" customHeight="1" x14ac:dyDescent="0.3"/>
    <row r="2835" ht="74.25" customHeight="1" x14ac:dyDescent="0.3"/>
    <row r="2836" ht="74.25" customHeight="1" x14ac:dyDescent="0.3"/>
    <row r="2837" ht="74.25" customHeight="1" x14ac:dyDescent="0.3"/>
    <row r="2838" ht="74.25" customHeight="1" x14ac:dyDescent="0.3"/>
    <row r="2839" ht="74.25" customHeight="1" x14ac:dyDescent="0.3"/>
    <row r="2840" ht="74.25" customHeight="1" x14ac:dyDescent="0.3"/>
    <row r="2841" ht="74.25" customHeight="1" x14ac:dyDescent="0.3"/>
    <row r="2842" ht="74.25" customHeight="1" x14ac:dyDescent="0.3"/>
    <row r="2843" ht="74.25" customHeight="1" x14ac:dyDescent="0.3"/>
    <row r="2844" ht="74.25" customHeight="1" x14ac:dyDescent="0.3"/>
    <row r="2845" ht="74.25" customHeight="1" x14ac:dyDescent="0.3"/>
    <row r="2846" ht="74.25" customHeight="1" x14ac:dyDescent="0.3"/>
    <row r="2847" ht="74.25" customHeight="1" x14ac:dyDescent="0.3"/>
    <row r="2848" ht="74.25" customHeight="1" x14ac:dyDescent="0.3"/>
    <row r="2849" ht="74.25" customHeight="1" x14ac:dyDescent="0.3"/>
    <row r="2850" ht="74.25" customHeight="1" x14ac:dyDescent="0.3"/>
    <row r="2851" ht="74.25" customHeight="1" x14ac:dyDescent="0.3"/>
    <row r="2852" ht="74.25" customHeight="1" x14ac:dyDescent="0.3"/>
    <row r="2853" ht="74.25" customHeight="1" x14ac:dyDescent="0.3"/>
    <row r="2854" ht="74.25" customHeight="1" x14ac:dyDescent="0.3"/>
    <row r="2855" ht="74.25" customHeight="1" x14ac:dyDescent="0.3"/>
    <row r="2856" ht="74.25" customHeight="1" x14ac:dyDescent="0.3"/>
    <row r="2857" ht="74.25" customHeight="1" x14ac:dyDescent="0.3"/>
    <row r="2858" ht="74.25" customHeight="1" x14ac:dyDescent="0.3"/>
    <row r="2859" ht="74.25" customHeight="1" x14ac:dyDescent="0.3"/>
    <row r="2860" ht="74.25" customHeight="1" x14ac:dyDescent="0.3"/>
    <row r="2861" ht="74.25" customHeight="1" x14ac:dyDescent="0.3"/>
    <row r="2862" ht="74.25" customHeight="1" x14ac:dyDescent="0.3"/>
    <row r="2863" ht="74.25" customHeight="1" x14ac:dyDescent="0.3"/>
    <row r="2864" ht="74.25" customHeight="1" x14ac:dyDescent="0.3"/>
    <row r="2865" ht="74.25" customHeight="1" x14ac:dyDescent="0.3"/>
    <row r="2866" ht="74.25" customHeight="1" x14ac:dyDescent="0.3"/>
    <row r="2867" ht="74.25" customHeight="1" x14ac:dyDescent="0.3"/>
    <row r="2868" ht="74.25" customHeight="1" x14ac:dyDescent="0.3"/>
    <row r="2869" ht="74.25" customHeight="1" x14ac:dyDescent="0.3"/>
    <row r="2870" ht="74.25" customHeight="1" x14ac:dyDescent="0.3"/>
    <row r="2871" ht="74.25" customHeight="1" x14ac:dyDescent="0.3"/>
    <row r="2872" ht="74.25" customHeight="1" x14ac:dyDescent="0.3"/>
    <row r="2873" ht="74.25" customHeight="1" x14ac:dyDescent="0.3"/>
    <row r="2874" ht="74.25" customHeight="1" x14ac:dyDescent="0.3"/>
    <row r="2875" ht="74.25" customHeight="1" x14ac:dyDescent="0.3"/>
    <row r="2876" ht="74.25" customHeight="1" x14ac:dyDescent="0.3"/>
    <row r="2877" ht="74.25" customHeight="1" x14ac:dyDescent="0.3"/>
    <row r="2878" ht="74.25" customHeight="1" x14ac:dyDescent="0.3"/>
    <row r="2879" ht="74.25" customHeight="1" x14ac:dyDescent="0.3"/>
    <row r="2880" ht="74.25" customHeight="1" x14ac:dyDescent="0.3"/>
    <row r="2881" ht="74.25" customHeight="1" x14ac:dyDescent="0.3"/>
    <row r="2882" ht="74.25" customHeight="1" x14ac:dyDescent="0.3"/>
    <row r="2883" ht="74.25" customHeight="1" x14ac:dyDescent="0.3"/>
    <row r="2884" ht="74.25" customHeight="1" x14ac:dyDescent="0.3"/>
    <row r="2885" ht="74.25" customHeight="1" x14ac:dyDescent="0.3"/>
    <row r="2886" ht="74.25" customHeight="1" x14ac:dyDescent="0.3"/>
    <row r="2887" ht="74.25" customHeight="1" x14ac:dyDescent="0.3"/>
    <row r="2888" ht="74.25" customHeight="1" x14ac:dyDescent="0.3"/>
    <row r="2889" ht="74.25" customHeight="1" x14ac:dyDescent="0.3"/>
    <row r="2890" ht="74.25" customHeight="1" x14ac:dyDescent="0.3"/>
    <row r="2891" ht="74.25" customHeight="1" x14ac:dyDescent="0.3"/>
    <row r="2892" ht="74.25" customHeight="1" x14ac:dyDescent="0.3"/>
    <row r="2893" ht="74.25" customHeight="1" x14ac:dyDescent="0.3"/>
    <row r="2894" ht="74.25" customHeight="1" x14ac:dyDescent="0.3"/>
    <row r="2895" ht="74.25" customHeight="1" x14ac:dyDescent="0.3"/>
    <row r="2896" ht="74.25" customHeight="1" x14ac:dyDescent="0.3"/>
    <row r="2897" ht="74.25" customHeight="1" x14ac:dyDescent="0.3"/>
    <row r="2898" ht="74.25" customHeight="1" x14ac:dyDescent="0.3"/>
    <row r="2899" ht="74.25" customHeight="1" x14ac:dyDescent="0.3"/>
    <row r="2900" ht="74.25" customHeight="1" x14ac:dyDescent="0.3"/>
    <row r="2901" ht="74.25" customHeight="1" x14ac:dyDescent="0.3"/>
    <row r="2902" ht="74.25" customHeight="1" x14ac:dyDescent="0.3"/>
    <row r="2903" ht="74.25" customHeight="1" x14ac:dyDescent="0.3"/>
    <row r="2904" ht="74.25" customHeight="1" x14ac:dyDescent="0.3"/>
    <row r="2905" ht="74.25" customHeight="1" x14ac:dyDescent="0.3"/>
    <row r="2906" ht="74.25" customHeight="1" x14ac:dyDescent="0.3"/>
    <row r="2907" ht="74.25" customHeight="1" x14ac:dyDescent="0.3"/>
    <row r="2908" ht="74.25" customHeight="1" x14ac:dyDescent="0.3"/>
    <row r="2909" ht="74.25" customHeight="1" x14ac:dyDescent="0.3"/>
    <row r="2910" ht="74.25" customHeight="1" x14ac:dyDescent="0.3"/>
    <row r="2911" ht="74.25" customHeight="1" x14ac:dyDescent="0.3"/>
    <row r="2912" ht="74.25" customHeight="1" x14ac:dyDescent="0.3"/>
    <row r="2913" ht="74.25" customHeight="1" x14ac:dyDescent="0.3"/>
    <row r="2914" ht="74.25" customHeight="1" x14ac:dyDescent="0.3"/>
    <row r="2915" ht="74.25" customHeight="1" x14ac:dyDescent="0.3"/>
    <row r="2916" ht="74.25" customHeight="1" x14ac:dyDescent="0.3"/>
    <row r="2917" ht="74.25" customHeight="1" x14ac:dyDescent="0.3"/>
    <row r="2918" ht="74.25" customHeight="1" x14ac:dyDescent="0.3"/>
    <row r="2919" ht="74.25" customHeight="1" x14ac:dyDescent="0.3"/>
    <row r="2920" ht="74.25" customHeight="1" x14ac:dyDescent="0.3"/>
    <row r="2921" ht="74.25" customHeight="1" x14ac:dyDescent="0.3"/>
    <row r="2922" ht="74.25" customHeight="1" x14ac:dyDescent="0.3"/>
    <row r="2923" ht="74.25" customHeight="1" x14ac:dyDescent="0.3"/>
    <row r="2924" ht="74.25" customHeight="1" x14ac:dyDescent="0.3"/>
    <row r="2925" ht="74.25" customHeight="1" x14ac:dyDescent="0.3"/>
    <row r="2926" ht="74.25" customHeight="1" x14ac:dyDescent="0.3"/>
    <row r="2927" ht="74.25" customHeight="1" x14ac:dyDescent="0.3"/>
    <row r="2928" ht="74.25" customHeight="1" x14ac:dyDescent="0.3"/>
    <row r="2929" ht="74.25" customHeight="1" x14ac:dyDescent="0.3"/>
    <row r="2930" ht="74.25" customHeight="1" x14ac:dyDescent="0.3"/>
    <row r="2931" ht="74.25" customHeight="1" x14ac:dyDescent="0.3"/>
    <row r="2932" ht="74.25" customHeight="1" x14ac:dyDescent="0.3"/>
    <row r="2933" ht="74.25" customHeight="1" x14ac:dyDescent="0.3"/>
    <row r="2934" ht="74.25" customHeight="1" x14ac:dyDescent="0.3"/>
    <row r="2935" ht="74.25" customHeight="1" x14ac:dyDescent="0.3"/>
    <row r="2936" ht="74.25" customHeight="1" x14ac:dyDescent="0.3"/>
    <row r="2937" ht="74.25" customHeight="1" x14ac:dyDescent="0.3"/>
    <row r="2938" ht="74.25" customHeight="1" x14ac:dyDescent="0.3"/>
    <row r="2939" ht="74.25" customHeight="1" x14ac:dyDescent="0.3"/>
    <row r="2940" ht="74.25" customHeight="1" x14ac:dyDescent="0.3"/>
    <row r="2941" ht="74.25" customHeight="1" x14ac:dyDescent="0.3"/>
    <row r="2942" ht="74.25" customHeight="1" x14ac:dyDescent="0.3"/>
    <row r="2943" ht="74.25" customHeight="1" x14ac:dyDescent="0.3"/>
    <row r="2944" ht="74.25" customHeight="1" x14ac:dyDescent="0.3"/>
    <row r="2945" ht="74.25" customHeight="1" x14ac:dyDescent="0.3"/>
    <row r="2946" ht="74.25" customHeight="1" x14ac:dyDescent="0.3"/>
    <row r="2947" ht="74.25" customHeight="1" x14ac:dyDescent="0.3"/>
    <row r="2948" ht="74.25" customHeight="1" x14ac:dyDescent="0.3"/>
    <row r="2949" ht="74.25" customHeight="1" x14ac:dyDescent="0.3"/>
    <row r="2950" ht="74.25" customHeight="1" x14ac:dyDescent="0.3"/>
    <row r="2951" ht="74.25" customHeight="1" x14ac:dyDescent="0.3"/>
    <row r="2952" ht="74.25" customHeight="1" x14ac:dyDescent="0.3"/>
    <row r="2953" ht="74.25" customHeight="1" x14ac:dyDescent="0.3"/>
    <row r="2954" ht="74.25" customHeight="1" x14ac:dyDescent="0.3"/>
    <row r="2955" ht="74.25" customHeight="1" x14ac:dyDescent="0.3"/>
    <row r="2956" ht="74.25" customHeight="1" x14ac:dyDescent="0.3"/>
    <row r="2957" ht="74.25" customHeight="1" x14ac:dyDescent="0.3"/>
    <row r="2958" ht="74.25" customHeight="1" x14ac:dyDescent="0.3"/>
    <row r="2959" ht="74.25" customHeight="1" x14ac:dyDescent="0.3"/>
    <row r="2960" ht="74.25" customHeight="1" x14ac:dyDescent="0.3"/>
    <row r="2961" ht="74.25" customHeight="1" x14ac:dyDescent="0.3"/>
    <row r="2962" ht="74.25" customHeight="1" x14ac:dyDescent="0.3"/>
    <row r="2963" ht="74.25" customHeight="1" x14ac:dyDescent="0.3"/>
    <row r="2964" ht="74.25" customHeight="1" x14ac:dyDescent="0.3"/>
    <row r="2965" ht="74.25" customHeight="1" x14ac:dyDescent="0.3"/>
    <row r="2966" ht="74.25" customHeight="1" x14ac:dyDescent="0.3"/>
    <row r="2967" ht="74.25" customHeight="1" x14ac:dyDescent="0.3"/>
    <row r="2968" ht="74.25" customHeight="1" x14ac:dyDescent="0.3"/>
    <row r="2969" ht="74.25" customHeight="1" x14ac:dyDescent="0.3"/>
    <row r="2970" ht="74.25" customHeight="1" x14ac:dyDescent="0.3"/>
    <row r="2971" ht="74.25" customHeight="1" x14ac:dyDescent="0.3"/>
    <row r="2972" ht="74.25" customHeight="1" x14ac:dyDescent="0.3"/>
    <row r="2973" ht="74.25" customHeight="1" x14ac:dyDescent="0.3"/>
    <row r="2974" ht="74.25" customHeight="1" x14ac:dyDescent="0.3"/>
    <row r="2975" ht="74.25" customHeight="1" x14ac:dyDescent="0.3"/>
    <row r="2976" ht="74.25" customHeight="1" x14ac:dyDescent="0.3"/>
    <row r="2977" ht="74.25" customHeight="1" x14ac:dyDescent="0.3"/>
    <row r="2978" ht="74.25" customHeight="1" x14ac:dyDescent="0.3"/>
    <row r="2979" ht="74.25" customHeight="1" x14ac:dyDescent="0.3"/>
    <row r="2980" ht="74.25" customHeight="1" x14ac:dyDescent="0.3"/>
    <row r="2981" ht="74.25" customHeight="1" x14ac:dyDescent="0.3"/>
    <row r="2982" ht="74.25" customHeight="1" x14ac:dyDescent="0.3"/>
    <row r="2983" ht="74.25" customHeight="1" x14ac:dyDescent="0.3"/>
    <row r="2984" ht="74.25" customHeight="1" x14ac:dyDescent="0.3"/>
    <row r="2985" ht="74.25" customHeight="1" x14ac:dyDescent="0.3"/>
    <row r="2986" ht="74.25" customHeight="1" x14ac:dyDescent="0.3"/>
    <row r="2987" ht="74.25" customHeight="1" x14ac:dyDescent="0.3"/>
    <row r="2988" ht="74.25" customHeight="1" x14ac:dyDescent="0.3"/>
    <row r="2989" ht="74.25" customHeight="1" x14ac:dyDescent="0.3"/>
    <row r="2990" ht="74.25" customHeight="1" x14ac:dyDescent="0.3"/>
    <row r="2991" ht="74.25" customHeight="1" x14ac:dyDescent="0.3"/>
    <row r="2992" ht="74.25" customHeight="1" x14ac:dyDescent="0.3"/>
    <row r="2993" ht="74.25" customHeight="1" x14ac:dyDescent="0.3"/>
    <row r="2994" ht="74.25" customHeight="1" x14ac:dyDescent="0.3"/>
    <row r="2995" ht="74.25" customHeight="1" x14ac:dyDescent="0.3"/>
    <row r="2996" ht="74.25" customHeight="1" x14ac:dyDescent="0.3"/>
    <row r="2997" ht="74.25" customHeight="1" x14ac:dyDescent="0.3"/>
    <row r="2998" ht="74.25" customHeight="1" x14ac:dyDescent="0.3"/>
    <row r="2999" ht="74.25" customHeight="1" x14ac:dyDescent="0.3"/>
    <row r="3000" ht="74.25" customHeight="1" x14ac:dyDescent="0.3"/>
    <row r="3001" ht="74.25" customHeight="1" x14ac:dyDescent="0.3"/>
    <row r="3002" ht="74.25" customHeight="1" x14ac:dyDescent="0.3"/>
    <row r="3003" ht="74.25" customHeight="1" x14ac:dyDescent="0.3"/>
    <row r="3004" ht="74.25" customHeight="1" x14ac:dyDescent="0.3"/>
    <row r="3005" ht="74.25" customHeight="1" x14ac:dyDescent="0.3"/>
    <row r="3006" ht="74.25" customHeight="1" x14ac:dyDescent="0.3"/>
    <row r="3007" ht="74.25" customHeight="1" x14ac:dyDescent="0.3"/>
    <row r="3008" ht="74.25" customHeight="1" x14ac:dyDescent="0.3"/>
    <row r="3009" ht="74.25" customHeight="1" x14ac:dyDescent="0.3"/>
    <row r="3010" ht="74.25" customHeight="1" x14ac:dyDescent="0.3"/>
    <row r="3011" ht="74.25" customHeight="1" x14ac:dyDescent="0.3"/>
    <row r="3012" ht="74.25" customHeight="1" x14ac:dyDescent="0.3"/>
    <row r="3013" ht="74.25" customHeight="1" x14ac:dyDescent="0.3"/>
    <row r="3014" ht="74.25" customHeight="1" x14ac:dyDescent="0.3"/>
    <row r="3015" ht="74.25" customHeight="1" x14ac:dyDescent="0.3"/>
    <row r="3016" ht="74.25" customHeight="1" x14ac:dyDescent="0.3"/>
    <row r="3017" ht="74.25" customHeight="1" x14ac:dyDescent="0.3"/>
    <row r="3018" ht="74.25" customHeight="1" x14ac:dyDescent="0.3"/>
    <row r="3019" ht="74.25" customHeight="1" x14ac:dyDescent="0.3"/>
    <row r="3020" ht="74.25" customHeight="1" x14ac:dyDescent="0.3"/>
    <row r="3021" ht="74.25" customHeight="1" x14ac:dyDescent="0.3"/>
    <row r="3022" ht="74.25" customHeight="1" x14ac:dyDescent="0.3"/>
    <row r="3023" ht="74.25" customHeight="1" x14ac:dyDescent="0.3"/>
    <row r="3024" ht="74.25" customHeight="1" x14ac:dyDescent="0.3"/>
    <row r="3025" ht="74.25" customHeight="1" x14ac:dyDescent="0.3"/>
    <row r="3026" ht="74.25" customHeight="1" x14ac:dyDescent="0.3"/>
    <row r="3027" ht="74.25" customHeight="1" x14ac:dyDescent="0.3"/>
    <row r="3028" ht="74.25" customHeight="1" x14ac:dyDescent="0.3"/>
    <row r="3029" ht="74.25" customHeight="1" x14ac:dyDescent="0.3"/>
    <row r="3030" ht="74.25" customHeight="1" x14ac:dyDescent="0.3"/>
    <row r="3031" ht="74.25" customHeight="1" x14ac:dyDescent="0.3"/>
    <row r="3032" ht="74.25" customHeight="1" x14ac:dyDescent="0.3"/>
    <row r="3033" ht="74.25" customHeight="1" x14ac:dyDescent="0.3"/>
    <row r="3034" ht="74.25" customHeight="1" x14ac:dyDescent="0.3"/>
    <row r="3035" ht="74.25" customHeight="1" x14ac:dyDescent="0.3"/>
    <row r="3036" ht="74.25" customHeight="1" x14ac:dyDescent="0.3"/>
    <row r="3037" ht="74.25" customHeight="1" x14ac:dyDescent="0.3"/>
    <row r="3038" ht="74.25" customHeight="1" x14ac:dyDescent="0.3"/>
    <row r="3039" ht="74.25" customHeight="1" x14ac:dyDescent="0.3"/>
    <row r="3040" ht="74.25" customHeight="1" x14ac:dyDescent="0.3"/>
    <row r="3041" ht="74.25" customHeight="1" x14ac:dyDescent="0.3"/>
    <row r="3042" ht="74.25" customHeight="1" x14ac:dyDescent="0.3"/>
    <row r="3043" ht="74.25" customHeight="1" x14ac:dyDescent="0.3"/>
    <row r="3044" ht="74.25" customHeight="1" x14ac:dyDescent="0.3"/>
    <row r="3045" ht="74.25" customHeight="1" x14ac:dyDescent="0.3"/>
    <row r="3046" ht="74.25" customHeight="1" x14ac:dyDescent="0.3"/>
    <row r="3047" ht="74.25" customHeight="1" x14ac:dyDescent="0.3"/>
    <row r="3048" ht="74.25" customHeight="1" x14ac:dyDescent="0.3"/>
    <row r="3049" ht="74.25" customHeight="1" x14ac:dyDescent="0.3"/>
    <row r="3050" ht="74.25" customHeight="1" x14ac:dyDescent="0.3"/>
    <row r="3051" ht="74.25" customHeight="1" x14ac:dyDescent="0.3"/>
    <row r="3052" ht="74.25" customHeight="1" x14ac:dyDescent="0.3"/>
    <row r="3053" ht="74.25" customHeight="1" x14ac:dyDescent="0.3"/>
    <row r="3054" ht="74.25" customHeight="1" x14ac:dyDescent="0.3"/>
    <row r="3055" ht="74.25" customHeight="1" x14ac:dyDescent="0.3"/>
    <row r="3056" ht="74.25" customHeight="1" x14ac:dyDescent="0.3"/>
    <row r="3057" ht="74.25" customHeight="1" x14ac:dyDescent="0.3"/>
    <row r="3058" ht="74.25" customHeight="1" x14ac:dyDescent="0.3"/>
    <row r="3059" ht="74.25" customHeight="1" x14ac:dyDescent="0.3"/>
    <row r="3060" ht="74.25" customHeight="1" x14ac:dyDescent="0.3"/>
    <row r="3061" ht="74.25" customHeight="1" x14ac:dyDescent="0.3"/>
    <row r="3062" ht="74.25" customHeight="1" x14ac:dyDescent="0.3"/>
    <row r="3063" ht="74.25" customHeight="1" x14ac:dyDescent="0.3"/>
    <row r="3064" ht="74.25" customHeight="1" x14ac:dyDescent="0.3"/>
    <row r="3065" ht="74.25" customHeight="1" x14ac:dyDescent="0.3"/>
    <row r="3066" ht="74.25" customHeight="1" x14ac:dyDescent="0.3"/>
    <row r="3067" ht="74.25" customHeight="1" x14ac:dyDescent="0.3"/>
    <row r="3068" ht="74.25" customHeight="1" x14ac:dyDescent="0.3"/>
    <row r="3069" ht="74.25" customHeight="1" x14ac:dyDescent="0.3"/>
    <row r="3070" ht="74.25" customHeight="1" x14ac:dyDescent="0.3"/>
    <row r="3071" ht="74.25" customHeight="1" x14ac:dyDescent="0.3"/>
    <row r="3072" ht="74.25" customHeight="1" x14ac:dyDescent="0.3"/>
    <row r="3073" ht="74.25" customHeight="1" x14ac:dyDescent="0.3"/>
    <row r="3074" ht="74.25" customHeight="1" x14ac:dyDescent="0.3"/>
    <row r="3075" ht="74.25" customHeight="1" x14ac:dyDescent="0.3"/>
    <row r="3076" ht="74.25" customHeight="1" x14ac:dyDescent="0.3"/>
    <row r="3077" ht="74.25" customHeight="1" x14ac:dyDescent="0.3"/>
    <row r="3078" ht="74.25" customHeight="1" x14ac:dyDescent="0.3"/>
    <row r="3079" ht="74.25" customHeight="1" x14ac:dyDescent="0.3"/>
    <row r="3080" ht="74.25" customHeight="1" x14ac:dyDescent="0.3"/>
    <row r="3081" ht="74.25" customHeight="1" x14ac:dyDescent="0.3"/>
    <row r="3082" ht="74.25" customHeight="1" x14ac:dyDescent="0.3"/>
    <row r="3083" ht="74.25" customHeight="1" x14ac:dyDescent="0.3"/>
    <row r="3084" ht="74.25" customHeight="1" x14ac:dyDescent="0.3"/>
    <row r="3085" ht="74.25" customHeight="1" x14ac:dyDescent="0.3"/>
    <row r="3086" ht="74.25" customHeight="1" x14ac:dyDescent="0.3"/>
    <row r="3087" ht="74.25" customHeight="1" x14ac:dyDescent="0.3"/>
    <row r="3088" ht="74.25" customHeight="1" x14ac:dyDescent="0.3"/>
    <row r="3089" ht="74.25" customHeight="1" x14ac:dyDescent="0.3"/>
    <row r="3090" ht="74.25" customHeight="1" x14ac:dyDescent="0.3"/>
    <row r="3091" ht="74.25" customHeight="1" x14ac:dyDescent="0.3"/>
    <row r="3092" ht="74.25" customHeight="1" x14ac:dyDescent="0.3"/>
    <row r="3093" ht="74.25" customHeight="1" x14ac:dyDescent="0.3"/>
    <row r="3094" ht="74.25" customHeight="1" x14ac:dyDescent="0.3"/>
    <row r="3095" ht="74.25" customHeight="1" x14ac:dyDescent="0.3"/>
    <row r="3096" ht="74.25" customHeight="1" x14ac:dyDescent="0.3"/>
    <row r="3097" ht="74.25" customHeight="1" x14ac:dyDescent="0.3"/>
    <row r="3098" ht="74.25" customHeight="1" x14ac:dyDescent="0.3"/>
    <row r="3099" ht="74.25" customHeight="1" x14ac:dyDescent="0.3"/>
    <row r="3100" ht="74.25" customHeight="1" x14ac:dyDescent="0.3"/>
    <row r="3101" ht="74.25" customHeight="1" x14ac:dyDescent="0.3"/>
    <row r="3102" ht="74.25" customHeight="1" x14ac:dyDescent="0.3"/>
    <row r="3103" ht="74.25" customHeight="1" x14ac:dyDescent="0.3"/>
    <row r="3104" ht="74.25" customHeight="1" x14ac:dyDescent="0.3"/>
    <row r="3105" ht="74.25" customHeight="1" x14ac:dyDescent="0.3"/>
    <row r="3106" ht="74.25" customHeight="1" x14ac:dyDescent="0.3"/>
    <row r="3107" ht="74.25" customHeight="1" x14ac:dyDescent="0.3"/>
    <row r="3108" ht="74.25" customHeight="1" x14ac:dyDescent="0.3"/>
    <row r="3109" ht="74.25" customHeight="1" x14ac:dyDescent="0.3"/>
    <row r="3110" ht="74.25" customHeight="1" x14ac:dyDescent="0.3"/>
    <row r="3111" ht="74.25" customHeight="1" x14ac:dyDescent="0.3"/>
    <row r="3112" ht="74.25" customHeight="1" x14ac:dyDescent="0.3"/>
    <row r="3113" ht="74.25" customHeight="1" x14ac:dyDescent="0.3"/>
    <row r="3114" ht="74.25" customHeight="1" x14ac:dyDescent="0.3"/>
    <row r="3115" ht="74.25" customHeight="1" x14ac:dyDescent="0.3"/>
    <row r="3116" ht="74.25" customHeight="1" x14ac:dyDescent="0.3"/>
    <row r="3117" ht="74.25" customHeight="1" x14ac:dyDescent="0.3"/>
    <row r="3118" ht="74.25" customHeight="1" x14ac:dyDescent="0.3"/>
    <row r="3119" ht="74.25" customHeight="1" x14ac:dyDescent="0.3"/>
    <row r="3120" ht="74.25" customHeight="1" x14ac:dyDescent="0.3"/>
    <row r="3121" ht="74.25" customHeight="1" x14ac:dyDescent="0.3"/>
    <row r="3122" ht="74.25" customHeight="1" x14ac:dyDescent="0.3"/>
    <row r="3123" ht="74.25" customHeight="1" x14ac:dyDescent="0.3"/>
    <row r="3124" ht="74.25" customHeight="1" x14ac:dyDescent="0.3"/>
    <row r="3125" ht="74.25" customHeight="1" x14ac:dyDescent="0.3"/>
    <row r="3126" ht="74.25" customHeight="1" x14ac:dyDescent="0.3"/>
    <row r="3127" ht="74.25" customHeight="1" x14ac:dyDescent="0.3"/>
    <row r="3128" ht="74.25" customHeight="1" x14ac:dyDescent="0.3"/>
    <row r="3129" ht="74.25" customHeight="1" x14ac:dyDescent="0.3"/>
    <row r="3130" ht="74.25" customHeight="1" x14ac:dyDescent="0.3"/>
    <row r="3131" ht="74.25" customHeight="1" x14ac:dyDescent="0.3"/>
    <row r="3132" ht="74.25" customHeight="1" x14ac:dyDescent="0.3"/>
    <row r="3133" ht="74.25" customHeight="1" x14ac:dyDescent="0.3"/>
    <row r="3134" ht="74.25" customHeight="1" x14ac:dyDescent="0.3"/>
    <row r="3135" ht="74.25" customHeight="1" x14ac:dyDescent="0.3"/>
    <row r="3136" ht="74.25" customHeight="1" x14ac:dyDescent="0.3"/>
    <row r="3137" ht="74.25" customHeight="1" x14ac:dyDescent="0.3"/>
    <row r="3138" ht="74.25" customHeight="1" x14ac:dyDescent="0.3"/>
    <row r="3139" ht="74.25" customHeight="1" x14ac:dyDescent="0.3"/>
    <row r="3140" ht="74.25" customHeight="1" x14ac:dyDescent="0.3"/>
    <row r="3141" ht="74.25" customHeight="1" x14ac:dyDescent="0.3"/>
    <row r="3142" ht="74.25" customHeight="1" x14ac:dyDescent="0.3"/>
    <row r="3143" ht="74.25" customHeight="1" x14ac:dyDescent="0.3"/>
    <row r="3144" ht="74.25" customHeight="1" x14ac:dyDescent="0.3"/>
    <row r="3145" ht="74.25" customHeight="1" x14ac:dyDescent="0.3"/>
    <row r="3146" ht="74.25" customHeight="1" x14ac:dyDescent="0.3"/>
    <row r="3147" ht="74.25" customHeight="1" x14ac:dyDescent="0.3"/>
    <row r="3148" ht="74.25" customHeight="1" x14ac:dyDescent="0.3"/>
    <row r="3149" ht="74.25" customHeight="1" x14ac:dyDescent="0.3"/>
    <row r="3150" ht="74.25" customHeight="1" x14ac:dyDescent="0.3"/>
    <row r="3151" ht="74.25" customHeight="1" x14ac:dyDescent="0.3"/>
    <row r="3152" ht="74.25" customHeight="1" x14ac:dyDescent="0.3"/>
    <row r="3153" ht="74.25" customHeight="1" x14ac:dyDescent="0.3"/>
    <row r="3154" ht="74.25" customHeight="1" x14ac:dyDescent="0.3"/>
    <row r="3155" ht="74.25" customHeight="1" x14ac:dyDescent="0.3"/>
    <row r="3156" ht="74.25" customHeight="1" x14ac:dyDescent="0.3"/>
    <row r="3157" ht="74.25" customHeight="1" x14ac:dyDescent="0.3"/>
    <row r="3158" ht="74.25" customHeight="1" x14ac:dyDescent="0.3"/>
    <row r="3159" ht="74.25" customHeight="1" x14ac:dyDescent="0.3"/>
    <row r="3160" ht="74.25" customHeight="1" x14ac:dyDescent="0.3"/>
    <row r="3161" ht="74.25" customHeight="1" x14ac:dyDescent="0.3"/>
    <row r="3162" ht="74.25" customHeight="1" x14ac:dyDescent="0.3"/>
    <row r="3163" ht="74.25" customHeight="1" x14ac:dyDescent="0.3"/>
    <row r="3164" ht="74.25" customHeight="1" x14ac:dyDescent="0.3"/>
    <row r="3165" ht="74.25" customHeight="1" x14ac:dyDescent="0.3"/>
    <row r="3166" ht="74.25" customHeight="1" x14ac:dyDescent="0.3"/>
    <row r="3167" ht="74.25" customHeight="1" x14ac:dyDescent="0.3"/>
    <row r="3168" ht="74.25" customHeight="1" x14ac:dyDescent="0.3"/>
    <row r="3169" ht="74.25" customHeight="1" x14ac:dyDescent="0.3"/>
    <row r="3170" ht="74.25" customHeight="1" x14ac:dyDescent="0.3"/>
    <row r="3171" ht="74.25" customHeight="1" x14ac:dyDescent="0.3"/>
    <row r="3172" ht="74.25" customHeight="1" x14ac:dyDescent="0.3"/>
    <row r="3173" ht="74.25" customHeight="1" x14ac:dyDescent="0.3"/>
    <row r="3174" ht="74.25" customHeight="1" x14ac:dyDescent="0.3"/>
    <row r="3175" ht="74.25" customHeight="1" x14ac:dyDescent="0.3"/>
    <row r="3176" ht="74.25" customHeight="1" x14ac:dyDescent="0.3"/>
    <row r="3177" ht="74.25" customHeight="1" x14ac:dyDescent="0.3"/>
    <row r="3178" ht="74.25" customHeight="1" x14ac:dyDescent="0.3"/>
    <row r="3179" ht="74.25" customHeight="1" x14ac:dyDescent="0.3"/>
    <row r="3180" ht="74.25" customHeight="1" x14ac:dyDescent="0.3"/>
    <row r="3181" ht="74.25" customHeight="1" x14ac:dyDescent="0.3"/>
    <row r="3182" ht="74.25" customHeight="1" x14ac:dyDescent="0.3"/>
    <row r="3183" ht="74.25" customHeight="1" x14ac:dyDescent="0.3"/>
    <row r="3184" ht="74.25" customHeight="1" x14ac:dyDescent="0.3"/>
    <row r="3185" ht="74.25" customHeight="1" x14ac:dyDescent="0.3"/>
    <row r="3186" ht="74.25" customHeight="1" x14ac:dyDescent="0.3"/>
    <row r="3187" ht="74.25" customHeight="1" x14ac:dyDescent="0.3"/>
    <row r="3188" ht="74.25" customHeight="1" x14ac:dyDescent="0.3"/>
    <row r="3189" ht="74.25" customHeight="1" x14ac:dyDescent="0.3"/>
    <row r="3190" ht="74.25" customHeight="1" x14ac:dyDescent="0.3"/>
    <row r="3191" ht="74.25" customHeight="1" x14ac:dyDescent="0.3"/>
    <row r="3192" ht="74.25" customHeight="1" x14ac:dyDescent="0.3"/>
    <row r="3193" ht="74.25" customHeight="1" x14ac:dyDescent="0.3"/>
    <row r="3194" ht="74.25" customHeight="1" x14ac:dyDescent="0.3"/>
    <row r="3195" ht="74.25" customHeight="1" x14ac:dyDescent="0.3"/>
    <row r="3196" ht="74.25" customHeight="1" x14ac:dyDescent="0.3"/>
    <row r="3197" ht="74.25" customHeight="1" x14ac:dyDescent="0.3"/>
    <row r="3198" ht="74.25" customHeight="1" x14ac:dyDescent="0.3"/>
    <row r="3199" ht="74.25" customHeight="1" x14ac:dyDescent="0.3"/>
    <row r="3200" ht="74.25" customHeight="1" x14ac:dyDescent="0.3"/>
    <row r="3201" ht="74.25" customHeight="1" x14ac:dyDescent="0.3"/>
    <row r="3202" ht="74.25" customHeight="1" x14ac:dyDescent="0.3"/>
    <row r="3203" ht="74.25" customHeight="1" x14ac:dyDescent="0.3"/>
    <row r="3204" ht="74.25" customHeight="1" x14ac:dyDescent="0.3"/>
    <row r="3205" ht="74.25" customHeight="1" x14ac:dyDescent="0.3"/>
    <row r="3206" ht="74.25" customHeight="1" x14ac:dyDescent="0.3"/>
    <row r="3207" ht="74.25" customHeight="1" x14ac:dyDescent="0.3"/>
    <row r="3208" ht="74.25" customHeight="1" x14ac:dyDescent="0.3"/>
    <row r="3209" ht="74.25" customHeight="1" x14ac:dyDescent="0.3"/>
    <row r="3210" ht="74.25" customHeight="1" x14ac:dyDescent="0.3"/>
    <row r="3211" ht="74.25" customHeight="1" x14ac:dyDescent="0.3"/>
    <row r="3212" ht="74.25" customHeight="1" x14ac:dyDescent="0.3"/>
    <row r="3213" ht="74.25" customHeight="1" x14ac:dyDescent="0.3"/>
    <row r="3214" ht="74.25" customHeight="1" x14ac:dyDescent="0.3"/>
    <row r="3215" ht="74.25" customHeight="1" x14ac:dyDescent="0.3"/>
    <row r="3216" ht="74.25" customHeight="1" x14ac:dyDescent="0.3"/>
    <row r="3217" ht="74.25" customHeight="1" x14ac:dyDescent="0.3"/>
    <row r="3218" ht="74.25" customHeight="1" x14ac:dyDescent="0.3"/>
    <row r="3219" ht="74.25" customHeight="1" x14ac:dyDescent="0.3"/>
    <row r="3220" ht="74.25" customHeight="1" x14ac:dyDescent="0.3"/>
    <row r="3221" ht="74.25" customHeight="1" x14ac:dyDescent="0.3"/>
    <row r="3222" ht="74.25" customHeight="1" x14ac:dyDescent="0.3"/>
    <row r="3223" ht="74.25" customHeight="1" x14ac:dyDescent="0.3"/>
    <row r="3224" ht="74.25" customHeight="1" x14ac:dyDescent="0.3"/>
    <row r="3225" ht="74.25" customHeight="1" x14ac:dyDescent="0.3"/>
    <row r="3226" ht="74.25" customHeight="1" x14ac:dyDescent="0.3"/>
    <row r="3227" ht="74.25" customHeight="1" x14ac:dyDescent="0.3"/>
    <row r="3228" ht="74.25" customHeight="1" x14ac:dyDescent="0.3"/>
    <row r="3229" ht="74.25" customHeight="1" x14ac:dyDescent="0.3"/>
    <row r="3230" ht="74.25" customHeight="1" x14ac:dyDescent="0.3"/>
    <row r="3231" ht="74.25" customHeight="1" x14ac:dyDescent="0.3"/>
    <row r="3232" ht="74.25" customHeight="1" x14ac:dyDescent="0.3"/>
    <row r="3233" ht="74.25" customHeight="1" x14ac:dyDescent="0.3"/>
    <row r="3234" ht="74.25" customHeight="1" x14ac:dyDescent="0.3"/>
    <row r="3235" ht="74.25" customHeight="1" x14ac:dyDescent="0.3"/>
    <row r="3236" ht="74.25" customHeight="1" x14ac:dyDescent="0.3"/>
    <row r="3237" ht="74.25" customHeight="1" x14ac:dyDescent="0.3"/>
    <row r="3238" ht="74.25" customHeight="1" x14ac:dyDescent="0.3"/>
    <row r="3239" ht="74.25" customHeight="1" x14ac:dyDescent="0.3"/>
    <row r="3240" ht="74.25" customHeight="1" x14ac:dyDescent="0.3"/>
    <row r="3241" ht="74.25" customHeight="1" x14ac:dyDescent="0.3"/>
    <row r="3242" ht="74.25" customHeight="1" x14ac:dyDescent="0.3"/>
    <row r="3243" ht="74.25" customHeight="1" x14ac:dyDescent="0.3"/>
    <row r="3244" ht="74.25" customHeight="1" x14ac:dyDescent="0.3"/>
    <row r="3245" ht="74.25" customHeight="1" x14ac:dyDescent="0.3"/>
    <row r="3246" ht="74.25" customHeight="1" x14ac:dyDescent="0.3"/>
    <row r="3247" ht="74.25" customHeight="1" x14ac:dyDescent="0.3"/>
    <row r="3248" ht="74.25" customHeight="1" x14ac:dyDescent="0.3"/>
    <row r="3249" ht="74.25" customHeight="1" x14ac:dyDescent="0.3"/>
    <row r="3250" ht="74.25" customHeight="1" x14ac:dyDescent="0.3"/>
    <row r="3251" ht="74.25" customHeight="1" x14ac:dyDescent="0.3"/>
    <row r="3252" ht="74.25" customHeight="1" x14ac:dyDescent="0.3"/>
    <row r="3253" ht="74.25" customHeight="1" x14ac:dyDescent="0.3"/>
    <row r="3254" ht="74.25" customHeight="1" x14ac:dyDescent="0.3"/>
    <row r="3255" ht="74.25" customHeight="1" x14ac:dyDescent="0.3"/>
    <row r="3256" ht="74.25" customHeight="1" x14ac:dyDescent="0.3"/>
    <row r="3257" ht="74.25" customHeight="1" x14ac:dyDescent="0.3"/>
    <row r="3258" ht="74.25" customHeight="1" x14ac:dyDescent="0.3"/>
    <row r="3259" ht="74.25" customHeight="1" x14ac:dyDescent="0.3"/>
    <row r="3260" ht="74.25" customHeight="1" x14ac:dyDescent="0.3"/>
    <row r="3261" ht="74.25" customHeight="1" x14ac:dyDescent="0.3"/>
    <row r="3262" ht="74.25" customHeight="1" x14ac:dyDescent="0.3"/>
    <row r="3263" ht="74.25" customHeight="1" x14ac:dyDescent="0.3"/>
    <row r="3264" ht="74.25" customHeight="1" x14ac:dyDescent="0.3"/>
    <row r="3265" ht="74.25" customHeight="1" x14ac:dyDescent="0.3"/>
    <row r="3266" ht="74.25" customHeight="1" x14ac:dyDescent="0.3"/>
    <row r="3267" ht="74.25" customHeight="1" x14ac:dyDescent="0.3"/>
    <row r="3268" ht="74.25" customHeight="1" x14ac:dyDescent="0.3"/>
    <row r="3269" ht="74.25" customHeight="1" x14ac:dyDescent="0.3"/>
    <row r="3270" ht="74.25" customHeight="1" x14ac:dyDescent="0.3"/>
    <row r="3271" ht="74.25" customHeight="1" x14ac:dyDescent="0.3"/>
    <row r="3272" ht="74.25" customHeight="1" x14ac:dyDescent="0.3"/>
    <row r="3273" ht="74.25" customHeight="1" x14ac:dyDescent="0.3"/>
    <row r="3274" ht="74.25" customHeight="1" x14ac:dyDescent="0.3"/>
    <row r="3275" ht="74.25" customHeight="1" x14ac:dyDescent="0.3"/>
    <row r="3276" ht="74.25" customHeight="1" x14ac:dyDescent="0.3"/>
    <row r="3277" ht="74.25" customHeight="1" x14ac:dyDescent="0.3"/>
    <row r="3278" ht="74.25" customHeight="1" x14ac:dyDescent="0.3"/>
    <row r="3279" ht="74.25" customHeight="1" x14ac:dyDescent="0.3"/>
    <row r="3280" ht="74.25" customHeight="1" x14ac:dyDescent="0.3"/>
    <row r="3281" ht="74.25" customHeight="1" x14ac:dyDescent="0.3"/>
    <row r="3282" ht="74.25" customHeight="1" x14ac:dyDescent="0.3"/>
    <row r="3283" ht="74.25" customHeight="1" x14ac:dyDescent="0.3"/>
    <row r="3284" ht="74.25" customHeight="1" x14ac:dyDescent="0.3"/>
    <row r="3285" ht="74.25" customHeight="1" x14ac:dyDescent="0.3"/>
    <row r="3286" ht="74.25" customHeight="1" x14ac:dyDescent="0.3"/>
    <row r="3287" ht="74.25" customHeight="1" x14ac:dyDescent="0.3"/>
    <row r="3288" ht="74.25" customHeight="1" x14ac:dyDescent="0.3"/>
    <row r="3289" ht="74.25" customHeight="1" x14ac:dyDescent="0.3"/>
    <row r="3290" ht="74.25" customHeight="1" x14ac:dyDescent="0.3"/>
    <row r="3291" ht="74.25" customHeight="1" x14ac:dyDescent="0.3"/>
    <row r="3292" ht="74.25" customHeight="1" x14ac:dyDescent="0.3"/>
    <row r="3293" ht="74.25" customHeight="1" x14ac:dyDescent="0.3"/>
    <row r="3294" ht="74.25" customHeight="1" x14ac:dyDescent="0.3"/>
    <row r="3295" ht="74.25" customHeight="1" x14ac:dyDescent="0.3"/>
    <row r="3296" ht="74.25" customHeight="1" x14ac:dyDescent="0.3"/>
    <row r="3297" ht="74.25" customHeight="1" x14ac:dyDescent="0.3"/>
    <row r="3298" ht="74.25" customHeight="1" x14ac:dyDescent="0.3"/>
    <row r="3299" ht="74.25" customHeight="1" x14ac:dyDescent="0.3"/>
    <row r="3300" ht="74.25" customHeight="1" x14ac:dyDescent="0.3"/>
    <row r="3301" ht="74.25" customHeight="1" x14ac:dyDescent="0.3"/>
    <row r="3302" ht="74.25" customHeight="1" x14ac:dyDescent="0.3"/>
    <row r="3303" ht="74.25" customHeight="1" x14ac:dyDescent="0.3"/>
    <row r="3304" ht="74.25" customHeight="1" x14ac:dyDescent="0.3"/>
    <row r="3305" ht="74.25" customHeight="1" x14ac:dyDescent="0.3"/>
    <row r="3306" ht="74.25" customHeight="1" x14ac:dyDescent="0.3"/>
    <row r="3307" ht="74.25" customHeight="1" x14ac:dyDescent="0.3"/>
    <row r="3308" ht="74.25" customHeight="1" x14ac:dyDescent="0.3"/>
    <row r="3309" ht="74.25" customHeight="1" x14ac:dyDescent="0.3"/>
    <row r="3310" ht="74.25" customHeight="1" x14ac:dyDescent="0.3"/>
    <row r="3311" ht="74.25" customHeight="1" x14ac:dyDescent="0.3"/>
    <row r="3312" ht="74.25" customHeight="1" x14ac:dyDescent="0.3"/>
    <row r="3313" ht="74.25" customHeight="1" x14ac:dyDescent="0.3"/>
    <row r="3314" ht="74.25" customHeight="1" x14ac:dyDescent="0.3"/>
    <row r="3315" ht="74.25" customHeight="1" x14ac:dyDescent="0.3"/>
    <row r="3316" ht="74.25" customHeight="1" x14ac:dyDescent="0.3"/>
    <row r="3317" ht="74.25" customHeight="1" x14ac:dyDescent="0.3"/>
    <row r="3318" ht="74.25" customHeight="1" x14ac:dyDescent="0.3"/>
    <row r="3319" ht="74.25" customHeight="1" x14ac:dyDescent="0.3"/>
    <row r="3320" ht="74.25" customHeight="1" x14ac:dyDescent="0.3"/>
    <row r="3321" ht="74.25" customHeight="1" x14ac:dyDescent="0.3"/>
    <row r="3322" ht="74.25" customHeight="1" x14ac:dyDescent="0.3"/>
    <row r="3323" ht="74.25" customHeight="1" x14ac:dyDescent="0.3"/>
    <row r="3324" ht="74.25" customHeight="1" x14ac:dyDescent="0.3"/>
    <row r="3325" ht="74.25" customHeight="1" x14ac:dyDescent="0.3"/>
    <row r="3326" ht="74.25" customHeight="1" x14ac:dyDescent="0.3"/>
    <row r="3327" ht="74.25" customHeight="1" x14ac:dyDescent="0.3"/>
    <row r="3328" ht="74.25" customHeight="1" x14ac:dyDescent="0.3"/>
    <row r="3329" ht="74.25" customHeight="1" x14ac:dyDescent="0.3"/>
    <row r="3330" ht="74.25" customHeight="1" x14ac:dyDescent="0.3"/>
    <row r="3331" ht="74.25" customHeight="1" x14ac:dyDescent="0.3"/>
    <row r="3332" ht="74.25" customHeight="1" x14ac:dyDescent="0.3"/>
    <row r="3333" ht="74.25" customHeight="1" x14ac:dyDescent="0.3"/>
    <row r="3334" ht="74.25" customHeight="1" x14ac:dyDescent="0.3"/>
    <row r="3335" ht="74.25" customHeight="1" x14ac:dyDescent="0.3"/>
    <row r="3336" ht="74.25" customHeight="1" x14ac:dyDescent="0.3"/>
    <row r="3337" ht="74.25" customHeight="1" x14ac:dyDescent="0.3"/>
    <row r="3338" ht="74.25" customHeight="1" x14ac:dyDescent="0.3"/>
    <row r="3339" ht="74.25" customHeight="1" x14ac:dyDescent="0.3"/>
    <row r="3340" ht="74.25" customHeight="1" x14ac:dyDescent="0.3"/>
    <row r="3341" ht="74.25" customHeight="1" x14ac:dyDescent="0.3"/>
    <row r="3342" ht="74.25" customHeight="1" x14ac:dyDescent="0.3"/>
    <row r="3343" ht="74.25" customHeight="1" x14ac:dyDescent="0.3"/>
    <row r="3344" ht="74.25" customHeight="1" x14ac:dyDescent="0.3"/>
    <row r="3345" ht="74.25" customHeight="1" x14ac:dyDescent="0.3"/>
    <row r="3346" ht="74.25" customHeight="1" x14ac:dyDescent="0.3"/>
    <row r="3347" ht="74.25" customHeight="1" x14ac:dyDescent="0.3"/>
    <row r="3348" ht="74.25" customHeight="1" x14ac:dyDescent="0.3"/>
    <row r="3349" ht="74.25" customHeight="1" x14ac:dyDescent="0.3"/>
    <row r="3350" ht="74.25" customHeight="1" x14ac:dyDescent="0.3"/>
    <row r="3351" ht="74.25" customHeight="1" x14ac:dyDescent="0.3"/>
    <row r="3352" ht="74.25" customHeight="1" x14ac:dyDescent="0.3"/>
    <row r="3353" ht="74.25" customHeight="1" x14ac:dyDescent="0.3"/>
    <row r="3354" ht="74.25" customHeight="1" x14ac:dyDescent="0.3"/>
    <row r="3355" ht="74.25" customHeight="1" x14ac:dyDescent="0.3"/>
    <row r="3356" ht="74.25" customHeight="1" x14ac:dyDescent="0.3"/>
    <row r="3357" ht="74.25" customHeight="1" x14ac:dyDescent="0.3"/>
    <row r="3358" ht="74.25" customHeight="1" x14ac:dyDescent="0.3"/>
    <row r="3359" ht="74.25" customHeight="1" x14ac:dyDescent="0.3"/>
    <row r="3360" ht="74.25" customHeight="1" x14ac:dyDescent="0.3"/>
    <row r="3361" ht="74.25" customHeight="1" x14ac:dyDescent="0.3"/>
    <row r="3362" ht="74.25" customHeight="1" x14ac:dyDescent="0.3"/>
    <row r="3363" ht="74.25" customHeight="1" x14ac:dyDescent="0.3"/>
    <row r="3364" ht="74.25" customHeight="1" x14ac:dyDescent="0.3"/>
    <row r="3365" ht="74.25" customHeight="1" x14ac:dyDescent="0.3"/>
    <row r="3366" ht="74.25" customHeight="1" x14ac:dyDescent="0.3"/>
    <row r="3367" ht="74.25" customHeight="1" x14ac:dyDescent="0.3"/>
    <row r="3368" ht="74.25" customHeight="1" x14ac:dyDescent="0.3"/>
    <row r="3369" ht="74.25" customHeight="1" x14ac:dyDescent="0.3"/>
    <row r="3370" ht="74.25" customHeight="1" x14ac:dyDescent="0.3"/>
    <row r="3371" ht="74.25" customHeight="1" x14ac:dyDescent="0.3"/>
    <row r="3372" ht="74.25" customHeight="1" x14ac:dyDescent="0.3"/>
    <row r="3373" ht="74.25" customHeight="1" x14ac:dyDescent="0.3"/>
    <row r="3374" ht="74.25" customHeight="1" x14ac:dyDescent="0.3"/>
    <row r="3375" ht="74.25" customHeight="1" x14ac:dyDescent="0.3"/>
    <row r="3376" ht="74.25" customHeight="1" x14ac:dyDescent="0.3"/>
    <row r="3377" ht="74.25" customHeight="1" x14ac:dyDescent="0.3"/>
    <row r="3378" ht="74.25" customHeight="1" x14ac:dyDescent="0.3"/>
    <row r="3379" ht="74.25" customHeight="1" x14ac:dyDescent="0.3"/>
    <row r="3380" ht="74.25" customHeight="1" x14ac:dyDescent="0.3"/>
    <row r="3381" ht="74.25" customHeight="1" x14ac:dyDescent="0.3"/>
    <row r="3382" ht="74.25" customHeight="1" x14ac:dyDescent="0.3"/>
    <row r="3383" ht="74.25" customHeight="1" x14ac:dyDescent="0.3"/>
    <row r="3384" ht="74.25" customHeight="1" x14ac:dyDescent="0.3"/>
    <row r="3385" ht="74.25" customHeight="1" x14ac:dyDescent="0.3"/>
    <row r="3386" ht="74.25" customHeight="1" x14ac:dyDescent="0.3"/>
    <row r="3387" ht="74.25" customHeight="1" x14ac:dyDescent="0.3"/>
    <row r="3388" ht="74.25" customHeight="1" x14ac:dyDescent="0.3"/>
    <row r="3389" ht="74.25" customHeight="1" x14ac:dyDescent="0.3"/>
    <row r="3390" ht="74.25" customHeight="1" x14ac:dyDescent="0.3"/>
    <row r="3391" ht="74.25" customHeight="1" x14ac:dyDescent="0.3"/>
    <row r="3392" ht="74.25" customHeight="1" x14ac:dyDescent="0.3"/>
    <row r="3393" ht="74.25" customHeight="1" x14ac:dyDescent="0.3"/>
    <row r="3394" ht="74.25" customHeight="1" x14ac:dyDescent="0.3"/>
    <row r="3395" ht="74.25" customHeight="1" x14ac:dyDescent="0.3"/>
    <row r="3396" ht="74.25" customHeight="1" x14ac:dyDescent="0.3"/>
    <row r="3397" ht="74.25" customHeight="1" x14ac:dyDescent="0.3"/>
    <row r="3398" ht="74.25" customHeight="1" x14ac:dyDescent="0.3"/>
    <row r="3399" ht="74.25" customHeight="1" x14ac:dyDescent="0.3"/>
    <row r="3400" ht="74.25" customHeight="1" x14ac:dyDescent="0.3"/>
    <row r="3401" ht="74.25" customHeight="1" x14ac:dyDescent="0.3"/>
    <row r="3402" ht="74.25" customHeight="1" x14ac:dyDescent="0.3"/>
    <row r="3403" ht="74.25" customHeight="1" x14ac:dyDescent="0.3"/>
    <row r="3404" ht="74.25" customHeight="1" x14ac:dyDescent="0.3"/>
    <row r="3405" ht="74.25" customHeight="1" x14ac:dyDescent="0.3"/>
    <row r="3406" ht="74.25" customHeight="1" x14ac:dyDescent="0.3"/>
    <row r="3407" ht="74.25" customHeight="1" x14ac:dyDescent="0.3"/>
    <row r="3408" ht="74.25" customHeight="1" x14ac:dyDescent="0.3"/>
    <row r="3409" ht="74.25" customHeight="1" x14ac:dyDescent="0.3"/>
    <row r="3410" ht="74.25" customHeight="1" x14ac:dyDescent="0.3"/>
    <row r="3411" ht="74.25" customHeight="1" x14ac:dyDescent="0.3"/>
    <row r="3412" ht="74.25" customHeight="1" x14ac:dyDescent="0.3"/>
    <row r="3413" ht="74.25" customHeight="1" x14ac:dyDescent="0.3"/>
    <row r="3414" ht="74.25" customHeight="1" x14ac:dyDescent="0.3"/>
    <row r="3415" ht="74.25" customHeight="1" x14ac:dyDescent="0.3"/>
    <row r="3416" ht="74.25" customHeight="1" x14ac:dyDescent="0.3"/>
    <row r="3417" ht="74.25" customHeight="1" x14ac:dyDescent="0.3"/>
    <row r="3418" ht="74.25" customHeight="1" x14ac:dyDescent="0.3"/>
    <row r="3419" ht="74.25" customHeight="1" x14ac:dyDescent="0.3"/>
    <row r="3420" ht="74.25" customHeight="1" x14ac:dyDescent="0.3"/>
    <row r="3421" ht="74.25" customHeight="1" x14ac:dyDescent="0.3"/>
    <row r="3422" ht="74.25" customHeight="1" x14ac:dyDescent="0.3"/>
    <row r="3423" ht="74.25" customHeight="1" x14ac:dyDescent="0.3"/>
    <row r="3424" ht="74.25" customHeight="1" x14ac:dyDescent="0.3"/>
    <row r="3425" ht="74.25" customHeight="1" x14ac:dyDescent="0.3"/>
    <row r="3426" ht="74.25" customHeight="1" x14ac:dyDescent="0.3"/>
    <row r="3427" ht="74.25" customHeight="1" x14ac:dyDescent="0.3"/>
    <row r="3428" ht="74.25" customHeight="1" x14ac:dyDescent="0.3"/>
    <row r="3429" ht="74.25" customHeight="1" x14ac:dyDescent="0.3"/>
    <row r="3430" ht="74.25" customHeight="1" x14ac:dyDescent="0.3"/>
    <row r="3431" ht="74.25" customHeight="1" x14ac:dyDescent="0.3"/>
    <row r="3432" ht="74.25" customHeight="1" x14ac:dyDescent="0.3"/>
    <row r="3433" ht="74.25" customHeight="1" x14ac:dyDescent="0.3"/>
    <row r="3434" ht="74.25" customHeight="1" x14ac:dyDescent="0.3"/>
    <row r="3435" ht="74.25" customHeight="1" x14ac:dyDescent="0.3"/>
    <row r="3436" ht="74.25" customHeight="1" x14ac:dyDescent="0.3"/>
    <row r="3437" ht="74.25" customHeight="1" x14ac:dyDescent="0.3"/>
    <row r="3438" ht="74.25" customHeight="1" x14ac:dyDescent="0.3"/>
    <row r="3439" ht="74.25" customHeight="1" x14ac:dyDescent="0.3"/>
    <row r="3440" ht="74.25" customHeight="1" x14ac:dyDescent="0.3"/>
    <row r="3441" ht="74.25" customHeight="1" x14ac:dyDescent="0.3"/>
    <row r="3442" ht="74.25" customHeight="1" x14ac:dyDescent="0.3"/>
    <row r="3443" ht="74.25" customHeight="1" x14ac:dyDescent="0.3"/>
    <row r="3444" ht="74.25" customHeight="1" x14ac:dyDescent="0.3"/>
    <row r="3445" ht="74.25" customHeight="1" x14ac:dyDescent="0.3"/>
    <row r="3446" ht="74.25" customHeight="1" x14ac:dyDescent="0.3"/>
    <row r="3447" ht="74.25" customHeight="1" x14ac:dyDescent="0.3"/>
    <row r="3448" ht="74.25" customHeight="1" x14ac:dyDescent="0.3"/>
    <row r="3449" ht="74.25" customHeight="1" x14ac:dyDescent="0.3"/>
    <row r="3450" ht="74.25" customHeight="1" x14ac:dyDescent="0.3"/>
    <row r="3451" ht="74.25" customHeight="1" x14ac:dyDescent="0.3"/>
    <row r="3452" ht="74.25" customHeight="1" x14ac:dyDescent="0.3"/>
    <row r="3453" ht="74.25" customHeight="1" x14ac:dyDescent="0.3"/>
    <row r="3454" ht="74.25" customHeight="1" x14ac:dyDescent="0.3"/>
    <row r="3455" ht="74.25" customHeight="1" x14ac:dyDescent="0.3"/>
    <row r="3456" ht="74.25" customHeight="1" x14ac:dyDescent="0.3"/>
    <row r="3457" ht="74.25" customHeight="1" x14ac:dyDescent="0.3"/>
    <row r="3458" ht="74.25" customHeight="1" x14ac:dyDescent="0.3"/>
    <row r="3459" ht="74.25" customHeight="1" x14ac:dyDescent="0.3"/>
    <row r="3460" ht="74.25" customHeight="1" x14ac:dyDescent="0.3"/>
    <row r="3461" ht="74.25" customHeight="1" x14ac:dyDescent="0.3"/>
    <row r="3462" ht="74.25" customHeight="1" x14ac:dyDescent="0.3"/>
    <row r="3463" ht="74.25" customHeight="1" x14ac:dyDescent="0.3"/>
    <row r="3464" ht="74.25" customHeight="1" x14ac:dyDescent="0.3"/>
    <row r="3465" ht="74.25" customHeight="1" x14ac:dyDescent="0.3"/>
    <row r="3466" ht="74.25" customHeight="1" x14ac:dyDescent="0.3"/>
    <row r="3467" ht="74.25" customHeight="1" x14ac:dyDescent="0.3"/>
    <row r="3468" ht="74.25" customHeight="1" x14ac:dyDescent="0.3"/>
    <row r="3469" ht="74.25" customHeight="1" x14ac:dyDescent="0.3"/>
    <row r="3470" ht="74.25" customHeight="1" x14ac:dyDescent="0.3"/>
    <row r="3471" ht="74.25" customHeight="1" x14ac:dyDescent="0.3"/>
    <row r="3472" ht="74.25" customHeight="1" x14ac:dyDescent="0.3"/>
    <row r="3473" ht="74.25" customHeight="1" x14ac:dyDescent="0.3"/>
    <row r="3474" ht="74.25" customHeight="1" x14ac:dyDescent="0.3"/>
    <row r="3475" ht="74.25" customHeight="1" x14ac:dyDescent="0.3"/>
    <row r="3476" ht="74.25" customHeight="1" x14ac:dyDescent="0.3"/>
    <row r="3477" ht="74.25" customHeight="1" x14ac:dyDescent="0.3"/>
    <row r="3478" ht="74.25" customHeight="1" x14ac:dyDescent="0.3"/>
    <row r="3479" ht="74.25" customHeight="1" x14ac:dyDescent="0.3"/>
    <row r="3480" ht="74.25" customHeight="1" x14ac:dyDescent="0.3"/>
    <row r="3481" ht="74.25" customHeight="1" x14ac:dyDescent="0.3"/>
    <row r="3482" ht="74.25" customHeight="1" x14ac:dyDescent="0.3"/>
    <row r="3483" ht="74.25" customHeight="1" x14ac:dyDescent="0.3"/>
    <row r="3484" ht="74.25" customHeight="1" x14ac:dyDescent="0.3"/>
    <row r="3485" ht="74.25" customHeight="1" x14ac:dyDescent="0.3"/>
    <row r="3486" ht="74.25" customHeight="1" x14ac:dyDescent="0.3"/>
    <row r="3487" ht="74.25" customHeight="1" x14ac:dyDescent="0.3"/>
    <row r="3488" ht="74.25" customHeight="1" x14ac:dyDescent="0.3"/>
    <row r="3489" ht="74.25" customHeight="1" x14ac:dyDescent="0.3"/>
    <row r="3490" ht="74.25" customHeight="1" x14ac:dyDescent="0.3"/>
    <row r="3491" ht="74.25" customHeight="1" x14ac:dyDescent="0.3"/>
    <row r="3492" ht="74.25" customHeight="1" x14ac:dyDescent="0.3"/>
    <row r="3493" ht="74.25" customHeight="1" x14ac:dyDescent="0.3"/>
    <row r="3494" ht="74.25" customHeight="1" x14ac:dyDescent="0.3"/>
    <row r="3495" ht="74.25" customHeight="1" x14ac:dyDescent="0.3"/>
    <row r="3496" ht="74.25" customHeight="1" x14ac:dyDescent="0.3"/>
    <row r="3497" ht="74.25" customHeight="1" x14ac:dyDescent="0.3"/>
    <row r="3498" ht="74.25" customHeight="1" x14ac:dyDescent="0.3"/>
    <row r="3499" ht="74.25" customHeight="1" x14ac:dyDescent="0.3"/>
    <row r="3500" ht="74.25" customHeight="1" x14ac:dyDescent="0.3"/>
    <row r="3501" ht="74.25" customHeight="1" x14ac:dyDescent="0.3"/>
    <row r="3502" ht="74.25" customHeight="1" x14ac:dyDescent="0.3"/>
    <row r="3503" ht="74.25" customHeight="1" x14ac:dyDescent="0.3"/>
    <row r="3504" ht="74.25" customHeight="1" x14ac:dyDescent="0.3"/>
    <row r="3505" ht="74.25" customHeight="1" x14ac:dyDescent="0.3"/>
    <row r="3506" ht="74.25" customHeight="1" x14ac:dyDescent="0.3"/>
    <row r="3507" ht="74.25" customHeight="1" x14ac:dyDescent="0.3"/>
    <row r="3508" ht="74.25" customHeight="1" x14ac:dyDescent="0.3"/>
    <row r="3509" ht="74.25" customHeight="1" x14ac:dyDescent="0.3"/>
    <row r="3510" ht="74.25" customHeight="1" x14ac:dyDescent="0.3"/>
    <row r="3511" ht="74.25" customHeight="1" x14ac:dyDescent="0.3"/>
    <row r="3512" ht="74.25" customHeight="1" x14ac:dyDescent="0.3"/>
    <row r="3513" ht="74.25" customHeight="1" x14ac:dyDescent="0.3"/>
    <row r="3514" ht="74.25" customHeight="1" x14ac:dyDescent="0.3"/>
    <row r="3515" ht="74.25" customHeight="1" x14ac:dyDescent="0.3"/>
    <row r="3516" ht="74.25" customHeight="1" x14ac:dyDescent="0.3"/>
    <row r="3517" ht="74.25" customHeight="1" x14ac:dyDescent="0.3"/>
    <row r="3518" ht="74.25" customHeight="1" x14ac:dyDescent="0.3"/>
    <row r="3519" ht="74.25" customHeight="1" x14ac:dyDescent="0.3"/>
    <row r="3520" ht="74.25" customHeight="1" x14ac:dyDescent="0.3"/>
    <row r="3521" ht="74.25" customHeight="1" x14ac:dyDescent="0.3"/>
    <row r="3522" ht="74.25" customHeight="1" x14ac:dyDescent="0.3"/>
    <row r="3523" ht="74.25" customHeight="1" x14ac:dyDescent="0.3"/>
    <row r="3524" ht="74.25" customHeight="1" x14ac:dyDescent="0.3"/>
    <row r="3525" ht="74.25" customHeight="1" x14ac:dyDescent="0.3"/>
    <row r="3526" ht="74.25" customHeight="1" x14ac:dyDescent="0.3"/>
    <row r="3527" ht="74.25" customHeight="1" x14ac:dyDescent="0.3"/>
    <row r="3528" ht="74.25" customHeight="1" x14ac:dyDescent="0.3"/>
    <row r="3529" ht="74.25" customHeight="1" x14ac:dyDescent="0.3"/>
    <row r="3530" ht="74.25" customHeight="1" x14ac:dyDescent="0.3"/>
    <row r="3531" ht="74.25" customHeight="1" x14ac:dyDescent="0.3"/>
    <row r="3532" ht="74.25" customHeight="1" x14ac:dyDescent="0.3"/>
    <row r="3533" ht="74.25" customHeight="1" x14ac:dyDescent="0.3"/>
    <row r="3534" ht="74.25" customHeight="1" x14ac:dyDescent="0.3"/>
    <row r="3535" ht="74.25" customHeight="1" x14ac:dyDescent="0.3"/>
    <row r="3536" ht="74.25" customHeight="1" x14ac:dyDescent="0.3"/>
    <row r="3537" ht="74.25" customHeight="1" x14ac:dyDescent="0.3"/>
    <row r="3538" ht="74.25" customHeight="1" x14ac:dyDescent="0.3"/>
    <row r="3539" ht="74.25" customHeight="1" x14ac:dyDescent="0.3"/>
    <row r="3540" ht="74.25" customHeight="1" x14ac:dyDescent="0.3"/>
    <row r="3541" ht="74.25" customHeight="1" x14ac:dyDescent="0.3"/>
    <row r="3542" ht="74.25" customHeight="1" x14ac:dyDescent="0.3"/>
    <row r="3543" ht="74.25" customHeight="1" x14ac:dyDescent="0.3"/>
    <row r="3544" ht="74.25" customHeight="1" x14ac:dyDescent="0.3"/>
    <row r="3545" ht="74.25" customHeight="1" x14ac:dyDescent="0.3"/>
    <row r="3546" ht="74.25" customHeight="1" x14ac:dyDescent="0.3"/>
    <row r="3547" ht="74.25" customHeight="1" x14ac:dyDescent="0.3"/>
    <row r="3548" ht="74.25" customHeight="1" x14ac:dyDescent="0.3"/>
    <row r="3549" ht="74.25" customHeight="1" x14ac:dyDescent="0.3"/>
    <row r="3550" ht="74.25" customHeight="1" x14ac:dyDescent="0.3"/>
    <row r="3551" ht="74.25" customHeight="1" x14ac:dyDescent="0.3"/>
    <row r="3552" ht="74.25" customHeight="1" x14ac:dyDescent="0.3"/>
    <row r="3553" ht="74.25" customHeight="1" x14ac:dyDescent="0.3"/>
    <row r="3554" ht="74.25" customHeight="1" x14ac:dyDescent="0.3"/>
    <row r="3555" ht="74.25" customHeight="1" x14ac:dyDescent="0.3"/>
    <row r="3556" ht="74.25" customHeight="1" x14ac:dyDescent="0.3"/>
    <row r="3557" ht="74.25" customHeight="1" x14ac:dyDescent="0.3"/>
    <row r="3558" ht="74.25" customHeight="1" x14ac:dyDescent="0.3"/>
    <row r="3559" ht="74.25" customHeight="1" x14ac:dyDescent="0.3"/>
    <row r="3560" ht="74.25" customHeight="1" x14ac:dyDescent="0.3"/>
    <row r="3561" ht="74.25" customHeight="1" x14ac:dyDescent="0.3"/>
    <row r="3562" ht="74.25" customHeight="1" x14ac:dyDescent="0.3"/>
    <row r="3563" ht="74.25" customHeight="1" x14ac:dyDescent="0.3"/>
    <row r="3564" ht="74.25" customHeight="1" x14ac:dyDescent="0.3"/>
    <row r="3565" ht="74.25" customHeight="1" x14ac:dyDescent="0.3"/>
    <row r="3566" ht="74.25" customHeight="1" x14ac:dyDescent="0.3"/>
    <row r="3567" ht="74.25" customHeight="1" x14ac:dyDescent="0.3"/>
    <row r="3568" ht="74.25" customHeight="1" x14ac:dyDescent="0.3"/>
    <row r="3569" ht="74.25" customHeight="1" x14ac:dyDescent="0.3"/>
    <row r="3570" ht="74.25" customHeight="1" x14ac:dyDescent="0.3"/>
    <row r="3571" ht="74.25" customHeight="1" x14ac:dyDescent="0.3"/>
    <row r="3572" ht="74.25" customHeight="1" x14ac:dyDescent="0.3"/>
    <row r="3573" ht="74.25" customHeight="1" x14ac:dyDescent="0.3"/>
    <row r="3574" ht="74.25" customHeight="1" x14ac:dyDescent="0.3"/>
    <row r="3575" ht="74.25" customHeight="1" x14ac:dyDescent="0.3"/>
    <row r="3576" ht="74.25" customHeight="1" x14ac:dyDescent="0.3"/>
    <row r="3577" ht="74.25" customHeight="1" x14ac:dyDescent="0.3"/>
    <row r="3578" ht="74.25" customHeight="1" x14ac:dyDescent="0.3"/>
    <row r="3579" ht="74.25" customHeight="1" x14ac:dyDescent="0.3"/>
    <row r="3580" ht="74.25" customHeight="1" x14ac:dyDescent="0.3"/>
    <row r="3581" ht="74.25" customHeight="1" x14ac:dyDescent="0.3"/>
    <row r="3582" ht="74.25" customHeight="1" x14ac:dyDescent="0.3"/>
    <row r="3583" ht="74.25" customHeight="1" x14ac:dyDescent="0.3"/>
    <row r="3584" ht="74.25" customHeight="1" x14ac:dyDescent="0.3"/>
    <row r="3585" ht="74.25" customHeight="1" x14ac:dyDescent="0.3"/>
    <row r="3586" ht="74.25" customHeight="1" x14ac:dyDescent="0.3"/>
    <row r="3587" ht="74.25" customHeight="1" x14ac:dyDescent="0.3"/>
    <row r="3588" ht="74.25" customHeight="1" x14ac:dyDescent="0.3"/>
    <row r="3589" ht="74.25" customHeight="1" x14ac:dyDescent="0.3"/>
    <row r="3590" ht="74.25" customHeight="1" x14ac:dyDescent="0.3"/>
    <row r="3591" ht="74.25" customHeight="1" x14ac:dyDescent="0.3"/>
    <row r="3592" ht="74.25" customHeight="1" x14ac:dyDescent="0.3"/>
    <row r="3593" ht="74.25" customHeight="1" x14ac:dyDescent="0.3"/>
    <row r="3594" ht="74.25" customHeight="1" x14ac:dyDescent="0.3"/>
    <row r="3595" ht="74.25" customHeight="1" x14ac:dyDescent="0.3"/>
    <row r="3596" ht="74.25" customHeight="1" x14ac:dyDescent="0.3"/>
    <row r="3597" ht="74.25" customHeight="1" x14ac:dyDescent="0.3"/>
    <row r="3598" ht="74.25" customHeight="1" x14ac:dyDescent="0.3"/>
    <row r="3599" ht="74.25" customHeight="1" x14ac:dyDescent="0.3"/>
    <row r="3600" ht="74.25" customHeight="1" x14ac:dyDescent="0.3"/>
    <row r="3601" ht="74.25" customHeight="1" x14ac:dyDescent="0.3"/>
    <row r="3602" ht="74.25" customHeight="1" x14ac:dyDescent="0.3"/>
    <row r="3603" ht="74.25" customHeight="1" x14ac:dyDescent="0.3"/>
    <row r="3604" ht="74.25" customHeight="1" x14ac:dyDescent="0.3"/>
    <row r="3605" ht="74.25" customHeight="1" x14ac:dyDescent="0.3"/>
    <row r="3606" ht="74.25" customHeight="1" x14ac:dyDescent="0.3"/>
    <row r="3607" ht="74.25" customHeight="1" x14ac:dyDescent="0.3"/>
    <row r="3608" ht="74.25" customHeight="1" x14ac:dyDescent="0.3"/>
    <row r="3609" ht="74.25" customHeight="1" x14ac:dyDescent="0.3"/>
    <row r="3610" ht="74.25" customHeight="1" x14ac:dyDescent="0.3"/>
    <row r="3611" ht="74.25" customHeight="1" x14ac:dyDescent="0.3"/>
    <row r="3612" ht="74.25" customHeight="1" x14ac:dyDescent="0.3"/>
    <row r="3613" ht="74.25" customHeight="1" x14ac:dyDescent="0.3"/>
    <row r="3614" ht="74.25" customHeight="1" x14ac:dyDescent="0.3"/>
    <row r="3615" ht="74.25" customHeight="1" x14ac:dyDescent="0.3"/>
    <row r="3616" ht="74.25" customHeight="1" x14ac:dyDescent="0.3"/>
    <row r="3617" ht="74.25" customHeight="1" x14ac:dyDescent="0.3"/>
    <row r="3618" ht="74.25" customHeight="1" x14ac:dyDescent="0.3"/>
    <row r="3619" ht="74.25" customHeight="1" x14ac:dyDescent="0.3"/>
    <row r="3620" ht="74.25" customHeight="1" x14ac:dyDescent="0.3"/>
    <row r="3621" ht="74.25" customHeight="1" x14ac:dyDescent="0.3"/>
    <row r="3622" ht="74.25" customHeight="1" x14ac:dyDescent="0.3"/>
    <row r="3623" ht="74.25" customHeight="1" x14ac:dyDescent="0.3"/>
    <row r="3624" ht="74.25" customHeight="1" x14ac:dyDescent="0.3"/>
    <row r="3625" ht="74.25" customHeight="1" x14ac:dyDescent="0.3"/>
    <row r="3626" ht="74.25" customHeight="1" x14ac:dyDescent="0.3"/>
    <row r="3627" ht="74.25" customHeight="1" x14ac:dyDescent="0.3"/>
    <row r="3628" ht="74.25" customHeight="1" x14ac:dyDescent="0.3"/>
    <row r="3629" ht="74.25" customHeight="1" x14ac:dyDescent="0.3"/>
    <row r="3630" ht="74.25" customHeight="1" x14ac:dyDescent="0.3"/>
    <row r="3631" ht="74.25" customHeight="1" x14ac:dyDescent="0.3"/>
    <row r="3632" ht="74.25" customHeight="1" x14ac:dyDescent="0.3"/>
    <row r="3633" ht="74.25" customHeight="1" x14ac:dyDescent="0.3"/>
    <row r="3634" ht="74.25" customHeight="1" x14ac:dyDescent="0.3"/>
    <row r="3635" ht="74.25" customHeight="1" x14ac:dyDescent="0.3"/>
    <row r="3636" ht="74.25" customHeight="1" x14ac:dyDescent="0.3"/>
    <row r="3637" ht="74.25" customHeight="1" x14ac:dyDescent="0.3"/>
    <row r="3638" ht="74.25" customHeight="1" x14ac:dyDescent="0.3"/>
    <row r="3639" ht="74.25" customHeight="1" x14ac:dyDescent="0.3"/>
    <row r="3640" ht="74.25" customHeight="1" x14ac:dyDescent="0.3"/>
    <row r="3641" ht="74.25" customHeight="1" x14ac:dyDescent="0.3"/>
    <row r="3642" ht="74.25" customHeight="1" x14ac:dyDescent="0.3"/>
    <row r="3643" ht="74.25" customHeight="1" x14ac:dyDescent="0.3"/>
    <row r="3644" ht="74.25" customHeight="1" x14ac:dyDescent="0.3"/>
    <row r="3645" ht="74.25" customHeight="1" x14ac:dyDescent="0.3"/>
    <row r="3646" ht="74.25" customHeight="1" x14ac:dyDescent="0.3"/>
    <row r="3647" ht="74.25" customHeight="1" x14ac:dyDescent="0.3"/>
    <row r="3648" ht="74.25" customHeight="1" x14ac:dyDescent="0.3"/>
    <row r="3649" ht="74.25" customHeight="1" x14ac:dyDescent="0.3"/>
    <row r="3650" ht="74.25" customHeight="1" x14ac:dyDescent="0.3"/>
    <row r="3651" ht="74.25" customHeight="1" x14ac:dyDescent="0.3"/>
    <row r="3652" ht="74.25" customHeight="1" x14ac:dyDescent="0.3"/>
    <row r="3653" ht="74.25" customHeight="1" x14ac:dyDescent="0.3"/>
    <row r="3654" ht="74.25" customHeight="1" x14ac:dyDescent="0.3"/>
    <row r="3655" ht="74.25" customHeight="1" x14ac:dyDescent="0.3"/>
    <row r="3656" ht="74.25" customHeight="1" x14ac:dyDescent="0.3"/>
    <row r="3657" ht="74.25" customHeight="1" x14ac:dyDescent="0.3"/>
    <row r="3658" ht="74.25" customHeight="1" x14ac:dyDescent="0.3"/>
    <row r="3659" ht="74.25" customHeight="1" x14ac:dyDescent="0.3"/>
    <row r="3660" ht="74.25" customHeight="1" x14ac:dyDescent="0.3"/>
    <row r="3661" ht="74.25" customHeight="1" x14ac:dyDescent="0.3"/>
    <row r="3662" ht="74.25" customHeight="1" x14ac:dyDescent="0.3"/>
    <row r="3663" ht="74.25" customHeight="1" x14ac:dyDescent="0.3"/>
    <row r="3664" ht="74.25" customHeight="1" x14ac:dyDescent="0.3"/>
    <row r="3665" ht="74.25" customHeight="1" x14ac:dyDescent="0.3"/>
    <row r="3666" ht="74.25" customHeight="1" x14ac:dyDescent="0.3"/>
    <row r="3667" ht="74.25" customHeight="1" x14ac:dyDescent="0.3"/>
    <row r="3668" ht="74.25" customHeight="1" x14ac:dyDescent="0.3"/>
    <row r="3669" ht="74.25" customHeight="1" x14ac:dyDescent="0.3"/>
    <row r="3670" ht="74.25" customHeight="1" x14ac:dyDescent="0.3"/>
    <row r="3671" ht="74.25" customHeight="1" x14ac:dyDescent="0.3"/>
    <row r="3672" ht="74.25" customHeight="1" x14ac:dyDescent="0.3"/>
    <row r="3673" ht="74.25" customHeight="1" x14ac:dyDescent="0.3"/>
    <row r="3674" ht="74.25" customHeight="1" x14ac:dyDescent="0.3"/>
    <row r="3675" ht="74.25" customHeight="1" x14ac:dyDescent="0.3"/>
    <row r="3676" ht="74.25" customHeight="1" x14ac:dyDescent="0.3"/>
    <row r="3677" ht="74.25" customHeight="1" x14ac:dyDescent="0.3"/>
    <row r="3678" ht="74.25" customHeight="1" x14ac:dyDescent="0.3"/>
    <row r="3679" ht="74.25" customHeight="1" x14ac:dyDescent="0.3"/>
    <row r="3680" ht="74.25" customHeight="1" x14ac:dyDescent="0.3"/>
    <row r="3681" ht="74.25" customHeight="1" x14ac:dyDescent="0.3"/>
    <row r="3682" ht="74.25" customHeight="1" x14ac:dyDescent="0.3"/>
    <row r="3683" ht="74.25" customHeight="1" x14ac:dyDescent="0.3"/>
    <row r="3684" ht="74.25" customHeight="1" x14ac:dyDescent="0.3"/>
    <row r="3685" ht="74.25" customHeight="1" x14ac:dyDescent="0.3"/>
    <row r="3686" ht="74.25" customHeight="1" x14ac:dyDescent="0.3"/>
    <row r="3687" ht="74.25" customHeight="1" x14ac:dyDescent="0.3"/>
    <row r="3688" ht="74.25" customHeight="1" x14ac:dyDescent="0.3"/>
    <row r="3689" ht="74.25" customHeight="1" x14ac:dyDescent="0.3"/>
    <row r="3690" ht="74.25" customHeight="1" x14ac:dyDescent="0.3"/>
    <row r="3691" ht="74.25" customHeight="1" x14ac:dyDescent="0.3"/>
    <row r="3692" ht="74.25" customHeight="1" x14ac:dyDescent="0.3"/>
    <row r="3693" ht="74.25" customHeight="1" x14ac:dyDescent="0.3"/>
    <row r="3694" ht="74.25" customHeight="1" x14ac:dyDescent="0.3"/>
    <row r="3695" ht="74.25" customHeight="1" x14ac:dyDescent="0.3"/>
    <row r="3696" ht="74.25" customHeight="1" x14ac:dyDescent="0.3"/>
    <row r="3697" ht="74.25" customHeight="1" x14ac:dyDescent="0.3"/>
    <row r="3698" ht="74.25" customHeight="1" x14ac:dyDescent="0.3"/>
    <row r="3699" ht="74.25" customHeight="1" x14ac:dyDescent="0.3"/>
    <row r="3700" ht="74.25" customHeight="1" x14ac:dyDescent="0.3"/>
    <row r="3701" ht="74.25" customHeight="1" x14ac:dyDescent="0.3"/>
    <row r="3702" ht="74.25" customHeight="1" x14ac:dyDescent="0.3"/>
    <row r="3703" ht="74.25" customHeight="1" x14ac:dyDescent="0.3"/>
    <row r="3704" ht="74.25" customHeight="1" x14ac:dyDescent="0.3"/>
    <row r="3705" ht="74.25" customHeight="1" x14ac:dyDescent="0.3"/>
    <row r="3706" ht="74.25" customHeight="1" x14ac:dyDescent="0.3"/>
    <row r="3707" ht="74.25" customHeight="1" x14ac:dyDescent="0.3"/>
    <row r="3708" ht="74.25" customHeight="1" x14ac:dyDescent="0.3"/>
    <row r="3709" ht="74.25" customHeight="1" x14ac:dyDescent="0.3"/>
    <row r="3710" ht="74.25" customHeight="1" x14ac:dyDescent="0.3"/>
    <row r="3711" ht="74.25" customHeight="1" x14ac:dyDescent="0.3"/>
    <row r="3712" ht="74.25" customHeight="1" x14ac:dyDescent="0.3"/>
    <row r="3713" ht="74.25" customHeight="1" x14ac:dyDescent="0.3"/>
    <row r="3714" ht="74.25" customHeight="1" x14ac:dyDescent="0.3"/>
    <row r="3715" ht="74.25" customHeight="1" x14ac:dyDescent="0.3"/>
    <row r="3716" ht="74.25" customHeight="1" x14ac:dyDescent="0.3"/>
    <row r="3717" ht="74.25" customHeight="1" x14ac:dyDescent="0.3"/>
    <row r="3718" ht="74.25" customHeight="1" x14ac:dyDescent="0.3"/>
    <row r="3719" ht="74.25" customHeight="1" x14ac:dyDescent="0.3"/>
    <row r="3720" ht="74.25" customHeight="1" x14ac:dyDescent="0.3"/>
    <row r="3721" ht="74.25" customHeight="1" x14ac:dyDescent="0.3"/>
    <row r="3722" ht="74.25" customHeight="1" x14ac:dyDescent="0.3"/>
    <row r="3723" ht="74.25" customHeight="1" x14ac:dyDescent="0.3"/>
    <row r="3724" ht="74.25" customHeight="1" x14ac:dyDescent="0.3"/>
    <row r="3725" ht="74.25" customHeight="1" x14ac:dyDescent="0.3"/>
    <row r="3726" ht="74.25" customHeight="1" x14ac:dyDescent="0.3"/>
    <row r="3727" ht="74.25" customHeight="1" x14ac:dyDescent="0.3"/>
    <row r="3728" ht="74.25" customHeight="1" x14ac:dyDescent="0.3"/>
    <row r="3729" ht="74.25" customHeight="1" x14ac:dyDescent="0.3"/>
    <row r="3730" ht="74.25" customHeight="1" x14ac:dyDescent="0.3"/>
    <row r="3731" ht="74.25" customHeight="1" x14ac:dyDescent="0.3"/>
    <row r="3732" ht="74.25" customHeight="1" x14ac:dyDescent="0.3"/>
    <row r="3733" ht="74.25" customHeight="1" x14ac:dyDescent="0.3"/>
    <row r="3734" ht="74.25" customHeight="1" x14ac:dyDescent="0.3"/>
    <row r="3735" ht="74.25" customHeight="1" x14ac:dyDescent="0.3"/>
    <row r="3736" ht="74.25" customHeight="1" x14ac:dyDescent="0.3"/>
    <row r="3737" ht="74.25" customHeight="1" x14ac:dyDescent="0.3"/>
    <row r="3738" ht="74.25" customHeight="1" x14ac:dyDescent="0.3"/>
    <row r="3739" ht="74.25" customHeight="1" x14ac:dyDescent="0.3"/>
    <row r="3740" ht="74.25" customHeight="1" x14ac:dyDescent="0.3"/>
    <row r="3741" ht="74.25" customHeight="1" x14ac:dyDescent="0.3"/>
    <row r="3742" ht="74.25" customHeight="1" x14ac:dyDescent="0.3"/>
    <row r="3743" ht="74.25" customHeight="1" x14ac:dyDescent="0.3"/>
    <row r="3744" ht="74.25" customHeight="1" x14ac:dyDescent="0.3"/>
    <row r="3745" ht="74.25" customHeight="1" x14ac:dyDescent="0.3"/>
    <row r="3746" ht="74.25" customHeight="1" x14ac:dyDescent="0.3"/>
    <row r="3747" ht="74.25" customHeight="1" x14ac:dyDescent="0.3"/>
    <row r="3748" ht="74.25" customHeight="1" x14ac:dyDescent="0.3"/>
    <row r="3749" ht="74.25" customHeight="1" x14ac:dyDescent="0.3"/>
    <row r="3750" ht="74.25" customHeight="1" x14ac:dyDescent="0.3"/>
    <row r="3751" ht="74.25" customHeight="1" x14ac:dyDescent="0.3"/>
    <row r="3752" ht="74.25" customHeight="1" x14ac:dyDescent="0.3"/>
    <row r="3753" ht="74.25" customHeight="1" x14ac:dyDescent="0.3"/>
    <row r="3754" ht="74.25" customHeight="1" x14ac:dyDescent="0.3"/>
    <row r="3755" ht="74.25" customHeight="1" x14ac:dyDescent="0.3"/>
    <row r="3756" ht="74.25" customHeight="1" x14ac:dyDescent="0.3"/>
    <row r="3757" ht="74.25" customHeight="1" x14ac:dyDescent="0.3"/>
    <row r="3758" ht="74.25" customHeight="1" x14ac:dyDescent="0.3"/>
    <row r="3759" ht="74.25" customHeight="1" x14ac:dyDescent="0.3"/>
    <row r="3760" ht="74.25" customHeight="1" x14ac:dyDescent="0.3"/>
    <row r="3761" ht="74.25" customHeight="1" x14ac:dyDescent="0.3"/>
    <row r="3762" ht="74.25" customHeight="1" x14ac:dyDescent="0.3"/>
    <row r="3763" ht="74.25" customHeight="1" x14ac:dyDescent="0.3"/>
    <row r="3764" ht="74.25" customHeight="1" x14ac:dyDescent="0.3"/>
    <row r="3765" ht="74.25" customHeight="1" x14ac:dyDescent="0.3"/>
    <row r="3766" ht="74.25" customHeight="1" x14ac:dyDescent="0.3"/>
    <row r="3767" ht="74.25" customHeight="1" x14ac:dyDescent="0.3"/>
    <row r="3768" ht="74.25" customHeight="1" x14ac:dyDescent="0.3"/>
    <row r="3769" ht="74.25" customHeight="1" x14ac:dyDescent="0.3"/>
    <row r="3770" ht="74.25" customHeight="1" x14ac:dyDescent="0.3"/>
    <row r="3771" ht="74.25" customHeight="1" x14ac:dyDescent="0.3"/>
    <row r="3772" ht="74.25" customHeight="1" x14ac:dyDescent="0.3"/>
    <row r="3773" ht="74.25" customHeight="1" x14ac:dyDescent="0.3"/>
    <row r="3774" ht="74.25" customHeight="1" x14ac:dyDescent="0.3"/>
    <row r="3775" ht="74.25" customHeight="1" x14ac:dyDescent="0.3"/>
    <row r="3776" ht="74.25" customHeight="1" x14ac:dyDescent="0.3"/>
    <row r="3777" ht="74.25" customHeight="1" x14ac:dyDescent="0.3"/>
    <row r="3778" ht="74.25" customHeight="1" x14ac:dyDescent="0.3"/>
    <row r="3779" ht="74.25" customHeight="1" x14ac:dyDescent="0.3"/>
    <row r="3780" ht="74.25" customHeight="1" x14ac:dyDescent="0.3"/>
    <row r="3781" ht="74.25" customHeight="1" x14ac:dyDescent="0.3"/>
    <row r="3782" ht="74.25" customHeight="1" x14ac:dyDescent="0.3"/>
    <row r="3783" ht="74.25" customHeight="1" x14ac:dyDescent="0.3"/>
    <row r="3784" ht="74.25" customHeight="1" x14ac:dyDescent="0.3"/>
    <row r="3785" ht="74.25" customHeight="1" x14ac:dyDescent="0.3"/>
    <row r="3786" ht="74.25" customHeight="1" x14ac:dyDescent="0.3"/>
    <row r="3787" ht="74.25" customHeight="1" x14ac:dyDescent="0.3"/>
    <row r="3788" ht="74.25" customHeight="1" x14ac:dyDescent="0.3"/>
    <row r="3789" ht="74.25" customHeight="1" x14ac:dyDescent="0.3"/>
    <row r="3790" ht="74.25" customHeight="1" x14ac:dyDescent="0.3"/>
    <row r="3791" ht="74.25" customHeight="1" x14ac:dyDescent="0.3"/>
    <row r="3792" ht="74.25" customHeight="1" x14ac:dyDescent="0.3"/>
    <row r="3793" ht="74.25" customHeight="1" x14ac:dyDescent="0.3"/>
    <row r="3794" ht="74.25" customHeight="1" x14ac:dyDescent="0.3"/>
    <row r="3795" ht="74.25" customHeight="1" x14ac:dyDescent="0.3"/>
    <row r="3796" ht="74.25" customHeight="1" x14ac:dyDescent="0.3"/>
    <row r="3797" ht="74.25" customHeight="1" x14ac:dyDescent="0.3"/>
    <row r="3798" ht="74.25" customHeight="1" x14ac:dyDescent="0.3"/>
    <row r="3799" ht="74.25" customHeight="1" x14ac:dyDescent="0.3"/>
    <row r="3800" ht="74.25" customHeight="1" x14ac:dyDescent="0.3"/>
    <row r="3801" ht="74.25" customHeight="1" x14ac:dyDescent="0.3"/>
    <row r="3802" ht="74.25" customHeight="1" x14ac:dyDescent="0.3"/>
    <row r="3803" ht="74.25" customHeight="1" x14ac:dyDescent="0.3"/>
    <row r="3804" ht="74.25" customHeight="1" x14ac:dyDescent="0.3"/>
    <row r="3805" ht="74.25" customHeight="1" x14ac:dyDescent="0.3"/>
    <row r="3806" ht="74.25" customHeight="1" x14ac:dyDescent="0.3"/>
    <row r="3807" ht="74.25" customHeight="1" x14ac:dyDescent="0.3"/>
    <row r="3808" ht="74.25" customHeight="1" x14ac:dyDescent="0.3"/>
    <row r="3809" ht="74.25" customHeight="1" x14ac:dyDescent="0.3"/>
    <row r="3810" ht="74.25" customHeight="1" x14ac:dyDescent="0.3"/>
    <row r="3811" ht="74.25" customHeight="1" x14ac:dyDescent="0.3"/>
    <row r="3812" ht="74.25" customHeight="1" x14ac:dyDescent="0.3"/>
    <row r="3813" ht="74.25" customHeight="1" x14ac:dyDescent="0.3"/>
    <row r="3814" ht="74.25" customHeight="1" x14ac:dyDescent="0.3"/>
    <row r="3815" ht="74.25" customHeight="1" x14ac:dyDescent="0.3"/>
    <row r="3816" ht="74.25" customHeight="1" x14ac:dyDescent="0.3"/>
    <row r="3817" ht="74.25" customHeight="1" x14ac:dyDescent="0.3"/>
    <row r="3818" ht="74.25" customHeight="1" x14ac:dyDescent="0.3"/>
    <row r="3819" ht="74.25" customHeight="1" x14ac:dyDescent="0.3"/>
    <row r="3820" ht="74.25" customHeight="1" x14ac:dyDescent="0.3"/>
    <row r="3821" ht="74.25" customHeight="1" x14ac:dyDescent="0.3"/>
    <row r="3822" ht="74.25" customHeight="1" x14ac:dyDescent="0.3"/>
    <row r="3823" ht="74.25" customHeight="1" x14ac:dyDescent="0.3"/>
    <row r="3824" ht="74.25" customHeight="1" x14ac:dyDescent="0.3"/>
    <row r="3825" ht="74.25" customHeight="1" x14ac:dyDescent="0.3"/>
    <row r="3826" ht="74.25" customHeight="1" x14ac:dyDescent="0.3"/>
    <row r="3827" ht="74.25" customHeight="1" x14ac:dyDescent="0.3"/>
    <row r="3828" ht="74.25" customHeight="1" x14ac:dyDescent="0.3"/>
    <row r="3829" ht="74.25" customHeight="1" x14ac:dyDescent="0.3"/>
    <row r="3830" ht="74.25" customHeight="1" x14ac:dyDescent="0.3"/>
    <row r="3831" ht="74.25" customHeight="1" x14ac:dyDescent="0.3"/>
    <row r="3832" ht="74.25" customHeight="1" x14ac:dyDescent="0.3"/>
    <row r="3833" ht="74.25" customHeight="1" x14ac:dyDescent="0.3"/>
    <row r="3834" ht="74.25" customHeight="1" x14ac:dyDescent="0.3"/>
    <row r="3835" ht="74.25" customHeight="1" x14ac:dyDescent="0.3"/>
    <row r="3836" ht="74.25" customHeight="1" x14ac:dyDescent="0.3"/>
    <row r="3837" ht="74.25" customHeight="1" x14ac:dyDescent="0.3"/>
    <row r="3838" ht="74.25" customHeight="1" x14ac:dyDescent="0.3"/>
    <row r="3839" ht="74.25" customHeight="1" x14ac:dyDescent="0.3"/>
    <row r="3840" ht="74.25" customHeight="1" x14ac:dyDescent="0.3"/>
    <row r="3841" ht="74.25" customHeight="1" x14ac:dyDescent="0.3"/>
    <row r="3842" ht="74.25" customHeight="1" x14ac:dyDescent="0.3"/>
    <row r="3843" ht="74.25" customHeight="1" x14ac:dyDescent="0.3"/>
    <row r="3844" ht="74.25" customHeight="1" x14ac:dyDescent="0.3"/>
    <row r="3845" ht="74.25" customHeight="1" x14ac:dyDescent="0.3"/>
    <row r="3846" ht="74.25" customHeight="1" x14ac:dyDescent="0.3"/>
    <row r="3847" ht="74.25" customHeight="1" x14ac:dyDescent="0.3"/>
    <row r="3848" ht="74.25" customHeight="1" x14ac:dyDescent="0.3"/>
    <row r="3849" ht="74.25" customHeight="1" x14ac:dyDescent="0.3"/>
    <row r="3850" ht="74.25" customHeight="1" x14ac:dyDescent="0.3"/>
    <row r="3851" ht="74.25" customHeight="1" x14ac:dyDescent="0.3"/>
    <row r="3852" ht="74.25" customHeight="1" x14ac:dyDescent="0.3"/>
    <row r="3853" ht="74.25" customHeight="1" x14ac:dyDescent="0.3"/>
    <row r="3854" ht="74.25" customHeight="1" x14ac:dyDescent="0.3"/>
    <row r="3855" ht="74.25" customHeight="1" x14ac:dyDescent="0.3"/>
    <row r="3856" ht="74.25" customHeight="1" x14ac:dyDescent="0.3"/>
    <row r="3857" ht="74.25" customHeight="1" x14ac:dyDescent="0.3"/>
    <row r="3858" ht="74.25" customHeight="1" x14ac:dyDescent="0.3"/>
    <row r="3859" ht="74.25" customHeight="1" x14ac:dyDescent="0.3"/>
    <row r="3860" ht="74.25" customHeight="1" x14ac:dyDescent="0.3"/>
    <row r="3861" ht="74.25" customHeight="1" x14ac:dyDescent="0.3"/>
    <row r="3862" ht="74.25" customHeight="1" x14ac:dyDescent="0.3"/>
    <row r="3863" ht="74.25" customHeight="1" x14ac:dyDescent="0.3"/>
    <row r="3864" ht="74.25" customHeight="1" x14ac:dyDescent="0.3"/>
    <row r="3865" ht="74.25" customHeight="1" x14ac:dyDescent="0.3"/>
    <row r="3866" ht="74.25" customHeight="1" x14ac:dyDescent="0.3"/>
    <row r="3867" ht="74.25" customHeight="1" x14ac:dyDescent="0.3"/>
    <row r="3868" ht="74.25" customHeight="1" x14ac:dyDescent="0.3"/>
    <row r="3869" ht="74.25" customHeight="1" x14ac:dyDescent="0.3"/>
    <row r="3870" ht="74.25" customHeight="1" x14ac:dyDescent="0.3"/>
    <row r="3871" ht="74.25" customHeight="1" x14ac:dyDescent="0.3"/>
    <row r="3872" ht="74.25" customHeight="1" x14ac:dyDescent="0.3"/>
    <row r="3873" ht="74.25" customHeight="1" x14ac:dyDescent="0.3"/>
    <row r="3874" ht="74.25" customHeight="1" x14ac:dyDescent="0.3"/>
    <row r="3875" ht="74.25" customHeight="1" x14ac:dyDescent="0.3"/>
    <row r="3876" ht="74.25" customHeight="1" x14ac:dyDescent="0.3"/>
    <row r="3877" ht="74.25" customHeight="1" x14ac:dyDescent="0.3"/>
    <row r="3878" ht="74.25" customHeight="1" x14ac:dyDescent="0.3"/>
    <row r="3879" ht="74.25" customHeight="1" x14ac:dyDescent="0.3"/>
    <row r="3880" ht="74.25" customHeight="1" x14ac:dyDescent="0.3"/>
    <row r="3881" ht="74.25" customHeight="1" x14ac:dyDescent="0.3"/>
    <row r="3882" ht="74.25" customHeight="1" x14ac:dyDescent="0.3"/>
    <row r="3883" ht="74.25" customHeight="1" x14ac:dyDescent="0.3"/>
    <row r="3884" ht="74.25" customHeight="1" x14ac:dyDescent="0.3"/>
    <row r="3885" ht="74.25" customHeight="1" x14ac:dyDescent="0.3"/>
    <row r="3886" ht="74.25" customHeight="1" x14ac:dyDescent="0.3"/>
    <row r="3887" ht="74.25" customHeight="1" x14ac:dyDescent="0.3"/>
    <row r="3888" ht="74.25" customHeight="1" x14ac:dyDescent="0.3"/>
    <row r="3889" ht="74.25" customHeight="1" x14ac:dyDescent="0.3"/>
    <row r="3890" ht="74.25" customHeight="1" x14ac:dyDescent="0.3"/>
    <row r="3891" ht="74.25" customHeight="1" x14ac:dyDescent="0.3"/>
    <row r="3892" ht="74.25" customHeight="1" x14ac:dyDescent="0.3"/>
    <row r="3893" ht="74.25" customHeight="1" x14ac:dyDescent="0.3"/>
    <row r="3894" ht="74.25" customHeight="1" x14ac:dyDescent="0.3"/>
    <row r="3895" ht="74.25" customHeight="1" x14ac:dyDescent="0.3"/>
    <row r="3896" ht="74.25" customHeight="1" x14ac:dyDescent="0.3"/>
    <row r="3897" ht="74.25" customHeight="1" x14ac:dyDescent="0.3"/>
    <row r="3898" ht="74.25" customHeight="1" x14ac:dyDescent="0.3"/>
    <row r="3899" ht="74.25" customHeight="1" x14ac:dyDescent="0.3"/>
    <row r="3900" ht="74.25" customHeight="1" x14ac:dyDescent="0.3"/>
    <row r="3901" ht="74.25" customHeight="1" x14ac:dyDescent="0.3"/>
    <row r="3902" ht="74.25" customHeight="1" x14ac:dyDescent="0.3"/>
    <row r="3903" ht="74.25" customHeight="1" x14ac:dyDescent="0.3"/>
    <row r="3904" ht="74.25" customHeight="1" x14ac:dyDescent="0.3"/>
    <row r="3905" ht="74.25" customHeight="1" x14ac:dyDescent="0.3"/>
    <row r="3906" ht="74.25" customHeight="1" x14ac:dyDescent="0.3"/>
    <row r="3907" ht="74.25" customHeight="1" x14ac:dyDescent="0.3"/>
    <row r="3908" ht="74.25" customHeight="1" x14ac:dyDescent="0.3"/>
    <row r="3909" ht="74.25" customHeight="1" x14ac:dyDescent="0.3"/>
    <row r="3910" ht="74.25" customHeight="1" x14ac:dyDescent="0.3"/>
    <row r="3911" ht="74.25" customHeight="1" x14ac:dyDescent="0.3"/>
    <row r="3912" ht="74.25" customHeight="1" x14ac:dyDescent="0.3"/>
    <row r="3913" ht="74.25" customHeight="1" x14ac:dyDescent="0.3"/>
    <row r="3914" ht="74.25" customHeight="1" x14ac:dyDescent="0.3"/>
    <row r="3915" ht="74.25" customHeight="1" x14ac:dyDescent="0.3"/>
    <row r="3916" ht="74.25" customHeight="1" x14ac:dyDescent="0.3"/>
    <row r="3917" ht="74.25" customHeight="1" x14ac:dyDescent="0.3"/>
    <row r="3918" ht="74.25" customHeight="1" x14ac:dyDescent="0.3"/>
    <row r="3919" ht="74.25" customHeight="1" x14ac:dyDescent="0.3"/>
    <row r="3920" ht="74.25" customHeight="1" x14ac:dyDescent="0.3"/>
    <row r="3921" ht="74.25" customHeight="1" x14ac:dyDescent="0.3"/>
    <row r="3922" ht="74.25" customHeight="1" x14ac:dyDescent="0.3"/>
    <row r="3923" ht="74.25" customHeight="1" x14ac:dyDescent="0.3"/>
    <row r="3924" ht="74.25" customHeight="1" x14ac:dyDescent="0.3"/>
    <row r="3925" ht="74.25" customHeight="1" x14ac:dyDescent="0.3"/>
    <row r="3926" ht="74.25" customHeight="1" x14ac:dyDescent="0.3"/>
    <row r="3927" ht="74.25" customHeight="1" x14ac:dyDescent="0.3"/>
    <row r="3928" ht="74.25" customHeight="1" x14ac:dyDescent="0.3"/>
    <row r="3929" ht="74.25" customHeight="1" x14ac:dyDescent="0.3"/>
    <row r="3930" ht="74.25" customHeight="1" x14ac:dyDescent="0.3"/>
    <row r="3931" ht="74.25" customHeight="1" x14ac:dyDescent="0.3"/>
    <row r="3932" ht="74.25" customHeight="1" x14ac:dyDescent="0.3"/>
    <row r="3933" ht="74.25" customHeight="1" x14ac:dyDescent="0.3"/>
    <row r="3934" ht="74.25" customHeight="1" x14ac:dyDescent="0.3"/>
    <row r="3935" ht="74.25" customHeight="1" x14ac:dyDescent="0.3"/>
    <row r="3936" ht="74.25" customHeight="1" x14ac:dyDescent="0.3"/>
    <row r="3937" ht="74.25" customHeight="1" x14ac:dyDescent="0.3"/>
    <row r="3938" ht="74.25" customHeight="1" x14ac:dyDescent="0.3"/>
    <row r="3939" ht="74.25" customHeight="1" x14ac:dyDescent="0.3"/>
    <row r="3940" ht="74.25" customHeight="1" x14ac:dyDescent="0.3"/>
    <row r="3941" ht="74.25" customHeight="1" x14ac:dyDescent="0.3"/>
    <row r="3942" ht="74.25" customHeight="1" x14ac:dyDescent="0.3"/>
    <row r="3943" ht="74.25" customHeight="1" x14ac:dyDescent="0.3"/>
    <row r="3944" ht="74.25" customHeight="1" x14ac:dyDescent="0.3"/>
    <row r="3945" ht="74.25" customHeight="1" x14ac:dyDescent="0.3"/>
    <row r="3946" ht="74.25" customHeight="1" x14ac:dyDescent="0.3"/>
    <row r="3947" ht="74.25" customHeight="1" x14ac:dyDescent="0.3"/>
    <row r="3948" ht="74.25" customHeight="1" x14ac:dyDescent="0.3"/>
    <row r="3949" ht="74.25" customHeight="1" x14ac:dyDescent="0.3"/>
    <row r="3950" ht="74.25" customHeight="1" x14ac:dyDescent="0.3"/>
    <row r="3951" ht="74.25" customHeight="1" x14ac:dyDescent="0.3"/>
    <row r="3952" ht="74.25" customHeight="1" x14ac:dyDescent="0.3"/>
    <row r="3953" ht="74.25" customHeight="1" x14ac:dyDescent="0.3"/>
    <row r="3954" ht="74.25" customHeight="1" x14ac:dyDescent="0.3"/>
    <row r="3955" ht="74.25" customHeight="1" x14ac:dyDescent="0.3"/>
    <row r="3956" ht="74.25" customHeight="1" x14ac:dyDescent="0.3"/>
    <row r="3957" ht="74.25" customHeight="1" x14ac:dyDescent="0.3"/>
    <row r="3958" ht="74.25" customHeight="1" x14ac:dyDescent="0.3"/>
    <row r="3959" ht="74.25" customHeight="1" x14ac:dyDescent="0.3"/>
    <row r="3960" ht="74.25" customHeight="1" x14ac:dyDescent="0.3"/>
    <row r="3961" ht="74.25" customHeight="1" x14ac:dyDescent="0.3"/>
    <row r="3962" ht="74.25" customHeight="1" x14ac:dyDescent="0.3"/>
    <row r="3963" ht="74.25" customHeight="1" x14ac:dyDescent="0.3"/>
    <row r="3964" ht="74.25" customHeight="1" x14ac:dyDescent="0.3"/>
    <row r="3965" ht="74.25" customHeight="1" x14ac:dyDescent="0.3"/>
    <row r="3966" ht="74.25" customHeight="1" x14ac:dyDescent="0.3"/>
    <row r="3967" ht="74.25" customHeight="1" x14ac:dyDescent="0.3"/>
    <row r="3968" ht="74.25" customHeight="1" x14ac:dyDescent="0.3"/>
    <row r="3969" ht="74.25" customHeight="1" x14ac:dyDescent="0.3"/>
    <row r="3970" ht="74.25" customHeight="1" x14ac:dyDescent="0.3"/>
    <row r="3971" ht="74.25" customHeight="1" x14ac:dyDescent="0.3"/>
    <row r="3972" ht="74.25" customHeight="1" x14ac:dyDescent="0.3"/>
    <row r="3973" ht="74.25" customHeight="1" x14ac:dyDescent="0.3"/>
    <row r="3974" ht="74.25" customHeight="1" x14ac:dyDescent="0.3"/>
    <row r="3975" ht="74.25" customHeight="1" x14ac:dyDescent="0.3"/>
    <row r="3976" ht="74.25" customHeight="1" x14ac:dyDescent="0.3"/>
    <row r="3977" ht="74.25" customHeight="1" x14ac:dyDescent="0.3"/>
    <row r="3978" ht="74.25" customHeight="1" x14ac:dyDescent="0.3"/>
    <row r="3979" ht="74.25" customHeight="1" x14ac:dyDescent="0.3"/>
    <row r="3980" ht="74.25" customHeight="1" x14ac:dyDescent="0.3"/>
    <row r="3981" ht="74.25" customHeight="1" x14ac:dyDescent="0.3"/>
    <row r="3982" ht="74.25" customHeight="1" x14ac:dyDescent="0.3"/>
    <row r="3983" ht="74.25" customHeight="1" x14ac:dyDescent="0.3"/>
    <row r="3984" ht="74.25" customHeight="1" x14ac:dyDescent="0.3"/>
    <row r="3985" ht="74.25" customHeight="1" x14ac:dyDescent="0.3"/>
    <row r="3986" ht="74.25" customHeight="1" x14ac:dyDescent="0.3"/>
    <row r="3987" ht="74.25" customHeight="1" x14ac:dyDescent="0.3"/>
    <row r="3988" ht="74.25" customHeight="1" x14ac:dyDescent="0.3"/>
    <row r="3989" ht="74.25" customHeight="1" x14ac:dyDescent="0.3"/>
    <row r="3990" ht="74.25" customHeight="1" x14ac:dyDescent="0.3"/>
    <row r="3991" ht="74.25" customHeight="1" x14ac:dyDescent="0.3"/>
    <row r="3992" ht="74.25" customHeight="1" x14ac:dyDescent="0.3"/>
    <row r="3993" ht="74.25" customHeight="1" x14ac:dyDescent="0.3"/>
    <row r="3994" ht="74.25" customHeight="1" x14ac:dyDescent="0.3"/>
    <row r="3995" ht="74.25" customHeight="1" x14ac:dyDescent="0.3"/>
    <row r="3996" ht="74.25" customHeight="1" x14ac:dyDescent="0.3"/>
    <row r="3997" ht="74.25" customHeight="1" x14ac:dyDescent="0.3"/>
    <row r="3998" ht="74.25" customHeight="1" x14ac:dyDescent="0.3"/>
    <row r="3999" ht="74.25" customHeight="1" x14ac:dyDescent="0.3"/>
    <row r="4000" ht="74.25" customHeight="1" x14ac:dyDescent="0.3"/>
    <row r="4001" ht="74.25" customHeight="1" x14ac:dyDescent="0.3"/>
    <row r="4002" ht="74.25" customHeight="1" x14ac:dyDescent="0.3"/>
    <row r="4003" ht="74.25" customHeight="1" x14ac:dyDescent="0.3"/>
    <row r="4004" ht="74.25" customHeight="1" x14ac:dyDescent="0.3"/>
    <row r="4005" ht="74.25" customHeight="1" x14ac:dyDescent="0.3"/>
    <row r="4006" ht="74.25" customHeight="1" x14ac:dyDescent="0.3"/>
    <row r="4007" ht="74.25" customHeight="1" x14ac:dyDescent="0.3"/>
    <row r="4008" ht="74.25" customHeight="1" x14ac:dyDescent="0.3"/>
    <row r="4009" ht="74.25" customHeight="1" x14ac:dyDescent="0.3"/>
    <row r="4010" ht="74.25" customHeight="1" x14ac:dyDescent="0.3"/>
    <row r="4011" ht="74.25" customHeight="1" x14ac:dyDescent="0.3"/>
    <row r="4012" ht="74.25" customHeight="1" x14ac:dyDescent="0.3"/>
    <row r="4013" ht="74.25" customHeight="1" x14ac:dyDescent="0.3"/>
    <row r="4014" ht="74.25" customHeight="1" x14ac:dyDescent="0.3"/>
    <row r="4015" ht="74.25" customHeight="1" x14ac:dyDescent="0.3"/>
    <row r="4016" ht="74.25" customHeight="1" x14ac:dyDescent="0.3"/>
    <row r="4017" ht="74.25" customHeight="1" x14ac:dyDescent="0.3"/>
    <row r="4018" ht="74.25" customHeight="1" x14ac:dyDescent="0.3"/>
    <row r="4019" ht="74.25" customHeight="1" x14ac:dyDescent="0.3"/>
    <row r="4020" ht="74.25" customHeight="1" x14ac:dyDescent="0.3"/>
    <row r="4021" ht="74.25" customHeight="1" x14ac:dyDescent="0.3"/>
    <row r="4022" ht="74.25" customHeight="1" x14ac:dyDescent="0.3"/>
    <row r="4023" ht="74.25" customHeight="1" x14ac:dyDescent="0.3"/>
    <row r="4024" ht="74.25" customHeight="1" x14ac:dyDescent="0.3"/>
    <row r="4025" ht="74.25" customHeight="1" x14ac:dyDescent="0.3"/>
    <row r="4026" ht="74.25" customHeight="1" x14ac:dyDescent="0.3"/>
    <row r="4027" ht="74.25" customHeight="1" x14ac:dyDescent="0.3"/>
    <row r="4028" ht="74.25" customHeight="1" x14ac:dyDescent="0.3"/>
    <row r="4029" ht="74.25" customHeight="1" x14ac:dyDescent="0.3"/>
    <row r="4030" ht="74.25" customHeight="1" x14ac:dyDescent="0.3"/>
    <row r="4031" ht="74.25" customHeight="1" x14ac:dyDescent="0.3"/>
    <row r="4032" ht="74.25" customHeight="1" x14ac:dyDescent="0.3"/>
    <row r="4033" ht="74.25" customHeight="1" x14ac:dyDescent="0.3"/>
    <row r="4034" ht="74.25" customHeight="1" x14ac:dyDescent="0.3"/>
    <row r="4035" ht="74.25" customHeight="1" x14ac:dyDescent="0.3"/>
    <row r="4036" ht="74.25" customHeight="1" x14ac:dyDescent="0.3"/>
    <row r="4037" ht="74.25" customHeight="1" x14ac:dyDescent="0.3"/>
    <row r="4038" ht="74.25" customHeight="1" x14ac:dyDescent="0.3"/>
    <row r="4039" ht="74.25" customHeight="1" x14ac:dyDescent="0.3"/>
    <row r="4040" ht="74.25" customHeight="1" x14ac:dyDescent="0.3"/>
    <row r="4041" ht="74.25" customHeight="1" x14ac:dyDescent="0.3"/>
    <row r="4042" ht="74.25" customHeight="1" x14ac:dyDescent="0.3"/>
    <row r="4043" ht="74.25" customHeight="1" x14ac:dyDescent="0.3"/>
    <row r="4044" ht="74.25" customHeight="1" x14ac:dyDescent="0.3"/>
    <row r="4045" ht="74.25" customHeight="1" x14ac:dyDescent="0.3"/>
    <row r="4046" ht="74.25" customHeight="1" x14ac:dyDescent="0.3"/>
    <row r="4047" ht="74.25" customHeight="1" x14ac:dyDescent="0.3"/>
    <row r="4048" ht="74.25" customHeight="1" x14ac:dyDescent="0.3"/>
    <row r="4049" ht="74.25" customHeight="1" x14ac:dyDescent="0.3"/>
    <row r="4050" ht="74.25" customHeight="1" x14ac:dyDescent="0.3"/>
    <row r="4051" ht="74.25" customHeight="1" x14ac:dyDescent="0.3"/>
    <row r="4052" ht="74.25" customHeight="1" x14ac:dyDescent="0.3"/>
    <row r="4053" ht="74.25" customHeight="1" x14ac:dyDescent="0.3"/>
    <row r="4054" ht="74.25" customHeight="1" x14ac:dyDescent="0.3"/>
    <row r="4055" ht="74.25" customHeight="1" x14ac:dyDescent="0.3"/>
    <row r="4056" ht="74.25" customHeight="1" x14ac:dyDescent="0.3"/>
    <row r="4057" ht="74.25" customHeight="1" x14ac:dyDescent="0.3"/>
    <row r="4058" ht="74.25" customHeight="1" x14ac:dyDescent="0.3"/>
    <row r="4059" ht="74.25" customHeight="1" x14ac:dyDescent="0.3"/>
    <row r="4060" ht="74.25" customHeight="1" x14ac:dyDescent="0.3"/>
    <row r="4061" ht="74.25" customHeight="1" x14ac:dyDescent="0.3"/>
    <row r="4062" ht="74.25" customHeight="1" x14ac:dyDescent="0.3"/>
    <row r="4063" ht="74.25" customHeight="1" x14ac:dyDescent="0.3"/>
    <row r="4064" ht="74.25" customHeight="1" x14ac:dyDescent="0.3"/>
    <row r="4065" ht="74.25" customHeight="1" x14ac:dyDescent="0.3"/>
    <row r="4066" ht="74.25" customHeight="1" x14ac:dyDescent="0.3"/>
    <row r="4067" ht="74.25" customHeight="1" x14ac:dyDescent="0.3"/>
    <row r="4068" ht="74.25" customHeight="1" x14ac:dyDescent="0.3"/>
    <row r="4069" ht="74.25" customHeight="1" x14ac:dyDescent="0.3"/>
    <row r="4070" ht="74.25" customHeight="1" x14ac:dyDescent="0.3"/>
    <row r="4071" ht="74.25" customHeight="1" x14ac:dyDescent="0.3"/>
    <row r="4072" ht="74.25" customHeight="1" x14ac:dyDescent="0.3"/>
    <row r="4073" ht="74.25" customHeight="1" x14ac:dyDescent="0.3"/>
    <row r="4074" ht="74.25" customHeight="1" x14ac:dyDescent="0.3"/>
    <row r="4075" ht="74.25" customHeight="1" x14ac:dyDescent="0.3"/>
    <row r="4076" ht="74.25" customHeight="1" x14ac:dyDescent="0.3"/>
    <row r="4077" ht="74.25" customHeight="1" x14ac:dyDescent="0.3"/>
    <row r="4078" ht="74.25" customHeight="1" x14ac:dyDescent="0.3"/>
    <row r="4079" ht="74.25" customHeight="1" x14ac:dyDescent="0.3"/>
    <row r="4080" ht="74.25" customHeight="1" x14ac:dyDescent="0.3"/>
    <row r="4081" ht="74.25" customHeight="1" x14ac:dyDescent="0.3"/>
    <row r="4082" ht="74.25" customHeight="1" x14ac:dyDescent="0.3"/>
    <row r="4083" ht="74.25" customHeight="1" x14ac:dyDescent="0.3"/>
    <row r="4084" ht="74.25" customHeight="1" x14ac:dyDescent="0.3"/>
    <row r="4085" ht="74.25" customHeight="1" x14ac:dyDescent="0.3"/>
    <row r="4086" ht="74.25" customHeight="1" x14ac:dyDescent="0.3"/>
    <row r="4087" ht="74.25" customHeight="1" x14ac:dyDescent="0.3"/>
    <row r="4088" ht="74.25" customHeight="1" x14ac:dyDescent="0.3"/>
    <row r="4089" ht="74.25" customHeight="1" x14ac:dyDescent="0.3"/>
    <row r="4090" ht="74.25" customHeight="1" x14ac:dyDescent="0.3"/>
    <row r="4091" ht="74.25" customHeight="1" x14ac:dyDescent="0.3"/>
    <row r="4092" ht="74.25" customHeight="1" x14ac:dyDescent="0.3"/>
    <row r="4093" ht="74.25" customHeight="1" x14ac:dyDescent="0.3"/>
    <row r="4094" ht="74.25" customHeight="1" x14ac:dyDescent="0.3"/>
    <row r="4095" ht="74.25" customHeight="1" x14ac:dyDescent="0.3"/>
    <row r="4096" ht="74.25" customHeight="1" x14ac:dyDescent="0.3"/>
    <row r="4097" ht="74.25" customHeight="1" x14ac:dyDescent="0.3"/>
    <row r="4098" ht="74.25" customHeight="1" x14ac:dyDescent="0.3"/>
    <row r="4099" ht="74.25" customHeight="1" x14ac:dyDescent="0.3"/>
    <row r="4100" ht="74.25" customHeight="1" x14ac:dyDescent="0.3"/>
    <row r="4101" ht="74.25" customHeight="1" x14ac:dyDescent="0.3"/>
    <row r="4102" ht="74.25" customHeight="1" x14ac:dyDescent="0.3"/>
    <row r="4103" ht="74.25" customHeight="1" x14ac:dyDescent="0.3"/>
    <row r="4104" ht="74.25" customHeight="1" x14ac:dyDescent="0.3"/>
    <row r="4105" ht="74.25" customHeight="1" x14ac:dyDescent="0.3"/>
    <row r="4106" ht="74.25" customHeight="1" x14ac:dyDescent="0.3"/>
    <row r="4107" ht="74.25" customHeight="1" x14ac:dyDescent="0.3"/>
    <row r="4108" ht="74.25" customHeight="1" x14ac:dyDescent="0.3"/>
    <row r="4109" ht="74.25" customHeight="1" x14ac:dyDescent="0.3"/>
    <row r="4110" ht="74.25" customHeight="1" x14ac:dyDescent="0.3"/>
    <row r="4111" ht="74.25" customHeight="1" x14ac:dyDescent="0.3"/>
    <row r="4112" ht="74.25" customHeight="1" x14ac:dyDescent="0.3"/>
    <row r="4113" ht="74.25" customHeight="1" x14ac:dyDescent="0.3"/>
    <row r="4114" ht="74.25" customHeight="1" x14ac:dyDescent="0.3"/>
    <row r="4115" ht="74.25" customHeight="1" x14ac:dyDescent="0.3"/>
    <row r="4116" ht="74.25" customHeight="1" x14ac:dyDescent="0.3"/>
    <row r="4117" ht="74.25" customHeight="1" x14ac:dyDescent="0.3"/>
    <row r="4118" ht="74.25" customHeight="1" x14ac:dyDescent="0.3"/>
    <row r="4119" ht="74.25" customHeight="1" x14ac:dyDescent="0.3"/>
    <row r="4120" ht="74.25" customHeight="1" x14ac:dyDescent="0.3"/>
    <row r="4121" ht="74.25" customHeight="1" x14ac:dyDescent="0.3"/>
    <row r="4122" ht="74.25" customHeight="1" x14ac:dyDescent="0.3"/>
    <row r="4123" ht="74.25" customHeight="1" x14ac:dyDescent="0.3"/>
    <row r="4124" ht="74.25" customHeight="1" x14ac:dyDescent="0.3"/>
    <row r="4125" ht="74.25" customHeight="1" x14ac:dyDescent="0.3"/>
    <row r="4126" ht="74.25" customHeight="1" x14ac:dyDescent="0.3"/>
    <row r="4127" ht="74.25" customHeight="1" x14ac:dyDescent="0.3"/>
    <row r="4128" ht="74.25" customHeight="1" x14ac:dyDescent="0.3"/>
    <row r="4129" ht="74.25" customHeight="1" x14ac:dyDescent="0.3"/>
    <row r="4130" ht="74.25" customHeight="1" x14ac:dyDescent="0.3"/>
    <row r="4131" ht="74.25" customHeight="1" x14ac:dyDescent="0.3"/>
    <row r="4132" ht="74.25" customHeight="1" x14ac:dyDescent="0.3"/>
    <row r="4133" ht="74.25" customHeight="1" x14ac:dyDescent="0.3"/>
    <row r="4134" ht="74.25" customHeight="1" x14ac:dyDescent="0.3"/>
    <row r="4135" ht="74.25" customHeight="1" x14ac:dyDescent="0.3"/>
    <row r="4136" ht="74.25" customHeight="1" x14ac:dyDescent="0.3"/>
    <row r="4137" ht="74.25" customHeight="1" x14ac:dyDescent="0.3"/>
    <row r="4138" ht="74.25" customHeight="1" x14ac:dyDescent="0.3"/>
    <row r="4139" ht="74.25" customHeight="1" x14ac:dyDescent="0.3"/>
    <row r="4140" ht="74.25" customHeight="1" x14ac:dyDescent="0.3"/>
    <row r="4141" ht="74.25" customHeight="1" x14ac:dyDescent="0.3"/>
    <row r="4142" ht="74.25" customHeight="1" x14ac:dyDescent="0.3"/>
    <row r="4143" ht="74.25" customHeight="1" x14ac:dyDescent="0.3"/>
    <row r="4144" ht="74.25" customHeight="1" x14ac:dyDescent="0.3"/>
    <row r="4145" ht="74.25" customHeight="1" x14ac:dyDescent="0.3"/>
    <row r="4146" ht="74.25" customHeight="1" x14ac:dyDescent="0.3"/>
    <row r="4147" ht="74.25" customHeight="1" x14ac:dyDescent="0.3"/>
    <row r="4148" ht="74.25" customHeight="1" x14ac:dyDescent="0.3"/>
    <row r="4149" ht="74.25" customHeight="1" x14ac:dyDescent="0.3"/>
    <row r="4150" ht="74.25" customHeight="1" x14ac:dyDescent="0.3"/>
    <row r="4151" ht="74.25" customHeight="1" x14ac:dyDescent="0.3"/>
    <row r="4152" ht="74.25" customHeight="1" x14ac:dyDescent="0.3"/>
    <row r="4153" ht="74.25" customHeight="1" x14ac:dyDescent="0.3"/>
    <row r="4154" ht="74.25" customHeight="1" x14ac:dyDescent="0.3"/>
    <row r="4155" ht="74.25" customHeight="1" x14ac:dyDescent="0.3"/>
    <row r="4156" ht="74.25" customHeight="1" x14ac:dyDescent="0.3"/>
    <row r="4157" ht="74.25" customHeight="1" x14ac:dyDescent="0.3"/>
    <row r="4158" ht="74.25" customHeight="1" x14ac:dyDescent="0.3"/>
    <row r="4159" ht="74.25" customHeight="1" x14ac:dyDescent="0.3"/>
    <row r="4160" ht="74.25" customHeight="1" x14ac:dyDescent="0.3"/>
    <row r="4161" ht="74.25" customHeight="1" x14ac:dyDescent="0.3"/>
    <row r="4162" ht="74.25" customHeight="1" x14ac:dyDescent="0.3"/>
    <row r="4163" ht="74.25" customHeight="1" x14ac:dyDescent="0.3"/>
    <row r="4164" ht="74.25" customHeight="1" x14ac:dyDescent="0.3"/>
    <row r="4165" ht="74.25" customHeight="1" x14ac:dyDescent="0.3"/>
    <row r="4166" ht="74.25" customHeight="1" x14ac:dyDescent="0.3"/>
    <row r="4167" ht="74.25" customHeight="1" x14ac:dyDescent="0.3"/>
    <row r="4168" ht="74.25" customHeight="1" x14ac:dyDescent="0.3"/>
    <row r="4169" ht="74.25" customHeight="1" x14ac:dyDescent="0.3"/>
    <row r="4170" ht="74.25" customHeight="1" x14ac:dyDescent="0.3"/>
    <row r="4171" ht="74.25" customHeight="1" x14ac:dyDescent="0.3"/>
    <row r="4172" ht="74.25" customHeight="1" x14ac:dyDescent="0.3"/>
    <row r="4173" ht="74.25" customHeight="1" x14ac:dyDescent="0.3"/>
    <row r="4174" ht="74.25" customHeight="1" x14ac:dyDescent="0.3"/>
    <row r="4175" ht="74.25" customHeight="1" x14ac:dyDescent="0.3"/>
    <row r="4176" ht="74.25" customHeight="1" x14ac:dyDescent="0.3"/>
    <row r="4177" ht="74.25" customHeight="1" x14ac:dyDescent="0.3"/>
    <row r="4178" ht="74.25" customHeight="1" x14ac:dyDescent="0.3"/>
    <row r="4179" ht="74.25" customHeight="1" x14ac:dyDescent="0.3"/>
    <row r="4180" ht="74.25" customHeight="1" x14ac:dyDescent="0.3"/>
    <row r="4181" ht="74.25" customHeight="1" x14ac:dyDescent="0.3"/>
    <row r="4182" ht="74.25" customHeight="1" x14ac:dyDescent="0.3"/>
    <row r="4183" ht="74.25" customHeight="1" x14ac:dyDescent="0.3"/>
    <row r="4184" ht="74.25" customHeight="1" x14ac:dyDescent="0.3"/>
    <row r="4185" ht="74.25" customHeight="1" x14ac:dyDescent="0.3"/>
    <row r="4186" ht="74.25" customHeight="1" x14ac:dyDescent="0.3"/>
    <row r="4187" ht="74.25" customHeight="1" x14ac:dyDescent="0.3"/>
    <row r="4188" ht="74.25" customHeight="1" x14ac:dyDescent="0.3"/>
    <row r="4189" ht="74.25" customHeight="1" x14ac:dyDescent="0.3"/>
    <row r="4190" ht="74.25" customHeight="1" x14ac:dyDescent="0.3"/>
    <row r="4191" ht="74.25" customHeight="1" x14ac:dyDescent="0.3"/>
    <row r="4192" ht="74.25" customHeight="1" x14ac:dyDescent="0.3"/>
    <row r="4193" ht="74.25" customHeight="1" x14ac:dyDescent="0.3"/>
    <row r="4194" ht="74.25" customHeight="1" x14ac:dyDescent="0.3"/>
    <row r="4195" ht="74.25" customHeight="1" x14ac:dyDescent="0.3"/>
    <row r="4196" ht="74.25" customHeight="1" x14ac:dyDescent="0.3"/>
    <row r="4197" ht="74.25" customHeight="1" x14ac:dyDescent="0.3"/>
    <row r="4198" ht="74.25" customHeight="1" x14ac:dyDescent="0.3"/>
    <row r="4199" ht="74.25" customHeight="1" x14ac:dyDescent="0.3"/>
    <row r="4200" ht="74.25" customHeight="1" x14ac:dyDescent="0.3"/>
    <row r="4201" ht="74.25" customHeight="1" x14ac:dyDescent="0.3"/>
    <row r="4202" ht="74.25" customHeight="1" x14ac:dyDescent="0.3"/>
    <row r="4203" ht="74.25" customHeight="1" x14ac:dyDescent="0.3"/>
    <row r="4204" ht="74.25" customHeight="1" x14ac:dyDescent="0.3"/>
    <row r="4205" ht="74.25" customHeight="1" x14ac:dyDescent="0.3"/>
    <row r="4206" ht="74.25" customHeight="1" x14ac:dyDescent="0.3"/>
    <row r="4207" ht="74.25" customHeight="1" x14ac:dyDescent="0.3"/>
    <row r="4208" ht="74.25" customHeight="1" x14ac:dyDescent="0.3"/>
    <row r="4209" ht="74.25" customHeight="1" x14ac:dyDescent="0.3"/>
    <row r="4210" ht="74.25" customHeight="1" x14ac:dyDescent="0.3"/>
    <row r="4211" ht="74.25" customHeight="1" x14ac:dyDescent="0.3"/>
    <row r="4212" ht="74.25" customHeight="1" x14ac:dyDescent="0.3"/>
    <row r="4213" ht="74.25" customHeight="1" x14ac:dyDescent="0.3"/>
    <row r="4214" ht="74.25" customHeight="1" x14ac:dyDescent="0.3"/>
    <row r="4215" ht="74.25" customHeight="1" x14ac:dyDescent="0.3"/>
    <row r="4216" ht="74.25" customHeight="1" x14ac:dyDescent="0.3"/>
    <row r="4217" ht="74.25" customHeight="1" x14ac:dyDescent="0.3"/>
    <row r="4218" ht="74.25" customHeight="1" x14ac:dyDescent="0.3"/>
    <row r="4219" ht="74.25" customHeight="1" x14ac:dyDescent="0.3"/>
    <row r="4220" ht="74.25" customHeight="1" x14ac:dyDescent="0.3"/>
    <row r="4221" ht="74.25" customHeight="1" x14ac:dyDescent="0.3"/>
    <row r="4222" ht="74.25" customHeight="1" x14ac:dyDescent="0.3"/>
    <row r="4223" ht="74.25" customHeight="1" x14ac:dyDescent="0.3"/>
    <row r="4224" ht="74.25" customHeight="1" x14ac:dyDescent="0.3"/>
    <row r="4225" ht="74.25" customHeight="1" x14ac:dyDescent="0.3"/>
    <row r="4226" ht="74.25" customHeight="1" x14ac:dyDescent="0.3"/>
    <row r="4227" ht="74.25" customHeight="1" x14ac:dyDescent="0.3"/>
    <row r="4228" ht="74.25" customHeight="1" x14ac:dyDescent="0.3"/>
    <row r="4229" ht="74.25" customHeight="1" x14ac:dyDescent="0.3"/>
    <row r="4230" ht="74.25" customHeight="1" x14ac:dyDescent="0.3"/>
    <row r="4231" ht="74.25" customHeight="1" x14ac:dyDescent="0.3"/>
    <row r="4232" ht="74.25" customHeight="1" x14ac:dyDescent="0.3"/>
    <row r="4233" ht="74.25" customHeight="1" x14ac:dyDescent="0.3"/>
    <row r="4234" ht="74.25" customHeight="1" x14ac:dyDescent="0.3"/>
    <row r="4235" ht="74.25" customHeight="1" x14ac:dyDescent="0.3"/>
    <row r="4236" ht="74.25" customHeight="1" x14ac:dyDescent="0.3"/>
    <row r="4237" ht="74.25" customHeight="1" x14ac:dyDescent="0.3"/>
    <row r="4238" ht="74.25" customHeight="1" x14ac:dyDescent="0.3"/>
    <row r="4239" ht="74.25" customHeight="1" x14ac:dyDescent="0.3"/>
    <row r="4240" ht="74.25" customHeight="1" x14ac:dyDescent="0.3"/>
    <row r="4241" ht="74.25" customHeight="1" x14ac:dyDescent="0.3"/>
    <row r="4242" ht="74.25" customHeight="1" x14ac:dyDescent="0.3"/>
    <row r="4243" ht="74.25" customHeight="1" x14ac:dyDescent="0.3"/>
    <row r="4244" ht="74.25" customHeight="1" x14ac:dyDescent="0.3"/>
    <row r="4245" ht="74.25" customHeight="1" x14ac:dyDescent="0.3"/>
    <row r="4246" ht="74.25" customHeight="1" x14ac:dyDescent="0.3"/>
    <row r="4247" ht="74.25" customHeight="1" x14ac:dyDescent="0.3"/>
    <row r="4248" ht="74.25" customHeight="1" x14ac:dyDescent="0.3"/>
    <row r="4249" ht="74.25" customHeight="1" x14ac:dyDescent="0.3"/>
    <row r="4250" ht="74.25" customHeight="1" x14ac:dyDescent="0.3"/>
    <row r="4251" ht="74.25" customHeight="1" x14ac:dyDescent="0.3"/>
    <row r="4252" ht="74.25" customHeight="1" x14ac:dyDescent="0.3"/>
    <row r="4253" ht="74.25" customHeight="1" x14ac:dyDescent="0.3"/>
    <row r="4254" ht="74.25" customHeight="1" x14ac:dyDescent="0.3"/>
    <row r="4255" ht="74.25" customHeight="1" x14ac:dyDescent="0.3"/>
    <row r="4256" ht="74.25" customHeight="1" x14ac:dyDescent="0.3"/>
    <row r="4257" ht="74.25" customHeight="1" x14ac:dyDescent="0.3"/>
    <row r="4258" ht="74.25" customHeight="1" x14ac:dyDescent="0.3"/>
    <row r="4259" ht="74.25" customHeight="1" x14ac:dyDescent="0.3"/>
    <row r="4260" ht="74.25" customHeight="1" x14ac:dyDescent="0.3"/>
    <row r="4261" ht="74.25" customHeight="1" x14ac:dyDescent="0.3"/>
    <row r="4262" ht="74.25" customHeight="1" x14ac:dyDescent="0.3"/>
    <row r="4263" ht="74.25" customHeight="1" x14ac:dyDescent="0.3"/>
    <row r="4264" ht="74.25" customHeight="1" x14ac:dyDescent="0.3"/>
    <row r="4265" ht="74.25" customHeight="1" x14ac:dyDescent="0.3"/>
    <row r="4266" ht="74.25" customHeight="1" x14ac:dyDescent="0.3"/>
    <row r="4267" ht="74.25" customHeight="1" x14ac:dyDescent="0.3"/>
    <row r="4268" ht="74.25" customHeight="1" x14ac:dyDescent="0.3"/>
    <row r="4269" ht="74.25" customHeight="1" x14ac:dyDescent="0.3"/>
    <row r="4270" ht="74.25" customHeight="1" x14ac:dyDescent="0.3"/>
    <row r="4271" ht="74.25" customHeight="1" x14ac:dyDescent="0.3"/>
    <row r="4272" ht="74.25" customHeight="1" x14ac:dyDescent="0.3"/>
    <row r="4273" ht="74.25" customHeight="1" x14ac:dyDescent="0.3"/>
    <row r="4274" ht="74.25" customHeight="1" x14ac:dyDescent="0.3"/>
    <row r="4275" ht="74.25" customHeight="1" x14ac:dyDescent="0.3"/>
    <row r="4276" ht="74.25" customHeight="1" x14ac:dyDescent="0.3"/>
    <row r="4277" ht="74.25" customHeight="1" x14ac:dyDescent="0.3"/>
    <row r="4278" ht="74.25" customHeight="1" x14ac:dyDescent="0.3"/>
    <row r="4279" ht="74.25" customHeight="1" x14ac:dyDescent="0.3"/>
    <row r="4280" ht="74.25" customHeight="1" x14ac:dyDescent="0.3"/>
    <row r="4281" ht="74.25" customHeight="1" x14ac:dyDescent="0.3"/>
    <row r="4282" ht="74.25" customHeight="1" x14ac:dyDescent="0.3"/>
    <row r="4283" ht="74.25" customHeight="1" x14ac:dyDescent="0.3"/>
    <row r="4284" ht="74.25" customHeight="1" x14ac:dyDescent="0.3"/>
    <row r="4285" ht="74.25" customHeight="1" x14ac:dyDescent="0.3"/>
    <row r="4286" ht="74.25" customHeight="1" x14ac:dyDescent="0.3"/>
    <row r="4287" ht="74.25" customHeight="1" x14ac:dyDescent="0.3"/>
    <row r="4288" ht="74.25" customHeight="1" x14ac:dyDescent="0.3"/>
    <row r="4289" ht="74.25" customHeight="1" x14ac:dyDescent="0.3"/>
    <row r="4290" ht="74.25" customHeight="1" x14ac:dyDescent="0.3"/>
    <row r="4291" ht="74.25" customHeight="1" x14ac:dyDescent="0.3"/>
    <row r="4292" ht="74.25" customHeight="1" x14ac:dyDescent="0.3"/>
    <row r="4293" ht="74.25" customHeight="1" x14ac:dyDescent="0.3"/>
    <row r="4294" ht="74.25" customHeight="1" x14ac:dyDescent="0.3"/>
    <row r="4295" ht="74.25" customHeight="1" x14ac:dyDescent="0.3"/>
    <row r="4296" ht="74.25" customHeight="1" x14ac:dyDescent="0.3"/>
    <row r="4297" ht="74.25" customHeight="1" x14ac:dyDescent="0.3"/>
    <row r="4298" ht="74.25" customHeight="1" x14ac:dyDescent="0.3"/>
    <row r="4299" ht="74.25" customHeight="1" x14ac:dyDescent="0.3"/>
    <row r="4300" ht="74.25" customHeight="1" x14ac:dyDescent="0.3"/>
    <row r="4301" ht="74.25" customHeight="1" x14ac:dyDescent="0.3"/>
    <row r="4302" ht="74.25" customHeight="1" x14ac:dyDescent="0.3"/>
    <row r="4303" ht="74.25" customHeight="1" x14ac:dyDescent="0.3"/>
    <row r="4304" ht="74.25" customHeight="1" x14ac:dyDescent="0.3"/>
    <row r="4305" ht="74.25" customHeight="1" x14ac:dyDescent="0.3"/>
    <row r="4306" ht="74.25" customHeight="1" x14ac:dyDescent="0.3"/>
    <row r="4307" ht="74.25" customHeight="1" x14ac:dyDescent="0.3"/>
    <row r="4308" ht="74.25" customHeight="1" x14ac:dyDescent="0.3"/>
    <row r="4309" ht="74.25" customHeight="1" x14ac:dyDescent="0.3"/>
    <row r="4310" ht="74.25" customHeight="1" x14ac:dyDescent="0.3"/>
    <row r="4311" ht="74.25" customHeight="1" x14ac:dyDescent="0.3"/>
    <row r="4312" ht="74.25" customHeight="1" x14ac:dyDescent="0.3"/>
    <row r="4313" ht="74.25" customHeight="1" x14ac:dyDescent="0.3"/>
    <row r="4314" ht="74.25" customHeight="1" x14ac:dyDescent="0.3"/>
    <row r="4315" ht="74.25" customHeight="1" x14ac:dyDescent="0.3"/>
    <row r="4316" ht="74.25" customHeight="1" x14ac:dyDescent="0.3"/>
    <row r="4317" ht="74.25" customHeight="1" x14ac:dyDescent="0.3"/>
    <row r="4318" ht="74.25" customHeight="1" x14ac:dyDescent="0.3"/>
    <row r="4319" ht="74.25" customHeight="1" x14ac:dyDescent="0.3"/>
    <row r="4320" ht="74.25" customHeight="1" x14ac:dyDescent="0.3"/>
    <row r="4321" ht="74.25" customHeight="1" x14ac:dyDescent="0.3"/>
    <row r="4322" ht="74.25" customHeight="1" x14ac:dyDescent="0.3"/>
    <row r="4323" ht="74.25" customHeight="1" x14ac:dyDescent="0.3"/>
    <row r="4324" ht="74.25" customHeight="1" x14ac:dyDescent="0.3"/>
    <row r="4325" ht="74.25" customHeight="1" x14ac:dyDescent="0.3"/>
    <row r="4326" ht="74.25" customHeight="1" x14ac:dyDescent="0.3"/>
    <row r="4327" ht="74.25" customHeight="1" x14ac:dyDescent="0.3"/>
    <row r="4328" ht="74.25" customHeight="1" x14ac:dyDescent="0.3"/>
    <row r="4329" ht="74.25" customHeight="1" x14ac:dyDescent="0.3"/>
    <row r="4330" ht="74.25" customHeight="1" x14ac:dyDescent="0.3"/>
    <row r="4331" ht="74.25" customHeight="1" x14ac:dyDescent="0.3"/>
    <row r="4332" ht="74.25" customHeight="1" x14ac:dyDescent="0.3"/>
    <row r="4333" ht="74.25" customHeight="1" x14ac:dyDescent="0.3"/>
    <row r="4334" ht="74.25" customHeight="1" x14ac:dyDescent="0.3"/>
    <row r="4335" ht="74.25" customHeight="1" x14ac:dyDescent="0.3"/>
    <row r="4336" ht="74.25" customHeight="1" x14ac:dyDescent="0.3"/>
    <row r="4337" ht="74.25" customHeight="1" x14ac:dyDescent="0.3"/>
    <row r="4338" ht="74.25" customHeight="1" x14ac:dyDescent="0.3"/>
    <row r="4339" ht="74.25" customHeight="1" x14ac:dyDescent="0.3"/>
    <row r="4340" ht="74.25" customHeight="1" x14ac:dyDescent="0.3"/>
    <row r="4341" ht="74.25" customHeight="1" x14ac:dyDescent="0.3"/>
    <row r="4342" ht="74.25" customHeight="1" x14ac:dyDescent="0.3"/>
    <row r="4343" ht="74.25" customHeight="1" x14ac:dyDescent="0.3"/>
    <row r="4344" ht="74.25" customHeight="1" x14ac:dyDescent="0.3"/>
    <row r="4345" ht="74.25" customHeight="1" x14ac:dyDescent="0.3"/>
    <row r="4346" ht="74.25" customHeight="1" x14ac:dyDescent="0.3"/>
    <row r="4347" ht="74.25" customHeight="1" x14ac:dyDescent="0.3"/>
    <row r="4348" ht="74.25" customHeight="1" x14ac:dyDescent="0.3"/>
    <row r="4349" ht="74.25" customHeight="1" x14ac:dyDescent="0.3"/>
    <row r="4350" ht="74.25" customHeight="1" x14ac:dyDescent="0.3"/>
    <row r="4351" ht="74.25" customHeight="1" x14ac:dyDescent="0.3"/>
    <row r="4352" ht="74.25" customHeight="1" x14ac:dyDescent="0.3"/>
    <row r="4353" spans="3:23" ht="74.25" customHeight="1" x14ac:dyDescent="0.3"/>
    <row r="4354" spans="3:23" ht="74.25" customHeight="1" x14ac:dyDescent="0.3"/>
    <row r="4355" spans="3:23" ht="74.25" customHeight="1" x14ac:dyDescent="0.3"/>
    <row r="4356" spans="3:23" ht="74.25" customHeight="1" x14ac:dyDescent="0.3"/>
    <row r="4357" spans="3:23" ht="74.25" customHeight="1" x14ac:dyDescent="0.3"/>
    <row r="4358" spans="3:23" ht="74.25" customHeight="1" x14ac:dyDescent="0.3"/>
    <row r="4359" spans="3:23" ht="74.25" customHeight="1" x14ac:dyDescent="0.3"/>
    <row r="4360" spans="3:23" ht="74.25" customHeight="1" x14ac:dyDescent="0.3"/>
    <row r="4361" spans="3:23" ht="74.25" customHeight="1" x14ac:dyDescent="0.3"/>
    <row r="4362" spans="3:23" ht="74.25" customHeight="1" x14ac:dyDescent="0.3"/>
    <row r="4363" spans="3:23" ht="21" x14ac:dyDescent="0.3">
      <c r="C4363" s="313"/>
      <c r="D4363" s="314"/>
      <c r="E4363" s="315"/>
      <c r="F4363" s="316"/>
      <c r="G4363" s="316"/>
      <c r="H4363" s="317"/>
      <c r="I4363" s="317"/>
      <c r="J4363" s="313"/>
      <c r="K4363" s="316"/>
      <c r="L4363" s="316"/>
      <c r="M4363" s="316"/>
      <c r="N4363" s="318"/>
      <c r="O4363" s="317"/>
      <c r="P4363" s="317"/>
      <c r="Q4363" s="316"/>
      <c r="R4363" s="319"/>
      <c r="S4363" s="316"/>
      <c r="T4363" s="320"/>
      <c r="U4363" s="321"/>
      <c r="V4363" s="322"/>
      <c r="W4363" s="316"/>
    </row>
    <row r="4364" spans="3:23" ht="21" x14ac:dyDescent="0.3">
      <c r="C4364" s="313"/>
      <c r="D4364" s="314"/>
      <c r="E4364" s="315"/>
      <c r="F4364" s="316"/>
      <c r="G4364" s="316"/>
      <c r="H4364" s="317"/>
      <c r="I4364" s="317"/>
      <c r="J4364" s="313"/>
      <c r="K4364" s="316"/>
      <c r="L4364" s="316"/>
      <c r="M4364" s="316"/>
      <c r="N4364" s="318"/>
      <c r="O4364" s="317"/>
      <c r="P4364" s="317"/>
      <c r="Q4364" s="316"/>
      <c r="R4364" s="319"/>
      <c r="S4364" s="316"/>
      <c r="T4364" s="320"/>
      <c r="U4364" s="321"/>
      <c r="V4364" s="322"/>
      <c r="W4364" s="316"/>
    </row>
    <row r="4365" spans="3:23" ht="21" x14ac:dyDescent="0.3">
      <c r="C4365" s="313"/>
      <c r="D4365" s="314"/>
      <c r="E4365" s="315"/>
      <c r="F4365" s="316"/>
      <c r="G4365" s="316"/>
      <c r="H4365" s="317"/>
      <c r="I4365" s="317"/>
      <c r="J4365" s="313"/>
      <c r="K4365" s="316"/>
      <c r="L4365" s="316"/>
      <c r="M4365" s="316"/>
      <c r="N4365" s="318"/>
      <c r="O4365" s="317"/>
      <c r="P4365" s="317"/>
      <c r="Q4365" s="316"/>
      <c r="R4365" s="319"/>
      <c r="S4365" s="316"/>
      <c r="T4365" s="320"/>
      <c r="U4365" s="321"/>
      <c r="V4365" s="322"/>
      <c r="W4365" s="316"/>
    </row>
    <row r="4366" spans="3:23" ht="21" x14ac:dyDescent="0.3">
      <c r="C4366" s="313"/>
      <c r="D4366" s="314"/>
      <c r="E4366" s="315"/>
      <c r="F4366" s="316"/>
      <c r="G4366" s="316"/>
      <c r="H4366" s="317"/>
      <c r="I4366" s="317"/>
      <c r="J4366" s="313"/>
      <c r="K4366" s="316"/>
      <c r="L4366" s="316"/>
      <c r="M4366" s="316"/>
      <c r="N4366" s="318"/>
      <c r="O4366" s="317"/>
      <c r="P4366" s="317"/>
      <c r="Q4366" s="316"/>
      <c r="R4366" s="319"/>
      <c r="S4366" s="316"/>
      <c r="T4366" s="320"/>
      <c r="U4366" s="321"/>
      <c r="V4366" s="322"/>
      <c r="W4366" s="316"/>
    </row>
    <row r="4367" spans="3:23" ht="21" x14ac:dyDescent="0.3">
      <c r="C4367" s="313"/>
      <c r="D4367" s="314"/>
      <c r="E4367" s="315"/>
      <c r="F4367" s="316"/>
      <c r="G4367" s="316"/>
      <c r="H4367" s="317"/>
      <c r="I4367" s="317"/>
      <c r="J4367" s="313"/>
      <c r="K4367" s="316"/>
      <c r="L4367" s="316"/>
      <c r="M4367" s="316"/>
      <c r="N4367" s="318"/>
      <c r="O4367" s="317"/>
      <c r="P4367" s="317"/>
      <c r="Q4367" s="316"/>
      <c r="R4367" s="319"/>
      <c r="S4367" s="316"/>
      <c r="T4367" s="320"/>
      <c r="U4367" s="321"/>
      <c r="V4367" s="322"/>
      <c r="W4367" s="316"/>
    </row>
    <row r="4368" spans="3:23" ht="21" x14ac:dyDescent="0.3">
      <c r="C4368" s="313"/>
      <c r="D4368" s="314"/>
      <c r="E4368" s="315"/>
      <c r="F4368" s="316"/>
      <c r="G4368" s="316"/>
      <c r="H4368" s="317"/>
      <c r="I4368" s="317"/>
      <c r="J4368" s="313"/>
      <c r="K4368" s="316"/>
      <c r="L4368" s="316"/>
      <c r="M4368" s="316"/>
      <c r="N4368" s="318"/>
      <c r="O4368" s="317"/>
      <c r="P4368" s="317"/>
      <c r="Q4368" s="316"/>
      <c r="R4368" s="319"/>
      <c r="S4368" s="316"/>
      <c r="T4368" s="320"/>
      <c r="U4368" s="321"/>
      <c r="V4368" s="322"/>
      <c r="W4368" s="316"/>
    </row>
    <row r="4369" spans="3:23" ht="21" x14ac:dyDescent="0.3">
      <c r="C4369" s="313"/>
      <c r="D4369" s="314"/>
      <c r="E4369" s="315"/>
      <c r="F4369" s="316"/>
      <c r="G4369" s="316"/>
      <c r="H4369" s="317"/>
      <c r="I4369" s="317"/>
      <c r="J4369" s="313"/>
      <c r="K4369" s="316"/>
      <c r="L4369" s="316"/>
      <c r="M4369" s="316"/>
      <c r="N4369" s="318"/>
      <c r="O4369" s="317"/>
      <c r="P4369" s="317"/>
      <c r="Q4369" s="316"/>
      <c r="R4369" s="319"/>
      <c r="S4369" s="316"/>
      <c r="T4369" s="320"/>
      <c r="U4369" s="321"/>
      <c r="V4369" s="322"/>
      <c r="W4369" s="316"/>
    </row>
    <row r="4370" spans="3:23" ht="21" x14ac:dyDescent="0.3">
      <c r="C4370" s="313"/>
      <c r="D4370" s="314"/>
      <c r="E4370" s="315"/>
      <c r="F4370" s="316"/>
      <c r="G4370" s="316"/>
      <c r="H4370" s="317"/>
      <c r="I4370" s="317"/>
      <c r="J4370" s="313"/>
      <c r="K4370" s="316"/>
      <c r="L4370" s="316"/>
      <c r="M4370" s="316"/>
      <c r="N4370" s="318"/>
      <c r="O4370" s="317"/>
      <c r="P4370" s="317"/>
      <c r="Q4370" s="316"/>
      <c r="R4370" s="319"/>
      <c r="S4370" s="316"/>
      <c r="T4370" s="320"/>
      <c r="U4370" s="321"/>
      <c r="V4370" s="322"/>
      <c r="W4370" s="316"/>
    </row>
    <row r="4371" spans="3:23" ht="21" x14ac:dyDescent="0.3">
      <c r="C4371" s="313"/>
      <c r="D4371" s="314"/>
      <c r="E4371" s="315"/>
      <c r="F4371" s="316"/>
      <c r="G4371" s="316"/>
      <c r="H4371" s="317"/>
      <c r="I4371" s="317"/>
      <c r="J4371" s="313"/>
      <c r="K4371" s="316"/>
      <c r="L4371" s="316"/>
      <c r="M4371" s="316"/>
      <c r="N4371" s="318"/>
      <c r="O4371" s="317"/>
      <c r="P4371" s="317"/>
      <c r="Q4371" s="316"/>
      <c r="R4371" s="319"/>
      <c r="S4371" s="316"/>
      <c r="T4371" s="320"/>
      <c r="U4371" s="321"/>
      <c r="V4371" s="322"/>
      <c r="W4371" s="316"/>
    </row>
    <row r="4372" spans="3:23" ht="21" x14ac:dyDescent="0.3">
      <c r="C4372" s="313"/>
      <c r="D4372" s="314"/>
      <c r="E4372" s="315"/>
      <c r="F4372" s="316"/>
      <c r="G4372" s="316"/>
      <c r="H4372" s="317"/>
      <c r="I4372" s="317"/>
      <c r="J4372" s="313"/>
      <c r="K4372" s="316"/>
      <c r="L4372" s="316"/>
      <c r="M4372" s="316"/>
      <c r="N4372" s="318"/>
      <c r="O4372" s="317"/>
      <c r="P4372" s="317"/>
      <c r="Q4372" s="316"/>
      <c r="R4372" s="319"/>
      <c r="S4372" s="316"/>
      <c r="T4372" s="320"/>
      <c r="U4372" s="321"/>
      <c r="V4372" s="322"/>
      <c r="W4372" s="316"/>
    </row>
    <row r="4373" spans="3:23" ht="21" x14ac:dyDescent="0.3">
      <c r="C4373" s="313"/>
      <c r="D4373" s="314"/>
      <c r="E4373" s="315"/>
      <c r="F4373" s="316"/>
      <c r="G4373" s="316"/>
      <c r="H4373" s="317"/>
      <c r="I4373" s="317"/>
      <c r="J4373" s="313"/>
      <c r="K4373" s="316"/>
      <c r="L4373" s="316"/>
      <c r="M4373" s="316"/>
      <c r="N4373" s="318"/>
      <c r="O4373" s="317"/>
      <c r="P4373" s="317"/>
      <c r="Q4373" s="316"/>
      <c r="R4373" s="319"/>
      <c r="S4373" s="316"/>
      <c r="T4373" s="320"/>
      <c r="U4373" s="321"/>
      <c r="V4373" s="322"/>
      <c r="W4373" s="316"/>
    </row>
    <row r="4374" spans="3:23" ht="74.25" customHeight="1" x14ac:dyDescent="0.3"/>
    <row r="4375" spans="3:23" ht="74.25" customHeight="1" x14ac:dyDescent="0.3"/>
    <row r="4376" spans="3:23" ht="74.25" customHeight="1" x14ac:dyDescent="0.3"/>
    <row r="4377" spans="3:23" ht="74.25" customHeight="1" x14ac:dyDescent="0.3"/>
    <row r="4378" spans="3:23" ht="74.25" customHeight="1" x14ac:dyDescent="0.3"/>
    <row r="4379" spans="3:23" ht="74.25" customHeight="1" x14ac:dyDescent="0.3"/>
    <row r="4380" spans="3:23" ht="74.25" customHeight="1" x14ac:dyDescent="0.3"/>
    <row r="4381" spans="3:23" ht="74.25" customHeight="1" x14ac:dyDescent="0.3"/>
    <row r="4382" spans="3:23" ht="74.25" customHeight="1" x14ac:dyDescent="0.3"/>
    <row r="4383" spans="3:23" ht="74.25" customHeight="1" x14ac:dyDescent="0.3"/>
    <row r="4384" spans="3:23" ht="74.25" customHeight="1" x14ac:dyDescent="0.3"/>
    <row r="4385" spans="3:23" ht="74.25" customHeight="1" x14ac:dyDescent="0.3"/>
    <row r="4386" spans="3:23" ht="74.25" customHeight="1" x14ac:dyDescent="0.3"/>
    <row r="4387" spans="3:23" ht="74.25" customHeight="1" x14ac:dyDescent="0.3"/>
    <row r="4388" spans="3:23" ht="74.25" customHeight="1" x14ac:dyDescent="0.3"/>
    <row r="4389" spans="3:23" ht="21" x14ac:dyDescent="0.3">
      <c r="C4389" s="323"/>
      <c r="D4389" s="324"/>
      <c r="E4389" s="325"/>
      <c r="F4389" s="326"/>
      <c r="G4389" s="326"/>
      <c r="H4389" s="327"/>
      <c r="I4389" s="327"/>
      <c r="J4389" s="323"/>
      <c r="K4389" s="326"/>
      <c r="L4389" s="326"/>
      <c r="M4389" s="326"/>
      <c r="N4389" s="328"/>
      <c r="O4389" s="327"/>
      <c r="P4389" s="327"/>
      <c r="Q4389" s="326"/>
      <c r="R4389" s="329"/>
      <c r="S4389" s="326"/>
      <c r="T4389" s="330"/>
      <c r="U4389" s="331"/>
      <c r="V4389" s="332"/>
      <c r="W4389" s="326"/>
    </row>
    <row r="4390" spans="3:23" ht="21" x14ac:dyDescent="0.3">
      <c r="C4390" s="323"/>
      <c r="D4390" s="324"/>
      <c r="E4390" s="325"/>
      <c r="F4390" s="326"/>
      <c r="G4390" s="326"/>
      <c r="H4390" s="327"/>
      <c r="I4390" s="327"/>
      <c r="J4390" s="323"/>
      <c r="K4390" s="326"/>
      <c r="L4390" s="326"/>
      <c r="M4390" s="326"/>
      <c r="N4390" s="328"/>
      <c r="O4390" s="327"/>
      <c r="P4390" s="327"/>
      <c r="Q4390" s="326"/>
      <c r="R4390" s="329"/>
      <c r="S4390" s="326"/>
      <c r="T4390" s="330"/>
      <c r="U4390" s="331"/>
      <c r="V4390" s="332"/>
      <c r="W4390" s="326"/>
    </row>
    <row r="4391" spans="3:23" ht="21" x14ac:dyDescent="0.3">
      <c r="C4391" s="323"/>
      <c r="D4391" s="324"/>
      <c r="E4391" s="325"/>
      <c r="F4391" s="326"/>
      <c r="G4391" s="326"/>
      <c r="H4391" s="327"/>
      <c r="I4391" s="327"/>
      <c r="J4391" s="323"/>
      <c r="K4391" s="326"/>
      <c r="L4391" s="326"/>
      <c r="M4391" s="326"/>
      <c r="N4391" s="328"/>
      <c r="O4391" s="327"/>
      <c r="P4391" s="327"/>
      <c r="Q4391" s="326"/>
      <c r="R4391" s="329"/>
      <c r="S4391" s="326"/>
      <c r="T4391" s="330"/>
      <c r="U4391" s="331"/>
      <c r="V4391" s="332"/>
      <c r="W4391" s="326"/>
    </row>
    <row r="4392" spans="3:23" ht="21" x14ac:dyDescent="0.3">
      <c r="C4392" s="323"/>
      <c r="D4392" s="324"/>
      <c r="E4392" s="325"/>
      <c r="F4392" s="326"/>
      <c r="G4392" s="326"/>
      <c r="H4392" s="327"/>
      <c r="I4392" s="327"/>
      <c r="J4392" s="323"/>
      <c r="K4392" s="326"/>
      <c r="L4392" s="326"/>
      <c r="M4392" s="326"/>
      <c r="N4392" s="328"/>
      <c r="O4392" s="327"/>
      <c r="P4392" s="327"/>
      <c r="Q4392" s="326"/>
      <c r="R4392" s="329"/>
      <c r="S4392" s="326"/>
      <c r="T4392" s="330"/>
      <c r="U4392" s="331"/>
      <c r="V4392" s="332"/>
      <c r="W4392" s="326"/>
    </row>
    <row r="4393" spans="3:23" ht="21" x14ac:dyDescent="0.3">
      <c r="C4393" s="323"/>
      <c r="D4393" s="324"/>
      <c r="E4393" s="325"/>
      <c r="F4393" s="326"/>
      <c r="G4393" s="326"/>
      <c r="H4393" s="327"/>
      <c r="I4393" s="327"/>
      <c r="J4393" s="323"/>
      <c r="K4393" s="326"/>
      <c r="L4393" s="326"/>
      <c r="M4393" s="326"/>
      <c r="N4393" s="328"/>
      <c r="O4393" s="327"/>
      <c r="P4393" s="327"/>
      <c r="Q4393" s="326"/>
      <c r="R4393" s="329"/>
      <c r="S4393" s="326"/>
      <c r="T4393" s="330"/>
      <c r="U4393" s="331"/>
      <c r="V4393" s="332"/>
      <c r="W4393" s="326"/>
    </row>
    <row r="4394" spans="3:23" ht="21" x14ac:dyDescent="0.3">
      <c r="C4394" s="313"/>
      <c r="D4394" s="314"/>
      <c r="E4394" s="315"/>
      <c r="F4394" s="316"/>
      <c r="G4394" s="316"/>
      <c r="H4394" s="317"/>
      <c r="I4394" s="317"/>
      <c r="J4394" s="313"/>
      <c r="K4394" s="316"/>
      <c r="L4394" s="316"/>
      <c r="M4394" s="316"/>
      <c r="N4394" s="318"/>
      <c r="O4394" s="317"/>
      <c r="P4394" s="317"/>
      <c r="Q4394" s="316"/>
      <c r="R4394" s="319"/>
      <c r="S4394" s="316"/>
      <c r="T4394" s="320"/>
      <c r="U4394" s="321"/>
      <c r="V4394" s="322"/>
      <c r="W4394" s="316"/>
    </row>
    <row r="4395" spans="3:23" ht="21" x14ac:dyDescent="0.3">
      <c r="C4395" s="313"/>
      <c r="D4395" s="314"/>
      <c r="E4395" s="315"/>
      <c r="F4395" s="316"/>
      <c r="G4395" s="316"/>
      <c r="H4395" s="317"/>
      <c r="I4395" s="317"/>
      <c r="J4395" s="313"/>
      <c r="K4395" s="316"/>
      <c r="L4395" s="316"/>
      <c r="M4395" s="316"/>
      <c r="N4395" s="318"/>
      <c r="O4395" s="317"/>
      <c r="P4395" s="317"/>
      <c r="Q4395" s="316"/>
      <c r="R4395" s="319"/>
      <c r="S4395" s="316"/>
      <c r="T4395" s="320"/>
      <c r="U4395" s="321"/>
      <c r="V4395" s="322"/>
      <c r="W4395" s="316"/>
    </row>
    <row r="4396" spans="3:23" ht="21" x14ac:dyDescent="0.3">
      <c r="C4396" s="313"/>
      <c r="D4396" s="314"/>
      <c r="E4396" s="315"/>
      <c r="F4396" s="316"/>
      <c r="G4396" s="316"/>
      <c r="H4396" s="317"/>
      <c r="I4396" s="317"/>
      <c r="J4396" s="313"/>
      <c r="K4396" s="316"/>
      <c r="L4396" s="316"/>
      <c r="M4396" s="316"/>
      <c r="N4396" s="318"/>
      <c r="O4396" s="317"/>
      <c r="P4396" s="317"/>
      <c r="Q4396" s="316"/>
      <c r="R4396" s="319"/>
      <c r="S4396" s="316"/>
      <c r="T4396" s="320"/>
      <c r="U4396" s="321"/>
      <c r="V4396" s="322"/>
      <c r="W4396" s="316"/>
    </row>
    <row r="4397" spans="3:23" ht="21" x14ac:dyDescent="0.3">
      <c r="C4397" s="313"/>
      <c r="D4397" s="314"/>
      <c r="E4397" s="315"/>
      <c r="F4397" s="316"/>
      <c r="G4397" s="316"/>
      <c r="H4397" s="317"/>
      <c r="I4397" s="317"/>
      <c r="J4397" s="313"/>
      <c r="K4397" s="316"/>
      <c r="L4397" s="316"/>
      <c r="M4397" s="316"/>
      <c r="N4397" s="318"/>
      <c r="O4397" s="317"/>
      <c r="P4397" s="317"/>
      <c r="Q4397" s="316"/>
      <c r="R4397" s="319"/>
      <c r="S4397" s="316"/>
      <c r="T4397" s="320"/>
      <c r="U4397" s="321"/>
      <c r="V4397" s="322"/>
      <c r="W4397" s="316"/>
    </row>
    <row r="4398" spans="3:23" ht="21" x14ac:dyDescent="0.3">
      <c r="C4398" s="313"/>
      <c r="D4398" s="314"/>
      <c r="E4398" s="315"/>
      <c r="F4398" s="316"/>
      <c r="G4398" s="316"/>
      <c r="H4398" s="317"/>
      <c r="I4398" s="317"/>
      <c r="J4398" s="313"/>
      <c r="K4398" s="316"/>
      <c r="L4398" s="316"/>
      <c r="M4398" s="316"/>
      <c r="N4398" s="318"/>
      <c r="O4398" s="317"/>
      <c r="P4398" s="317"/>
      <c r="Q4398" s="316"/>
      <c r="R4398" s="319"/>
      <c r="S4398" s="316"/>
      <c r="T4398" s="320"/>
      <c r="U4398" s="321"/>
      <c r="V4398" s="322"/>
      <c r="W4398" s="316"/>
    </row>
    <row r="4399" spans="3:23" ht="21" x14ac:dyDescent="0.3">
      <c r="C4399" s="313"/>
      <c r="D4399" s="314"/>
      <c r="E4399" s="315"/>
      <c r="F4399" s="316"/>
      <c r="G4399" s="316"/>
      <c r="H4399" s="317"/>
      <c r="I4399" s="317"/>
      <c r="J4399" s="313"/>
      <c r="K4399" s="316"/>
      <c r="L4399" s="316"/>
      <c r="M4399" s="316"/>
      <c r="N4399" s="318"/>
      <c r="O4399" s="317"/>
      <c r="P4399" s="317"/>
      <c r="Q4399" s="316"/>
      <c r="R4399" s="319"/>
      <c r="S4399" s="316"/>
      <c r="T4399" s="320"/>
      <c r="U4399" s="321"/>
      <c r="V4399" s="322"/>
      <c r="W4399" s="316"/>
    </row>
    <row r="4400" spans="3:23" ht="21" x14ac:dyDescent="0.3">
      <c r="C4400" s="313"/>
      <c r="D4400" s="314"/>
      <c r="E4400" s="315"/>
      <c r="F4400" s="316"/>
      <c r="G4400" s="316"/>
      <c r="H4400" s="317"/>
      <c r="I4400" s="317"/>
      <c r="J4400" s="313"/>
      <c r="K4400" s="316"/>
      <c r="L4400" s="316"/>
      <c r="M4400" s="316"/>
      <c r="N4400" s="318"/>
      <c r="O4400" s="317"/>
      <c r="P4400" s="317"/>
      <c r="Q4400" s="316"/>
      <c r="R4400" s="319"/>
      <c r="S4400" s="316"/>
      <c r="T4400" s="320"/>
      <c r="U4400" s="321"/>
      <c r="V4400" s="322"/>
      <c r="W4400" s="316"/>
    </row>
    <row r="4401" spans="3:23" ht="21" x14ac:dyDescent="0.3">
      <c r="C4401" s="313"/>
      <c r="D4401" s="314"/>
      <c r="E4401" s="315"/>
      <c r="F4401" s="316"/>
      <c r="G4401" s="316"/>
      <c r="H4401" s="317"/>
      <c r="I4401" s="317"/>
      <c r="J4401" s="313"/>
      <c r="K4401" s="316"/>
      <c r="L4401" s="316"/>
      <c r="M4401" s="316"/>
      <c r="N4401" s="318"/>
      <c r="O4401" s="317"/>
      <c r="P4401" s="317"/>
      <c r="Q4401" s="316"/>
      <c r="R4401" s="319"/>
      <c r="S4401" s="316"/>
      <c r="T4401" s="320"/>
      <c r="U4401" s="321"/>
      <c r="V4401" s="322"/>
      <c r="W4401" s="316"/>
    </row>
    <row r="4402" spans="3:23" ht="21" x14ac:dyDescent="0.3">
      <c r="C4402" s="313"/>
      <c r="D4402" s="314"/>
      <c r="E4402" s="315"/>
      <c r="F4402" s="316"/>
      <c r="G4402" s="316"/>
      <c r="H4402" s="317"/>
      <c r="I4402" s="317"/>
      <c r="J4402" s="313"/>
      <c r="K4402" s="316"/>
      <c r="L4402" s="316"/>
      <c r="M4402" s="316"/>
      <c r="N4402" s="318"/>
      <c r="O4402" s="317"/>
      <c r="P4402" s="317"/>
      <c r="Q4402" s="316"/>
      <c r="R4402" s="319"/>
      <c r="S4402" s="316"/>
      <c r="T4402" s="320"/>
      <c r="U4402" s="321"/>
      <c r="V4402" s="322"/>
      <c r="W4402" s="316"/>
    </row>
    <row r="4403" spans="3:23" ht="21" x14ac:dyDescent="0.3">
      <c r="C4403" s="313"/>
      <c r="D4403" s="314"/>
      <c r="E4403" s="315"/>
      <c r="F4403" s="316"/>
      <c r="G4403" s="316"/>
      <c r="H4403" s="317"/>
      <c r="I4403" s="317"/>
      <c r="J4403" s="313"/>
      <c r="K4403" s="316"/>
      <c r="L4403" s="316"/>
      <c r="M4403" s="316"/>
      <c r="N4403" s="318"/>
      <c r="O4403" s="317"/>
      <c r="P4403" s="317"/>
      <c r="Q4403" s="316"/>
      <c r="R4403" s="319"/>
      <c r="S4403" s="316"/>
      <c r="T4403" s="320"/>
      <c r="U4403" s="321"/>
      <c r="V4403" s="322"/>
      <c r="W4403" s="316"/>
    </row>
    <row r="4404" spans="3:23" ht="74.25" customHeight="1" x14ac:dyDescent="0.3"/>
    <row r="4405" spans="3:23" ht="74.25" customHeight="1" x14ac:dyDescent="0.3"/>
    <row r="4406" spans="3:23" ht="74.25" customHeight="1" x14ac:dyDescent="0.3"/>
    <row r="4407" spans="3:23" ht="74.25" customHeight="1" x14ac:dyDescent="0.3"/>
    <row r="4408" spans="3:23" ht="74.25" customHeight="1" x14ac:dyDescent="0.3"/>
    <row r="4409" spans="3:23" ht="74.25" customHeight="1" x14ac:dyDescent="0.3"/>
    <row r="4410" spans="3:23" ht="74.25" customHeight="1" x14ac:dyDescent="0.3"/>
    <row r="4411" spans="3:23" ht="74.25" customHeight="1" x14ac:dyDescent="0.3"/>
    <row r="4412" spans="3:23" ht="74.25" customHeight="1" x14ac:dyDescent="0.3"/>
    <row r="4413" spans="3:23" ht="74.25" customHeight="1" x14ac:dyDescent="0.3"/>
    <row r="4414" spans="3:23" ht="74.25" customHeight="1" x14ac:dyDescent="0.3"/>
    <row r="4415" spans="3:23" ht="74.25" customHeight="1" x14ac:dyDescent="0.3"/>
    <row r="4416" spans="3:23" ht="74.25" customHeight="1" x14ac:dyDescent="0.3"/>
    <row r="4417" ht="74.25" customHeight="1" x14ac:dyDescent="0.3"/>
    <row r="4418" ht="74.25" customHeight="1" x14ac:dyDescent="0.3"/>
    <row r="4419" ht="74.25" customHeight="1" x14ac:dyDescent="0.3"/>
    <row r="4420" ht="74.25" customHeight="1" x14ac:dyDescent="0.3"/>
    <row r="4421" ht="74.25" customHeight="1" x14ac:dyDescent="0.3"/>
    <row r="4422" ht="74.25" customHeight="1" x14ac:dyDescent="0.3"/>
    <row r="4423" ht="74.25" customHeight="1" x14ac:dyDescent="0.3"/>
    <row r="4424" ht="74.25" customHeight="1" x14ac:dyDescent="0.3"/>
    <row r="4425" ht="74.25" customHeight="1" x14ac:dyDescent="0.3"/>
    <row r="4426" ht="74.25" customHeight="1" x14ac:dyDescent="0.3"/>
    <row r="4427" ht="74.25" customHeight="1" x14ac:dyDescent="0.3"/>
    <row r="4428" ht="74.25" customHeight="1" x14ac:dyDescent="0.3"/>
    <row r="4429" ht="74.25" customHeight="1" x14ac:dyDescent="0.3"/>
    <row r="4430" ht="74.25" customHeight="1" x14ac:dyDescent="0.3"/>
    <row r="4431" ht="74.25" customHeight="1" x14ac:dyDescent="0.3"/>
    <row r="4432" ht="74.25" customHeight="1" x14ac:dyDescent="0.3"/>
    <row r="4433" ht="74.25" customHeight="1" x14ac:dyDescent="0.3"/>
    <row r="4434" ht="74.25" customHeight="1" x14ac:dyDescent="0.3"/>
    <row r="4435" ht="74.25" customHeight="1" x14ac:dyDescent="0.3"/>
    <row r="4436" ht="74.25" customHeight="1" x14ac:dyDescent="0.3"/>
    <row r="4437" ht="74.25" customHeight="1" x14ac:dyDescent="0.3"/>
    <row r="4438" ht="74.25" customHeight="1" x14ac:dyDescent="0.3"/>
    <row r="4439" ht="74.25" customHeight="1" x14ac:dyDescent="0.3"/>
    <row r="4440" ht="74.25" customHeight="1" x14ac:dyDescent="0.3"/>
    <row r="4441" ht="74.25" customHeight="1" x14ac:dyDescent="0.3"/>
    <row r="4442" ht="74.25" customHeight="1" x14ac:dyDescent="0.3"/>
    <row r="4443" ht="74.25" customHeight="1" x14ac:dyDescent="0.3"/>
    <row r="4444" ht="74.25" customHeight="1" x14ac:dyDescent="0.3"/>
    <row r="4445" ht="74.25" customHeight="1" x14ac:dyDescent="0.3"/>
    <row r="4446" ht="74.25" customHeight="1" x14ac:dyDescent="0.3"/>
    <row r="4447" ht="74.25" customHeight="1" x14ac:dyDescent="0.3"/>
    <row r="4448" ht="74.25" customHeight="1" x14ac:dyDescent="0.3"/>
    <row r="4449" ht="74.25" customHeight="1" x14ac:dyDescent="0.3"/>
    <row r="4450" ht="74.25" customHeight="1" x14ac:dyDescent="0.3"/>
    <row r="4451" ht="74.25" customHeight="1" x14ac:dyDescent="0.3"/>
    <row r="4452" ht="74.25" customHeight="1" x14ac:dyDescent="0.3"/>
    <row r="4453" ht="74.25" customHeight="1" x14ac:dyDescent="0.3"/>
    <row r="4454" ht="74.25" customHeight="1" x14ac:dyDescent="0.3"/>
    <row r="4455" ht="74.25" customHeight="1" x14ac:dyDescent="0.3"/>
    <row r="4456" ht="74.25" customHeight="1" x14ac:dyDescent="0.3"/>
    <row r="4457" ht="74.25" customHeight="1" x14ac:dyDescent="0.3"/>
    <row r="4458" ht="74.25" customHeight="1" x14ac:dyDescent="0.3"/>
    <row r="4459" ht="74.25" customHeight="1" x14ac:dyDescent="0.3"/>
    <row r="4460" ht="74.25" customHeight="1" x14ac:dyDescent="0.3"/>
    <row r="4461" ht="74.25" customHeight="1" x14ac:dyDescent="0.3"/>
    <row r="4462" ht="74.25" customHeight="1" x14ac:dyDescent="0.3"/>
    <row r="4463" ht="74.25" customHeight="1" x14ac:dyDescent="0.3"/>
    <row r="4464" ht="74.25" customHeight="1" x14ac:dyDescent="0.3"/>
    <row r="4465" ht="74.25" customHeight="1" x14ac:dyDescent="0.3"/>
    <row r="4466" ht="74.25" customHeight="1" x14ac:dyDescent="0.3"/>
    <row r="4467" ht="74.25" customHeight="1" x14ac:dyDescent="0.3"/>
    <row r="4468" ht="74.25" customHeight="1" x14ac:dyDescent="0.3"/>
    <row r="4469" ht="74.25" customHeight="1" x14ac:dyDescent="0.3"/>
    <row r="4470" ht="74.25" customHeight="1" x14ac:dyDescent="0.3"/>
    <row r="4471" ht="74.25" customHeight="1" x14ac:dyDescent="0.3"/>
    <row r="4472" ht="74.25" customHeight="1" x14ac:dyDescent="0.3"/>
    <row r="4473" ht="74.25" customHeight="1" x14ac:dyDescent="0.3"/>
    <row r="4474" ht="74.25" customHeight="1" x14ac:dyDescent="0.3"/>
    <row r="4475" ht="74.25" customHeight="1" x14ac:dyDescent="0.3"/>
    <row r="4476" ht="74.25" customHeight="1" x14ac:dyDescent="0.3"/>
    <row r="4477" ht="74.25" customHeight="1" x14ac:dyDescent="0.3"/>
    <row r="4478" ht="74.25" customHeight="1" x14ac:dyDescent="0.3"/>
    <row r="4479" ht="74.25" customHeight="1" x14ac:dyDescent="0.3"/>
    <row r="4480" ht="74.25" customHeight="1" x14ac:dyDescent="0.3"/>
    <row r="4481" ht="74.25" customHeight="1" x14ac:dyDescent="0.3"/>
    <row r="4482" ht="74.25" customHeight="1" x14ac:dyDescent="0.3"/>
    <row r="4483" ht="74.25" customHeight="1" x14ac:dyDescent="0.3"/>
    <row r="4484" ht="74.25" customHeight="1" x14ac:dyDescent="0.3"/>
    <row r="4485" ht="74.25" customHeight="1" x14ac:dyDescent="0.3"/>
    <row r="4486" ht="74.25" customHeight="1" x14ac:dyDescent="0.3"/>
    <row r="4487" ht="74.25" customHeight="1" x14ac:dyDescent="0.3"/>
    <row r="4488" ht="74.25" customHeight="1" x14ac:dyDescent="0.3"/>
    <row r="4489" ht="74.25" customHeight="1" x14ac:dyDescent="0.3"/>
    <row r="4490" ht="74.25" customHeight="1" x14ac:dyDescent="0.3"/>
    <row r="4491" ht="74.25" customHeight="1" x14ac:dyDescent="0.3"/>
    <row r="4492" ht="74.25" customHeight="1" x14ac:dyDescent="0.3"/>
    <row r="4493" ht="74.25" customHeight="1" x14ac:dyDescent="0.3"/>
    <row r="4494" ht="74.25" customHeight="1" x14ac:dyDescent="0.3"/>
    <row r="4495" ht="74.25" customHeight="1" x14ac:dyDescent="0.3"/>
    <row r="4496" ht="74.25" customHeight="1" x14ac:dyDescent="0.3"/>
    <row r="4497" ht="74.25" customHeight="1" x14ac:dyDescent="0.3"/>
    <row r="4498" ht="74.25" customHeight="1" x14ac:dyDescent="0.3"/>
    <row r="4499" ht="74.25" customHeight="1" x14ac:dyDescent="0.3"/>
    <row r="4500" ht="74.25" customHeight="1" x14ac:dyDescent="0.3"/>
    <row r="4501" ht="74.25" customHeight="1" x14ac:dyDescent="0.3"/>
    <row r="4502" ht="74.25" customHeight="1" x14ac:dyDescent="0.3"/>
    <row r="4503" ht="74.25" customHeight="1" x14ac:dyDescent="0.3"/>
    <row r="4504" ht="74.25" customHeight="1" x14ac:dyDescent="0.3"/>
    <row r="4505" ht="74.25" customHeight="1" x14ac:dyDescent="0.3"/>
    <row r="4506" ht="74.25" customHeight="1" x14ac:dyDescent="0.3"/>
    <row r="4507" ht="74.25" customHeight="1" x14ac:dyDescent="0.3"/>
    <row r="4508" ht="74.25" customHeight="1" x14ac:dyDescent="0.3"/>
    <row r="4509" ht="74.25" customHeight="1" x14ac:dyDescent="0.3"/>
    <row r="4510" ht="74.25" customHeight="1" x14ac:dyDescent="0.3"/>
    <row r="4511" ht="74.25" customHeight="1" x14ac:dyDescent="0.3"/>
    <row r="4512" ht="74.25" customHeight="1" x14ac:dyDescent="0.3"/>
    <row r="4513" ht="74.25" customHeight="1" x14ac:dyDescent="0.3"/>
    <row r="4514" ht="74.25" customHeight="1" x14ac:dyDescent="0.3"/>
    <row r="4515" ht="74.25" customHeight="1" x14ac:dyDescent="0.3"/>
    <row r="4516" ht="74.25" customHeight="1" x14ac:dyDescent="0.3"/>
    <row r="4517" ht="74.25" customHeight="1" x14ac:dyDescent="0.3"/>
    <row r="4518" ht="74.25" customHeight="1" x14ac:dyDescent="0.3"/>
    <row r="4519" ht="74.25" customHeight="1" x14ac:dyDescent="0.3"/>
    <row r="4520" ht="74.25" customHeight="1" x14ac:dyDescent="0.3"/>
    <row r="4521" ht="74.25" customHeight="1" x14ac:dyDescent="0.3"/>
    <row r="4522" ht="74.25" customHeight="1" x14ac:dyDescent="0.3"/>
    <row r="4523" ht="74.25" customHeight="1" x14ac:dyDescent="0.3"/>
    <row r="4524" ht="74.25" customHeight="1" x14ac:dyDescent="0.3"/>
    <row r="4525" ht="74.25" customHeight="1" x14ac:dyDescent="0.3"/>
    <row r="4526" ht="74.25" customHeight="1" x14ac:dyDescent="0.3"/>
    <row r="4527" ht="74.25" customHeight="1" x14ac:dyDescent="0.3"/>
    <row r="4528" ht="74.25" customHeight="1" x14ac:dyDescent="0.3"/>
    <row r="4529" ht="74.25" customHeight="1" x14ac:dyDescent="0.3"/>
    <row r="4530" ht="74.25" customHeight="1" x14ac:dyDescent="0.3"/>
    <row r="4531" ht="74.25" customHeight="1" x14ac:dyDescent="0.3"/>
    <row r="4532" ht="74.25" customHeight="1" x14ac:dyDescent="0.3"/>
    <row r="4533" ht="74.25" customHeight="1" x14ac:dyDescent="0.3"/>
    <row r="4534" ht="74.25" customHeight="1" x14ac:dyDescent="0.3"/>
    <row r="4535" ht="74.25" customHeight="1" x14ac:dyDescent="0.3"/>
    <row r="4536" ht="74.25" customHeight="1" x14ac:dyDescent="0.3"/>
    <row r="4537" ht="74.25" customHeight="1" x14ac:dyDescent="0.3"/>
    <row r="4538" ht="74.25" customHeight="1" x14ac:dyDescent="0.3"/>
    <row r="4539" ht="74.25" customHeight="1" x14ac:dyDescent="0.3"/>
    <row r="4540" ht="74.25" customHeight="1" x14ac:dyDescent="0.3"/>
    <row r="4541" ht="74.25" customHeight="1" x14ac:dyDescent="0.3"/>
    <row r="4542" ht="74.25" customHeight="1" x14ac:dyDescent="0.3"/>
    <row r="4543" ht="74.25" customHeight="1" x14ac:dyDescent="0.3"/>
    <row r="4544" ht="74.25" customHeight="1" x14ac:dyDescent="0.3"/>
    <row r="4545" ht="74.25" customHeight="1" x14ac:dyDescent="0.3"/>
    <row r="4546" ht="74.25" customHeight="1" x14ac:dyDescent="0.3"/>
    <row r="4547" ht="74.25" customHeight="1" x14ac:dyDescent="0.3"/>
    <row r="4548" ht="74.25" customHeight="1" x14ac:dyDescent="0.3"/>
    <row r="4549" ht="74.25" customHeight="1" x14ac:dyDescent="0.3"/>
    <row r="4550" ht="74.25" customHeight="1" x14ac:dyDescent="0.3"/>
    <row r="4551" ht="74.25" customHeight="1" x14ac:dyDescent="0.3"/>
    <row r="4552" ht="74.25" customHeight="1" x14ac:dyDescent="0.3"/>
    <row r="4553" ht="74.25" customHeight="1" x14ac:dyDescent="0.3"/>
    <row r="4554" ht="74.25" customHeight="1" x14ac:dyDescent="0.3"/>
    <row r="4555" ht="74.25" customHeight="1" x14ac:dyDescent="0.3"/>
    <row r="4556" ht="74.25" customHeight="1" x14ac:dyDescent="0.3"/>
    <row r="4557" ht="74.25" customHeight="1" x14ac:dyDescent="0.3"/>
    <row r="4558" ht="74.25" customHeight="1" x14ac:dyDescent="0.3"/>
    <row r="4559" ht="74.25" customHeight="1" x14ac:dyDescent="0.3"/>
    <row r="4560" ht="74.25" customHeight="1" x14ac:dyDescent="0.3"/>
    <row r="4561" ht="74.25" customHeight="1" x14ac:dyDescent="0.3"/>
    <row r="4562" ht="74.25" customHeight="1" x14ac:dyDescent="0.3"/>
    <row r="4563" ht="74.25" customHeight="1" x14ac:dyDescent="0.3"/>
    <row r="4564" ht="74.25" customHeight="1" x14ac:dyDescent="0.3"/>
    <row r="4565" ht="74.25" customHeight="1" x14ac:dyDescent="0.3"/>
    <row r="4566" ht="74.25" customHeight="1" x14ac:dyDescent="0.3"/>
    <row r="4567" ht="74.25" customHeight="1" x14ac:dyDescent="0.3"/>
    <row r="4568" ht="74.25" customHeight="1" x14ac:dyDescent="0.3"/>
    <row r="4569" ht="74.25" customHeight="1" x14ac:dyDescent="0.3"/>
    <row r="4570" ht="74.25" customHeight="1" x14ac:dyDescent="0.3"/>
    <row r="4571" ht="74.25" customHeight="1" x14ac:dyDescent="0.3"/>
    <row r="4572" ht="74.25" customHeight="1" x14ac:dyDescent="0.3"/>
    <row r="4573" ht="74.25" customHeight="1" x14ac:dyDescent="0.3"/>
    <row r="4574" ht="74.25" customHeight="1" x14ac:dyDescent="0.3"/>
    <row r="4575" ht="74.25" customHeight="1" x14ac:dyDescent="0.3"/>
    <row r="4576" ht="74.25" customHeight="1" x14ac:dyDescent="0.3"/>
    <row r="4577" ht="74.25" customHeight="1" x14ac:dyDescent="0.3"/>
    <row r="4578" ht="74.25" customHeight="1" x14ac:dyDescent="0.3"/>
    <row r="4579" ht="74.25" customHeight="1" x14ac:dyDescent="0.3"/>
    <row r="4580" ht="74.25" customHeight="1" x14ac:dyDescent="0.3"/>
    <row r="4581" ht="74.25" customHeight="1" x14ac:dyDescent="0.3"/>
    <row r="4582" ht="74.25" customHeight="1" x14ac:dyDescent="0.3"/>
    <row r="4583" ht="74.25" customHeight="1" x14ac:dyDescent="0.3"/>
    <row r="4584" ht="74.25" customHeight="1" x14ac:dyDescent="0.3"/>
    <row r="4585" ht="74.25" customHeight="1" x14ac:dyDescent="0.3"/>
    <row r="4586" ht="74.25" customHeight="1" x14ac:dyDescent="0.3"/>
    <row r="4587" ht="74.25" customHeight="1" x14ac:dyDescent="0.3"/>
    <row r="4588" ht="74.25" customHeight="1" x14ac:dyDescent="0.3"/>
    <row r="4589" ht="74.25" customHeight="1" x14ac:dyDescent="0.3"/>
    <row r="4590" ht="74.25" customHeight="1" x14ac:dyDescent="0.3"/>
    <row r="4591" ht="74.25" customHeight="1" x14ac:dyDescent="0.3"/>
    <row r="4592" ht="74.25" customHeight="1" x14ac:dyDescent="0.3"/>
    <row r="4593" ht="74.25" customHeight="1" x14ac:dyDescent="0.3"/>
    <row r="4594" ht="74.25" customHeight="1" x14ac:dyDescent="0.3"/>
    <row r="4595" ht="74.25" customHeight="1" x14ac:dyDescent="0.3"/>
    <row r="4596" ht="74.25" customHeight="1" x14ac:dyDescent="0.3"/>
    <row r="4597" ht="74.25" customHeight="1" x14ac:dyDescent="0.3"/>
    <row r="4598" ht="74.25" customHeight="1" x14ac:dyDescent="0.3"/>
    <row r="4599" ht="74.25" customHeight="1" x14ac:dyDescent="0.3"/>
    <row r="4600" ht="74.25" customHeight="1" x14ac:dyDescent="0.3"/>
    <row r="4601" ht="74.25" customHeight="1" x14ac:dyDescent="0.3"/>
    <row r="4602" ht="74.25" customHeight="1" x14ac:dyDescent="0.3"/>
    <row r="4603" ht="74.25" customHeight="1" x14ac:dyDescent="0.3"/>
    <row r="4604" ht="74.25" customHeight="1" x14ac:dyDescent="0.3"/>
    <row r="4605" ht="74.25" customHeight="1" x14ac:dyDescent="0.3"/>
    <row r="4606" ht="74.25" customHeight="1" x14ac:dyDescent="0.3"/>
    <row r="4607" ht="74.25" customHeight="1" x14ac:dyDescent="0.3"/>
    <row r="4608" ht="74.25" customHeight="1" x14ac:dyDescent="0.3"/>
    <row r="4609" ht="74.25" customHeight="1" x14ac:dyDescent="0.3"/>
    <row r="4610" ht="74.25" customHeight="1" x14ac:dyDescent="0.3"/>
    <row r="4611" ht="74.25" customHeight="1" x14ac:dyDescent="0.3"/>
    <row r="4612" ht="74.25" customHeight="1" x14ac:dyDescent="0.3"/>
    <row r="4613" ht="74.25" customHeight="1" x14ac:dyDescent="0.3"/>
    <row r="4614" ht="74.25" customHeight="1" x14ac:dyDescent="0.3"/>
    <row r="4615" ht="74.25" customHeight="1" x14ac:dyDescent="0.3"/>
    <row r="4616" ht="74.25" customHeight="1" x14ac:dyDescent="0.3"/>
    <row r="4617" ht="74.25" customHeight="1" x14ac:dyDescent="0.3"/>
    <row r="4618" ht="74.25" customHeight="1" x14ac:dyDescent="0.3"/>
    <row r="4619" ht="74.25" customHeight="1" x14ac:dyDescent="0.3"/>
    <row r="4620" ht="74.25" customHeight="1" x14ac:dyDescent="0.3"/>
    <row r="4621" ht="74.25" customHeight="1" x14ac:dyDescent="0.3"/>
    <row r="4622" ht="74.25" customHeight="1" x14ac:dyDescent="0.3"/>
    <row r="4623" ht="74.25" customHeight="1" x14ac:dyDescent="0.3"/>
    <row r="4624" ht="74.25" customHeight="1" x14ac:dyDescent="0.3"/>
    <row r="4625" ht="74.25" customHeight="1" x14ac:dyDescent="0.3"/>
    <row r="4626" ht="74.25" customHeight="1" x14ac:dyDescent="0.3"/>
    <row r="4627" ht="74.25" customHeight="1" x14ac:dyDescent="0.3"/>
    <row r="4628" ht="74.25" customHeight="1" x14ac:dyDescent="0.3"/>
    <row r="4629" ht="74.25" customHeight="1" x14ac:dyDescent="0.3"/>
    <row r="4630" ht="74.25" customHeight="1" x14ac:dyDescent="0.3"/>
    <row r="4631" ht="74.25" customHeight="1" x14ac:dyDescent="0.3"/>
    <row r="4632" ht="74.25" customHeight="1" x14ac:dyDescent="0.3"/>
    <row r="4633" ht="74.25" customHeight="1" x14ac:dyDescent="0.3"/>
    <row r="4634" ht="74.25" customHeight="1" x14ac:dyDescent="0.3"/>
    <row r="4635" ht="74.25" customHeight="1" x14ac:dyDescent="0.3"/>
    <row r="4636" ht="74.25" customHeight="1" x14ac:dyDescent="0.3"/>
    <row r="4637" ht="74.25" customHeight="1" x14ac:dyDescent="0.3"/>
    <row r="4638" ht="74.25" customHeight="1" x14ac:dyDescent="0.3"/>
    <row r="4639" ht="74.25" customHeight="1" x14ac:dyDescent="0.3"/>
    <row r="4640" ht="74.25" customHeight="1" x14ac:dyDescent="0.3"/>
    <row r="4641" ht="74.25" customHeight="1" x14ac:dyDescent="0.3"/>
    <row r="4642" ht="74.25" customHeight="1" x14ac:dyDescent="0.3"/>
    <row r="4643" ht="74.25" customHeight="1" x14ac:dyDescent="0.3"/>
    <row r="4644" ht="74.25" customHeight="1" x14ac:dyDescent="0.3"/>
    <row r="4645" ht="74.25" customHeight="1" x14ac:dyDescent="0.3"/>
    <row r="4646" ht="74.25" customHeight="1" x14ac:dyDescent="0.3"/>
    <row r="4647" ht="74.25" customHeight="1" x14ac:dyDescent="0.3"/>
    <row r="4648" ht="74.25" customHeight="1" x14ac:dyDescent="0.3"/>
    <row r="4649" ht="74.25" customHeight="1" x14ac:dyDescent="0.3"/>
    <row r="4650" ht="74.25" customHeight="1" x14ac:dyDescent="0.3"/>
    <row r="4651" ht="74.25" customHeight="1" x14ac:dyDescent="0.3"/>
    <row r="4652" ht="74.25" customHeight="1" x14ac:dyDescent="0.3"/>
    <row r="4653" ht="74.25" customHeight="1" x14ac:dyDescent="0.3"/>
    <row r="4654" ht="74.25" customHeight="1" x14ac:dyDescent="0.3"/>
    <row r="4655" ht="74.25" customHeight="1" x14ac:dyDescent="0.3"/>
    <row r="4656" ht="74.25" customHeight="1" x14ac:dyDescent="0.3"/>
    <row r="4657" ht="74.25" customHeight="1" x14ac:dyDescent="0.3"/>
    <row r="4658" ht="74.25" customHeight="1" x14ac:dyDescent="0.3"/>
    <row r="4659" ht="74.25" customHeight="1" x14ac:dyDescent="0.3"/>
    <row r="4660" ht="74.25" customHeight="1" x14ac:dyDescent="0.3"/>
    <row r="4661" ht="74.25" customHeight="1" x14ac:dyDescent="0.3"/>
    <row r="4662" ht="74.25" customHeight="1" x14ac:dyDescent="0.3"/>
    <row r="4663" ht="74.25" customHeight="1" x14ac:dyDescent="0.3"/>
    <row r="4664" ht="74.25" customHeight="1" x14ac:dyDescent="0.3"/>
    <row r="4665" ht="74.25" customHeight="1" x14ac:dyDescent="0.3"/>
    <row r="4666" ht="74.25" customHeight="1" x14ac:dyDescent="0.3"/>
    <row r="4667" ht="74.25" customHeight="1" x14ac:dyDescent="0.3"/>
    <row r="4668" ht="74.25" customHeight="1" x14ac:dyDescent="0.3"/>
    <row r="4669" ht="74.25" customHeight="1" x14ac:dyDescent="0.3"/>
    <row r="4670" ht="74.25" customHeight="1" x14ac:dyDescent="0.3"/>
    <row r="4671" ht="74.25" customHeight="1" x14ac:dyDescent="0.3"/>
    <row r="4672" ht="74.25" customHeight="1" x14ac:dyDescent="0.3"/>
    <row r="4673" ht="74.25" customHeight="1" x14ac:dyDescent="0.3"/>
    <row r="4674" ht="74.25" customHeight="1" x14ac:dyDescent="0.3"/>
    <row r="4675" ht="74.25" customHeight="1" x14ac:dyDescent="0.3"/>
    <row r="4676" ht="74.25" customHeight="1" x14ac:dyDescent="0.3"/>
    <row r="4677" ht="74.25" customHeight="1" x14ac:dyDescent="0.3"/>
    <row r="4678" ht="74.25" customHeight="1" x14ac:dyDescent="0.3"/>
    <row r="4679" ht="74.25" customHeight="1" x14ac:dyDescent="0.3"/>
    <row r="4680" ht="74.25" customHeight="1" x14ac:dyDescent="0.3"/>
    <row r="4681" ht="74.25" customHeight="1" x14ac:dyDescent="0.3"/>
    <row r="4682" ht="74.25" customHeight="1" x14ac:dyDescent="0.3"/>
    <row r="4683" ht="74.25" customHeight="1" x14ac:dyDescent="0.3"/>
    <row r="4684" ht="74.25" customHeight="1" x14ac:dyDescent="0.3"/>
    <row r="4685" ht="74.25" customHeight="1" x14ac:dyDescent="0.3"/>
    <row r="4686" ht="74.25" customHeight="1" x14ac:dyDescent="0.3"/>
    <row r="4687" ht="74.25" customHeight="1" x14ac:dyDescent="0.3"/>
    <row r="4688" ht="74.25" customHeight="1" x14ac:dyDescent="0.3"/>
    <row r="4689" ht="74.25" customHeight="1" x14ac:dyDescent="0.3"/>
    <row r="4690" ht="74.25" customHeight="1" x14ac:dyDescent="0.3"/>
    <row r="4691" ht="74.25" customHeight="1" x14ac:dyDescent="0.3"/>
    <row r="4692" ht="74.25" customHeight="1" x14ac:dyDescent="0.3"/>
    <row r="4693" ht="74.25" customHeight="1" x14ac:dyDescent="0.3"/>
    <row r="4694" ht="74.25" customHeight="1" x14ac:dyDescent="0.3"/>
    <row r="4695" ht="74.25" customHeight="1" x14ac:dyDescent="0.3"/>
    <row r="4696" ht="74.25" customHeight="1" x14ac:dyDescent="0.3"/>
    <row r="4697" ht="74.25" customHeight="1" x14ac:dyDescent="0.3"/>
    <row r="4698" ht="74.25" customHeight="1" x14ac:dyDescent="0.3"/>
    <row r="4699" ht="74.25" customHeight="1" x14ac:dyDescent="0.3"/>
    <row r="4700" ht="74.25" customHeight="1" x14ac:dyDescent="0.3"/>
    <row r="4701" ht="74.25" customHeight="1" x14ac:dyDescent="0.3"/>
    <row r="4702" ht="74.25" customHeight="1" x14ac:dyDescent="0.3"/>
    <row r="4703" ht="74.25" customHeight="1" x14ac:dyDescent="0.3"/>
    <row r="4704" ht="74.25" customHeight="1" x14ac:dyDescent="0.3"/>
    <row r="4705" ht="74.25" customHeight="1" x14ac:dyDescent="0.3"/>
    <row r="4706" ht="74.25" customHeight="1" x14ac:dyDescent="0.3"/>
    <row r="4707" ht="74.25" customHeight="1" x14ac:dyDescent="0.3"/>
    <row r="4708" ht="74.25" customHeight="1" x14ac:dyDescent="0.3"/>
    <row r="4709" ht="74.25" customHeight="1" x14ac:dyDescent="0.3"/>
    <row r="4710" ht="74.25" customHeight="1" x14ac:dyDescent="0.3"/>
    <row r="4711" ht="74.25" customHeight="1" x14ac:dyDescent="0.3"/>
    <row r="4712" ht="74.25" customHeight="1" x14ac:dyDescent="0.3"/>
    <row r="4713" ht="74.25" customHeight="1" x14ac:dyDescent="0.3"/>
    <row r="4714" ht="74.25" customHeight="1" x14ac:dyDescent="0.3"/>
    <row r="4715" ht="74.25" customHeight="1" x14ac:dyDescent="0.3"/>
    <row r="4716" ht="74.25" customHeight="1" x14ac:dyDescent="0.3"/>
    <row r="4717" ht="74.25" customHeight="1" x14ac:dyDescent="0.3"/>
    <row r="4718" ht="74.25" customHeight="1" x14ac:dyDescent="0.3"/>
    <row r="4719" ht="74.25" customHeight="1" x14ac:dyDescent="0.3"/>
    <row r="4720" ht="74.25" customHeight="1" x14ac:dyDescent="0.3"/>
    <row r="4721" ht="74.25" customHeight="1" x14ac:dyDescent="0.3"/>
    <row r="4722" ht="74.25" customHeight="1" x14ac:dyDescent="0.3"/>
    <row r="4723" ht="74.25" customHeight="1" x14ac:dyDescent="0.3"/>
    <row r="4724" ht="74.25" customHeight="1" x14ac:dyDescent="0.3"/>
    <row r="4725" ht="74.25" customHeight="1" x14ac:dyDescent="0.3"/>
    <row r="4726" ht="74.25" customHeight="1" x14ac:dyDescent="0.3"/>
    <row r="4727" ht="74.25" customHeight="1" x14ac:dyDescent="0.3"/>
    <row r="4728" ht="74.25" customHeight="1" x14ac:dyDescent="0.3"/>
    <row r="4729" ht="74.25" customHeight="1" x14ac:dyDescent="0.3"/>
    <row r="4730" ht="74.25" customHeight="1" x14ac:dyDescent="0.3"/>
    <row r="4731" ht="74.25" customHeight="1" x14ac:dyDescent="0.3"/>
    <row r="4732" ht="74.25" customHeight="1" x14ac:dyDescent="0.3"/>
    <row r="4733" ht="74.25" customHeight="1" x14ac:dyDescent="0.3"/>
    <row r="4734" ht="74.25" customHeight="1" x14ac:dyDescent="0.3"/>
    <row r="4735" ht="74.25" customHeight="1" x14ac:dyDescent="0.3"/>
    <row r="4736" ht="74.25" customHeight="1" x14ac:dyDescent="0.3"/>
    <row r="4737" ht="74.25" customHeight="1" x14ac:dyDescent="0.3"/>
    <row r="4738" ht="74.25" customHeight="1" x14ac:dyDescent="0.3"/>
    <row r="4739" ht="74.25" customHeight="1" x14ac:dyDescent="0.3"/>
    <row r="4740" ht="74.25" customHeight="1" x14ac:dyDescent="0.3"/>
    <row r="4741" ht="74.25" customHeight="1" x14ac:dyDescent="0.3"/>
    <row r="4742" ht="74.25" customHeight="1" x14ac:dyDescent="0.3"/>
    <row r="4743" ht="74.25" customHeight="1" x14ac:dyDescent="0.3"/>
    <row r="4744" ht="74.25" customHeight="1" x14ac:dyDescent="0.3"/>
    <row r="4745" ht="74.25" customHeight="1" x14ac:dyDescent="0.3"/>
    <row r="4746" ht="74.25" customHeight="1" x14ac:dyDescent="0.3"/>
    <row r="4747" ht="74.25" customHeight="1" x14ac:dyDescent="0.3"/>
    <row r="4748" ht="74.25" customHeight="1" x14ac:dyDescent="0.3"/>
    <row r="4749" ht="74.25" customHeight="1" x14ac:dyDescent="0.3"/>
    <row r="4750" ht="74.25" customHeight="1" x14ac:dyDescent="0.3"/>
    <row r="4751" ht="74.25" customHeight="1" x14ac:dyDescent="0.3"/>
    <row r="4752" ht="74.25" customHeight="1" x14ac:dyDescent="0.3"/>
    <row r="4753" ht="74.25" customHeight="1" x14ac:dyDescent="0.3"/>
    <row r="4754" ht="74.25" customHeight="1" x14ac:dyDescent="0.3"/>
    <row r="4755" ht="74.25" customHeight="1" x14ac:dyDescent="0.3"/>
    <row r="4756" ht="74.25" customHeight="1" x14ac:dyDescent="0.3"/>
    <row r="4757" ht="74.25" customHeight="1" x14ac:dyDescent="0.3"/>
    <row r="4758" ht="74.25" customHeight="1" x14ac:dyDescent="0.3"/>
    <row r="4759" ht="74.25" customHeight="1" x14ac:dyDescent="0.3"/>
    <row r="4760" ht="74.25" customHeight="1" x14ac:dyDescent="0.3"/>
    <row r="4761" ht="74.25" customHeight="1" x14ac:dyDescent="0.3"/>
    <row r="4762" ht="74.25" customHeight="1" x14ac:dyDescent="0.3"/>
    <row r="4763" ht="74.25" customHeight="1" x14ac:dyDescent="0.3"/>
    <row r="4764" ht="74.25" customHeight="1" x14ac:dyDescent="0.3"/>
    <row r="4765" ht="74.25" customHeight="1" x14ac:dyDescent="0.3"/>
    <row r="4766" ht="74.25" customHeight="1" x14ac:dyDescent="0.3"/>
    <row r="4767" ht="74.25" customHeight="1" x14ac:dyDescent="0.3"/>
    <row r="4768" ht="74.25" customHeight="1" x14ac:dyDescent="0.3"/>
    <row r="4769" ht="74.25" customHeight="1" x14ac:dyDescent="0.3"/>
    <row r="4770" ht="74.25" customHeight="1" x14ac:dyDescent="0.3"/>
    <row r="4771" ht="74.25" customHeight="1" x14ac:dyDescent="0.3"/>
    <row r="4772" ht="74.25" customHeight="1" x14ac:dyDescent="0.3"/>
    <row r="4773" ht="74.25" customHeight="1" x14ac:dyDescent="0.3"/>
    <row r="4774" ht="74.25" customHeight="1" x14ac:dyDescent="0.3"/>
    <row r="4775" ht="74.25" customHeight="1" x14ac:dyDescent="0.3"/>
    <row r="4776" ht="74.25" customHeight="1" x14ac:dyDescent="0.3"/>
    <row r="4777" ht="74.25" customHeight="1" x14ac:dyDescent="0.3"/>
    <row r="4778" ht="74.25" customHeight="1" x14ac:dyDescent="0.3"/>
    <row r="4779" ht="74.25" customHeight="1" x14ac:dyDescent="0.3"/>
    <row r="4780" ht="74.25" customHeight="1" x14ac:dyDescent="0.3"/>
    <row r="4781" ht="74.25" customHeight="1" x14ac:dyDescent="0.3"/>
    <row r="4782" ht="74.25" customHeight="1" x14ac:dyDescent="0.3"/>
    <row r="4783" ht="74.25" customHeight="1" x14ac:dyDescent="0.3"/>
    <row r="4784" ht="74.25" customHeight="1" x14ac:dyDescent="0.3"/>
    <row r="4785" ht="74.25" customHeight="1" x14ac:dyDescent="0.3"/>
    <row r="4786" ht="74.25" customHeight="1" x14ac:dyDescent="0.3"/>
    <row r="4787" ht="74.25" customHeight="1" x14ac:dyDescent="0.3"/>
    <row r="4788" ht="74.25" customHeight="1" x14ac:dyDescent="0.3"/>
    <row r="4789" ht="74.25" customHeight="1" x14ac:dyDescent="0.3"/>
    <row r="4790" ht="74.25" customHeight="1" x14ac:dyDescent="0.3"/>
    <row r="4791" ht="74.25" customHeight="1" x14ac:dyDescent="0.3"/>
    <row r="4792" ht="74.25" customHeight="1" x14ac:dyDescent="0.3"/>
    <row r="4793" ht="74.25" customHeight="1" x14ac:dyDescent="0.3"/>
    <row r="4794" ht="74.25" customHeight="1" x14ac:dyDescent="0.3"/>
    <row r="4795" ht="74.25" customHeight="1" x14ac:dyDescent="0.3"/>
    <row r="4796" ht="74.25" customHeight="1" x14ac:dyDescent="0.3"/>
    <row r="4797" ht="74.25" customHeight="1" x14ac:dyDescent="0.3"/>
    <row r="4798" ht="74.25" customHeight="1" x14ac:dyDescent="0.3"/>
    <row r="4799" ht="74.25" customHeight="1" x14ac:dyDescent="0.3"/>
    <row r="4800" ht="74.25" customHeight="1" x14ac:dyDescent="0.3"/>
    <row r="4801" ht="74.25" customHeight="1" x14ac:dyDescent="0.3"/>
    <row r="4802" ht="74.25" customHeight="1" x14ac:dyDescent="0.3"/>
    <row r="4803" ht="74.25" customHeight="1" x14ac:dyDescent="0.3"/>
    <row r="4804" ht="74.25" customHeight="1" x14ac:dyDescent="0.3"/>
    <row r="4805" ht="74.25" customHeight="1" x14ac:dyDescent="0.3"/>
    <row r="4806" ht="74.25" customHeight="1" x14ac:dyDescent="0.3"/>
    <row r="4807" ht="74.25" customHeight="1" x14ac:dyDescent="0.3"/>
    <row r="4808" ht="74.25" customHeight="1" x14ac:dyDescent="0.3"/>
    <row r="4809" ht="74.25" customHeight="1" x14ac:dyDescent="0.3"/>
    <row r="4810" ht="74.25" customHeight="1" x14ac:dyDescent="0.3"/>
    <row r="4811" ht="74.25" customHeight="1" x14ac:dyDescent="0.3"/>
    <row r="4812" ht="74.25" customHeight="1" x14ac:dyDescent="0.3"/>
    <row r="4813" ht="74.25" customHeight="1" x14ac:dyDescent="0.3"/>
    <row r="4814" ht="74.25" customHeight="1" x14ac:dyDescent="0.3"/>
    <row r="4815" ht="74.25" customHeight="1" x14ac:dyDescent="0.3"/>
    <row r="4816" ht="74.25" customHeight="1" x14ac:dyDescent="0.3"/>
    <row r="4817" ht="74.25" customHeight="1" x14ac:dyDescent="0.3"/>
    <row r="4818" ht="74.25" customHeight="1" x14ac:dyDescent="0.3"/>
    <row r="4819" ht="74.25" customHeight="1" x14ac:dyDescent="0.3"/>
    <row r="4820" ht="74.25" customHeight="1" x14ac:dyDescent="0.3"/>
    <row r="4821" ht="74.25" customHeight="1" x14ac:dyDescent="0.3"/>
    <row r="4822" ht="74.25" customHeight="1" x14ac:dyDescent="0.3"/>
    <row r="4823" ht="74.25" customHeight="1" x14ac:dyDescent="0.3"/>
    <row r="4824" ht="74.25" customHeight="1" x14ac:dyDescent="0.3"/>
    <row r="4825" ht="74.25" customHeight="1" x14ac:dyDescent="0.3"/>
    <row r="4826" ht="74.25" customHeight="1" x14ac:dyDescent="0.3"/>
    <row r="4827" ht="74.25" customHeight="1" x14ac:dyDescent="0.3"/>
    <row r="4828" ht="74.25" customHeight="1" x14ac:dyDescent="0.3"/>
    <row r="4829" ht="74.25" customHeight="1" x14ac:dyDescent="0.3"/>
    <row r="4830" ht="74.25" customHeight="1" x14ac:dyDescent="0.3"/>
    <row r="4831" ht="74.25" customHeight="1" x14ac:dyDescent="0.3"/>
    <row r="4832" ht="74.25" customHeight="1" x14ac:dyDescent="0.3"/>
    <row r="4833" ht="74.25" customHeight="1" x14ac:dyDescent="0.3"/>
    <row r="4834" ht="74.25" customHeight="1" x14ac:dyDescent="0.3"/>
    <row r="4835" ht="74.25" customHeight="1" x14ac:dyDescent="0.3"/>
    <row r="4836" ht="74.25" customHeight="1" x14ac:dyDescent="0.3"/>
    <row r="4837" ht="74.25" customHeight="1" x14ac:dyDescent="0.3"/>
    <row r="4838" ht="74.25" customHeight="1" x14ac:dyDescent="0.3"/>
    <row r="4839" ht="74.25" customHeight="1" x14ac:dyDescent="0.3"/>
    <row r="4840" ht="74.25" customHeight="1" x14ac:dyDescent="0.3"/>
    <row r="4841" ht="74.25" customHeight="1" x14ac:dyDescent="0.3"/>
    <row r="4842" ht="74.25" customHeight="1" x14ac:dyDescent="0.3"/>
    <row r="4843" ht="74.25" customHeight="1" x14ac:dyDescent="0.3"/>
    <row r="4844" ht="74.25" customHeight="1" x14ac:dyDescent="0.3"/>
    <row r="4845" ht="74.25" customHeight="1" x14ac:dyDescent="0.3"/>
    <row r="4846" ht="74.25" customHeight="1" x14ac:dyDescent="0.3"/>
    <row r="4847" ht="74.25" customHeight="1" x14ac:dyDescent="0.3"/>
    <row r="4848" ht="74.25" customHeight="1" x14ac:dyDescent="0.3"/>
    <row r="4849" ht="74.25" customHeight="1" x14ac:dyDescent="0.3"/>
    <row r="4850" ht="74.25" customHeight="1" x14ac:dyDescent="0.3"/>
    <row r="4851" ht="74.25" customHeight="1" x14ac:dyDescent="0.3"/>
    <row r="4852" ht="74.25" customHeight="1" x14ac:dyDescent="0.3"/>
    <row r="4853" ht="74.25" customHeight="1" x14ac:dyDescent="0.3"/>
    <row r="4854" ht="74.25" customHeight="1" x14ac:dyDescent="0.3"/>
    <row r="4855" ht="74.25" customHeight="1" x14ac:dyDescent="0.3"/>
    <row r="4856" ht="74.25" customHeight="1" x14ac:dyDescent="0.3"/>
    <row r="4857" ht="74.25" customHeight="1" x14ac:dyDescent="0.3"/>
    <row r="4858" ht="74.25" customHeight="1" x14ac:dyDescent="0.3"/>
    <row r="4859" ht="74.25" customHeight="1" x14ac:dyDescent="0.3"/>
    <row r="4860" ht="74.25" customHeight="1" x14ac:dyDescent="0.3"/>
    <row r="4861" ht="74.25" customHeight="1" x14ac:dyDescent="0.3"/>
    <row r="4862" ht="74.25" customHeight="1" x14ac:dyDescent="0.3"/>
    <row r="4863" ht="74.25" customHeight="1" x14ac:dyDescent="0.3"/>
    <row r="4864" ht="74.25" customHeight="1" x14ac:dyDescent="0.3"/>
    <row r="4865" ht="74.25" customHeight="1" x14ac:dyDescent="0.3"/>
    <row r="4866" ht="74.25" customHeight="1" x14ac:dyDescent="0.3"/>
    <row r="4867" ht="74.25" customHeight="1" x14ac:dyDescent="0.3"/>
    <row r="4868" ht="74.25" customHeight="1" x14ac:dyDescent="0.3"/>
    <row r="4869" ht="74.25" customHeight="1" x14ac:dyDescent="0.3"/>
    <row r="4870" ht="74.25" customHeight="1" x14ac:dyDescent="0.3"/>
    <row r="4871" ht="74.25" customHeight="1" x14ac:dyDescent="0.3"/>
    <row r="4872" ht="74.25" customHeight="1" x14ac:dyDescent="0.3"/>
    <row r="4873" ht="74.25" customHeight="1" x14ac:dyDescent="0.3"/>
    <row r="4874" ht="74.25" customHeight="1" x14ac:dyDescent="0.3"/>
    <row r="4875" ht="74.25" customHeight="1" x14ac:dyDescent="0.3"/>
    <row r="4876" ht="74.25" customHeight="1" x14ac:dyDescent="0.3"/>
    <row r="4877" ht="74.25" customHeight="1" x14ac:dyDescent="0.3"/>
    <row r="4878" ht="74.25" customHeight="1" x14ac:dyDescent="0.3"/>
    <row r="4879" ht="74.25" customHeight="1" x14ac:dyDescent="0.3"/>
    <row r="4880" ht="74.25" customHeight="1" x14ac:dyDescent="0.3"/>
    <row r="4881" ht="74.25" customHeight="1" x14ac:dyDescent="0.3"/>
    <row r="4882" ht="74.25" customHeight="1" x14ac:dyDescent="0.3"/>
    <row r="4883" ht="74.25" customHeight="1" x14ac:dyDescent="0.3"/>
    <row r="4884" ht="74.25" customHeight="1" x14ac:dyDescent="0.3"/>
    <row r="4885" ht="74.25" customHeight="1" x14ac:dyDescent="0.3"/>
    <row r="4886" ht="74.25" customHeight="1" x14ac:dyDescent="0.3"/>
    <row r="4887" ht="74.25" customHeight="1" x14ac:dyDescent="0.3"/>
    <row r="4888" ht="74.25" customHeight="1" x14ac:dyDescent="0.3"/>
    <row r="4889" ht="74.25" customHeight="1" x14ac:dyDescent="0.3"/>
    <row r="4890" ht="74.25" customHeight="1" x14ac:dyDescent="0.3"/>
    <row r="4891" ht="74.25" customHeight="1" x14ac:dyDescent="0.3"/>
    <row r="4892" ht="74.25" customHeight="1" x14ac:dyDescent="0.3"/>
    <row r="4893" ht="74.25" customHeight="1" x14ac:dyDescent="0.3"/>
    <row r="4894" ht="74.25" customHeight="1" x14ac:dyDescent="0.3"/>
    <row r="4895" ht="74.25" customHeight="1" x14ac:dyDescent="0.3"/>
    <row r="4896" ht="74.25" customHeight="1" x14ac:dyDescent="0.3"/>
    <row r="4897" ht="74.25" customHeight="1" x14ac:dyDescent="0.3"/>
    <row r="4898" ht="74.25" customHeight="1" x14ac:dyDescent="0.3"/>
    <row r="4899" ht="74.25" customHeight="1" x14ac:dyDescent="0.3"/>
    <row r="4900" ht="74.25" customHeight="1" x14ac:dyDescent="0.3"/>
    <row r="4901" ht="74.25" customHeight="1" x14ac:dyDescent="0.3"/>
    <row r="4902" ht="74.25" customHeight="1" x14ac:dyDescent="0.3"/>
    <row r="4903" ht="74.25" customHeight="1" x14ac:dyDescent="0.3"/>
    <row r="4904" ht="74.25" customHeight="1" x14ac:dyDescent="0.3"/>
    <row r="4905" ht="74.25" customHeight="1" x14ac:dyDescent="0.3"/>
    <row r="4906" ht="74.25" customHeight="1" x14ac:dyDescent="0.3"/>
    <row r="4907" ht="74.25" customHeight="1" x14ac:dyDescent="0.3"/>
    <row r="4908" ht="74.25" customHeight="1" x14ac:dyDescent="0.3"/>
    <row r="4909" ht="74.25" customHeight="1" x14ac:dyDescent="0.3"/>
    <row r="4910" ht="74.25" customHeight="1" x14ac:dyDescent="0.3"/>
    <row r="4911" ht="74.25" customHeight="1" x14ac:dyDescent="0.3"/>
    <row r="4912" ht="74.25" customHeight="1" x14ac:dyDescent="0.3"/>
    <row r="4913" ht="74.25" customHeight="1" x14ac:dyDescent="0.3"/>
    <row r="4914" ht="74.25" customHeight="1" x14ac:dyDescent="0.3"/>
    <row r="4915" ht="74.25" customHeight="1" x14ac:dyDescent="0.3"/>
    <row r="4916" ht="74.25" customHeight="1" x14ac:dyDescent="0.3"/>
    <row r="4917" ht="74.25" customHeight="1" x14ac:dyDescent="0.3"/>
    <row r="4918" ht="74.25" customHeight="1" x14ac:dyDescent="0.3"/>
    <row r="4919" ht="74.25" customHeight="1" x14ac:dyDescent="0.3"/>
    <row r="4920" ht="74.25" customHeight="1" x14ac:dyDescent="0.3"/>
    <row r="4921" ht="74.25" customHeight="1" x14ac:dyDescent="0.3"/>
    <row r="4922" ht="74.25" customHeight="1" x14ac:dyDescent="0.3"/>
    <row r="4923" ht="74.25" customHeight="1" x14ac:dyDescent="0.3"/>
    <row r="4924" ht="74.25" customHeight="1" x14ac:dyDescent="0.3"/>
    <row r="4925" ht="74.25" customHeight="1" x14ac:dyDescent="0.3"/>
    <row r="4926" ht="74.25" customHeight="1" x14ac:dyDescent="0.3"/>
    <row r="4927" ht="74.25" customHeight="1" x14ac:dyDescent="0.3"/>
    <row r="4928" ht="74.25" customHeight="1" x14ac:dyDescent="0.3"/>
    <row r="4929" ht="74.25" customHeight="1" x14ac:dyDescent="0.3"/>
    <row r="4930" ht="74.25" customHeight="1" x14ac:dyDescent="0.3"/>
    <row r="4931" ht="74.25" customHeight="1" x14ac:dyDescent="0.3"/>
    <row r="4932" ht="74.25" customHeight="1" x14ac:dyDescent="0.3"/>
    <row r="4933" ht="74.25" customHeight="1" x14ac:dyDescent="0.3"/>
    <row r="4934" ht="74.25" customHeight="1" x14ac:dyDescent="0.3"/>
    <row r="4935" ht="74.25" customHeight="1" x14ac:dyDescent="0.3"/>
    <row r="4936" ht="74.25" customHeight="1" x14ac:dyDescent="0.3"/>
    <row r="4937" ht="74.25" customHeight="1" x14ac:dyDescent="0.3"/>
    <row r="4938" ht="74.25" customHeight="1" x14ac:dyDescent="0.3"/>
    <row r="4939" ht="74.25" customHeight="1" x14ac:dyDescent="0.3"/>
    <row r="4940" ht="74.25" customHeight="1" x14ac:dyDescent="0.3"/>
    <row r="4941" ht="74.25" customHeight="1" x14ac:dyDescent="0.3"/>
    <row r="4942" ht="74.25" customHeight="1" x14ac:dyDescent="0.3"/>
    <row r="4943" ht="74.25" customHeight="1" x14ac:dyDescent="0.3"/>
    <row r="4944" ht="74.25" customHeight="1" x14ac:dyDescent="0.3"/>
    <row r="4945" ht="74.25" customHeight="1" x14ac:dyDescent="0.3"/>
    <row r="4946" ht="74.25" customHeight="1" x14ac:dyDescent="0.3"/>
    <row r="4947" ht="74.25" customHeight="1" x14ac:dyDescent="0.3"/>
    <row r="4948" ht="74.25" customHeight="1" x14ac:dyDescent="0.3"/>
    <row r="4949" ht="74.25" customHeight="1" x14ac:dyDescent="0.3"/>
    <row r="4950" ht="74.25" customHeight="1" x14ac:dyDescent="0.3"/>
    <row r="4951" ht="74.25" customHeight="1" x14ac:dyDescent="0.3"/>
    <row r="4952" ht="74.25" customHeight="1" x14ac:dyDescent="0.3"/>
    <row r="4953" ht="74.25" customHeight="1" x14ac:dyDescent="0.3"/>
    <row r="4954" ht="74.25" customHeight="1" x14ac:dyDescent="0.3"/>
    <row r="4955" ht="74.25" customHeight="1" x14ac:dyDescent="0.3"/>
    <row r="4956" ht="74.25" customHeight="1" x14ac:dyDescent="0.3"/>
    <row r="4957" ht="74.25" customHeight="1" x14ac:dyDescent="0.3"/>
    <row r="4958" ht="74.25" customHeight="1" x14ac:dyDescent="0.3"/>
    <row r="4959" ht="74.25" customHeight="1" x14ac:dyDescent="0.3"/>
    <row r="4960" ht="74.25" customHeight="1" x14ac:dyDescent="0.3"/>
    <row r="4961" ht="74.25" customHeight="1" x14ac:dyDescent="0.3"/>
    <row r="4962" ht="74.25" customHeight="1" x14ac:dyDescent="0.3"/>
    <row r="4963" ht="74.25" customHeight="1" x14ac:dyDescent="0.3"/>
    <row r="4964" ht="74.25" customHeight="1" x14ac:dyDescent="0.3"/>
    <row r="4965" ht="74.25" customHeight="1" x14ac:dyDescent="0.3"/>
    <row r="4966" ht="74.25" customHeight="1" x14ac:dyDescent="0.3"/>
    <row r="4967" ht="74.25" customHeight="1" x14ac:dyDescent="0.3"/>
    <row r="4968" ht="74.25" customHeight="1" x14ac:dyDescent="0.3"/>
    <row r="4969" ht="74.25" customHeight="1" x14ac:dyDescent="0.3"/>
    <row r="4970" ht="74.25" customHeight="1" x14ac:dyDescent="0.3"/>
    <row r="4971" ht="74.25" customHeight="1" x14ac:dyDescent="0.3"/>
    <row r="4972" ht="74.25" customHeight="1" x14ac:dyDescent="0.3"/>
    <row r="4973" ht="74.25" customHeight="1" x14ac:dyDescent="0.3"/>
    <row r="4974" ht="74.25" customHeight="1" x14ac:dyDescent="0.3"/>
    <row r="4975" ht="74.25" customHeight="1" x14ac:dyDescent="0.3"/>
    <row r="4976" ht="74.25" customHeight="1" x14ac:dyDescent="0.3"/>
    <row r="4977" ht="74.25" customHeight="1" x14ac:dyDescent="0.3"/>
    <row r="4978" ht="74.25" customHeight="1" x14ac:dyDescent="0.3"/>
    <row r="4979" ht="74.25" customHeight="1" x14ac:dyDescent="0.3"/>
    <row r="4980" ht="74.25" customHeight="1" x14ac:dyDescent="0.3"/>
    <row r="4981" ht="74.25" customHeight="1" x14ac:dyDescent="0.3"/>
    <row r="4982" ht="74.25" customHeight="1" x14ac:dyDescent="0.3"/>
    <row r="4983" ht="74.25" customHeight="1" x14ac:dyDescent="0.3"/>
    <row r="4984" ht="74.25" customHeight="1" x14ac:dyDescent="0.3"/>
    <row r="4985" ht="74.25" customHeight="1" x14ac:dyDescent="0.3"/>
    <row r="4986" ht="74.25" customHeight="1" x14ac:dyDescent="0.3"/>
    <row r="4987" ht="74.25" customHeight="1" x14ac:dyDescent="0.3"/>
    <row r="4988" ht="74.25" customHeight="1" x14ac:dyDescent="0.3"/>
    <row r="4989" ht="74.25" customHeight="1" x14ac:dyDescent="0.3"/>
    <row r="4990" ht="74.25" customHeight="1" x14ac:dyDescent="0.3"/>
    <row r="4991" ht="74.25" customHeight="1" x14ac:dyDescent="0.3"/>
    <row r="4992" ht="74.25" customHeight="1" x14ac:dyDescent="0.3"/>
    <row r="4993" ht="74.25" customHeight="1" x14ac:dyDescent="0.3"/>
    <row r="4994" ht="74.25" customHeight="1" x14ac:dyDescent="0.3"/>
    <row r="4995" ht="74.25" customHeight="1" x14ac:dyDescent="0.3"/>
    <row r="4996" ht="74.25" customHeight="1" x14ac:dyDescent="0.3"/>
    <row r="4997" ht="74.25" customHeight="1" x14ac:dyDescent="0.3"/>
    <row r="4998" ht="74.25" customHeight="1" x14ac:dyDescent="0.3"/>
    <row r="4999" ht="74.25" customHeight="1" x14ac:dyDescent="0.3"/>
    <row r="5000" ht="74.25" customHeight="1" x14ac:dyDescent="0.3"/>
    <row r="5001" ht="74.25" customHeight="1" x14ac:dyDescent="0.3"/>
    <row r="5002" ht="74.25" customHeight="1" x14ac:dyDescent="0.3"/>
    <row r="5003" ht="74.25" customHeight="1" x14ac:dyDescent="0.3"/>
    <row r="5004" ht="74.25" customHeight="1" x14ac:dyDescent="0.3"/>
    <row r="5005" ht="74.25" customHeight="1" x14ac:dyDescent="0.3"/>
    <row r="5006" ht="74.25" customHeight="1" x14ac:dyDescent="0.3"/>
    <row r="5007" ht="74.25" customHeight="1" x14ac:dyDescent="0.3"/>
    <row r="5008" ht="74.25" customHeight="1" x14ac:dyDescent="0.3"/>
    <row r="5009" ht="74.25" customHeight="1" x14ac:dyDescent="0.3"/>
    <row r="5010" ht="74.25" customHeight="1" x14ac:dyDescent="0.3"/>
    <row r="5011" ht="74.25" customHeight="1" x14ac:dyDescent="0.3"/>
    <row r="5012" ht="74.25" customHeight="1" x14ac:dyDescent="0.3"/>
    <row r="5013" ht="74.25" customHeight="1" x14ac:dyDescent="0.3"/>
    <row r="5014" ht="74.25" customHeight="1" x14ac:dyDescent="0.3"/>
    <row r="5015" ht="74.25" customHeight="1" x14ac:dyDescent="0.3"/>
    <row r="5016" ht="74.25" customHeight="1" x14ac:dyDescent="0.3"/>
    <row r="5017" ht="74.25" customHeight="1" x14ac:dyDescent="0.3"/>
    <row r="5018" ht="74.25" customHeight="1" x14ac:dyDescent="0.3"/>
    <row r="5019" ht="74.25" customHeight="1" x14ac:dyDescent="0.3"/>
    <row r="5020" ht="74.25" customHeight="1" x14ac:dyDescent="0.3"/>
    <row r="5021" ht="74.25" customHeight="1" x14ac:dyDescent="0.3"/>
    <row r="5022" ht="74.25" customHeight="1" x14ac:dyDescent="0.3"/>
    <row r="5023" ht="74.25" customHeight="1" x14ac:dyDescent="0.3"/>
    <row r="5024" ht="74.25" customHeight="1" x14ac:dyDescent="0.3"/>
    <row r="5025" ht="74.25" customHeight="1" x14ac:dyDescent="0.3"/>
    <row r="5026" ht="74.25" customHeight="1" x14ac:dyDescent="0.3"/>
    <row r="5027" ht="74.25" customHeight="1" x14ac:dyDescent="0.3"/>
    <row r="5028" ht="74.25" customHeight="1" x14ac:dyDescent="0.3"/>
    <row r="5029" ht="74.25" customHeight="1" x14ac:dyDescent="0.3"/>
    <row r="5030" ht="74.25" customHeight="1" x14ac:dyDescent="0.3"/>
    <row r="5031" ht="74.25" customHeight="1" x14ac:dyDescent="0.3"/>
    <row r="5032" ht="74.25" customHeight="1" x14ac:dyDescent="0.3"/>
    <row r="5033" ht="74.25" customHeight="1" x14ac:dyDescent="0.3"/>
    <row r="5034" ht="74.25" customHeight="1" x14ac:dyDescent="0.3"/>
    <row r="5035" ht="74.25" customHeight="1" x14ac:dyDescent="0.3"/>
    <row r="5036" ht="74.25" customHeight="1" x14ac:dyDescent="0.3"/>
    <row r="5037" ht="74.25" customHeight="1" x14ac:dyDescent="0.3"/>
    <row r="5038" ht="74.25" customHeight="1" x14ac:dyDescent="0.3"/>
    <row r="5039" ht="74.25" customHeight="1" x14ac:dyDescent="0.3"/>
    <row r="5040" ht="74.25" customHeight="1" x14ac:dyDescent="0.3"/>
    <row r="5041" ht="74.25" customHeight="1" x14ac:dyDescent="0.3"/>
    <row r="5042" ht="74.25" customHeight="1" x14ac:dyDescent="0.3"/>
    <row r="5043" ht="74.25" customHeight="1" x14ac:dyDescent="0.3"/>
    <row r="5044" ht="74.25" customHeight="1" x14ac:dyDescent="0.3"/>
    <row r="5045" ht="74.25" customHeight="1" x14ac:dyDescent="0.3"/>
    <row r="5046" ht="74.25" customHeight="1" x14ac:dyDescent="0.3"/>
    <row r="5047" ht="74.25" customHeight="1" x14ac:dyDescent="0.3"/>
    <row r="5048" ht="74.25" customHeight="1" x14ac:dyDescent="0.3"/>
    <row r="5049" ht="74.25" customHeight="1" x14ac:dyDescent="0.3"/>
    <row r="5050" ht="74.25" customHeight="1" x14ac:dyDescent="0.3"/>
    <row r="5051" ht="74.25" customHeight="1" x14ac:dyDescent="0.3"/>
    <row r="5052" ht="74.25" customHeight="1" x14ac:dyDescent="0.3"/>
    <row r="5053" ht="74.25" customHeight="1" x14ac:dyDescent="0.3"/>
    <row r="5054" ht="74.25" customHeight="1" x14ac:dyDescent="0.3"/>
    <row r="5055" ht="74.25" customHeight="1" x14ac:dyDescent="0.3"/>
    <row r="5056" ht="74.25" customHeight="1" x14ac:dyDescent="0.3"/>
    <row r="5057" ht="74.25" customHeight="1" x14ac:dyDescent="0.3"/>
    <row r="5058" ht="74.25" customHeight="1" x14ac:dyDescent="0.3"/>
    <row r="5059" ht="74.25" customHeight="1" x14ac:dyDescent="0.3"/>
    <row r="5060" ht="74.25" customHeight="1" x14ac:dyDescent="0.3"/>
    <row r="5061" ht="74.25" customHeight="1" x14ac:dyDescent="0.3"/>
    <row r="5062" ht="74.25" customHeight="1" x14ac:dyDescent="0.3"/>
    <row r="5063" ht="74.25" customHeight="1" x14ac:dyDescent="0.3"/>
    <row r="5064" ht="74.25" customHeight="1" x14ac:dyDescent="0.3"/>
    <row r="5065" ht="74.25" customHeight="1" x14ac:dyDescent="0.3"/>
    <row r="5066" ht="74.25" customHeight="1" x14ac:dyDescent="0.3"/>
    <row r="5067" ht="74.25" customHeight="1" x14ac:dyDescent="0.3"/>
    <row r="5068" ht="74.25" customHeight="1" x14ac:dyDescent="0.3"/>
    <row r="5069" ht="74.25" customHeight="1" x14ac:dyDescent="0.3"/>
    <row r="5070" ht="74.25" customHeight="1" x14ac:dyDescent="0.3"/>
    <row r="5071" ht="74.25" customHeight="1" x14ac:dyDescent="0.3"/>
    <row r="5072" ht="74.25" customHeight="1" x14ac:dyDescent="0.3"/>
    <row r="5073" ht="74.25" customHeight="1" x14ac:dyDescent="0.3"/>
    <row r="5074" ht="74.25" customHeight="1" x14ac:dyDescent="0.3"/>
    <row r="5075" ht="74.25" customHeight="1" x14ac:dyDescent="0.3"/>
    <row r="5076" ht="74.25" customHeight="1" x14ac:dyDescent="0.3"/>
    <row r="5077" ht="74.25" customHeight="1" x14ac:dyDescent="0.3"/>
    <row r="5078" ht="74.25" customHeight="1" x14ac:dyDescent="0.3"/>
    <row r="5079" ht="74.25" customHeight="1" x14ac:dyDescent="0.3"/>
    <row r="5080" ht="74.25" customHeight="1" x14ac:dyDescent="0.3"/>
    <row r="5081" ht="74.25" customHeight="1" x14ac:dyDescent="0.3"/>
    <row r="5082" ht="74.25" customHeight="1" x14ac:dyDescent="0.3"/>
    <row r="5083" ht="74.25" customHeight="1" x14ac:dyDescent="0.3"/>
    <row r="5084" ht="74.25" customHeight="1" x14ac:dyDescent="0.3"/>
    <row r="5085" ht="74.25" customHeight="1" x14ac:dyDescent="0.3"/>
    <row r="5086" ht="74.25" customHeight="1" x14ac:dyDescent="0.3"/>
    <row r="5087" ht="74.25" customHeight="1" x14ac:dyDescent="0.3"/>
    <row r="5088" ht="74.25" customHeight="1" x14ac:dyDescent="0.3"/>
    <row r="5089" ht="74.25" customHeight="1" x14ac:dyDescent="0.3"/>
    <row r="5090" ht="74.25" customHeight="1" x14ac:dyDescent="0.3"/>
    <row r="5091" ht="74.25" customHeight="1" x14ac:dyDescent="0.3"/>
    <row r="5092" ht="74.25" customHeight="1" x14ac:dyDescent="0.3"/>
    <row r="5093" ht="74.25" customHeight="1" x14ac:dyDescent="0.3"/>
    <row r="5094" ht="74.25" customHeight="1" x14ac:dyDescent="0.3"/>
    <row r="5095" ht="74.25" customHeight="1" x14ac:dyDescent="0.3"/>
    <row r="5096" ht="74.25" customHeight="1" x14ac:dyDescent="0.3"/>
    <row r="5097" ht="74.25" customHeight="1" x14ac:dyDescent="0.3"/>
    <row r="5098" ht="74.25" customHeight="1" x14ac:dyDescent="0.3"/>
    <row r="5099" ht="74.25" customHeight="1" x14ac:dyDescent="0.3"/>
    <row r="5100" ht="74.25" customHeight="1" x14ac:dyDescent="0.3"/>
    <row r="5101" ht="74.25" customHeight="1" x14ac:dyDescent="0.3"/>
    <row r="5102" ht="74.25" customHeight="1" x14ac:dyDescent="0.3"/>
    <row r="5103" ht="74.25" customHeight="1" x14ac:dyDescent="0.3"/>
    <row r="5104" ht="74.25" customHeight="1" x14ac:dyDescent="0.3"/>
    <row r="5105" ht="74.25" customHeight="1" x14ac:dyDescent="0.3"/>
    <row r="5106" ht="74.25" customHeight="1" x14ac:dyDescent="0.3"/>
    <row r="5107" ht="74.25" customHeight="1" x14ac:dyDescent="0.3"/>
    <row r="5108" ht="74.25" customHeight="1" x14ac:dyDescent="0.3"/>
    <row r="5109" ht="74.25" customHeight="1" x14ac:dyDescent="0.3"/>
    <row r="5110" ht="74.25" customHeight="1" x14ac:dyDescent="0.3"/>
    <row r="5111" ht="74.25" customHeight="1" x14ac:dyDescent="0.3"/>
    <row r="5112" ht="74.25" customHeight="1" x14ac:dyDescent="0.3"/>
    <row r="5113" ht="74.25" customHeight="1" x14ac:dyDescent="0.3"/>
    <row r="5114" ht="74.25" customHeight="1" x14ac:dyDescent="0.3"/>
    <row r="5115" ht="74.25" customHeight="1" x14ac:dyDescent="0.3"/>
    <row r="5116" ht="74.25" customHeight="1" x14ac:dyDescent="0.3"/>
    <row r="5117" ht="74.25" customHeight="1" x14ac:dyDescent="0.3"/>
    <row r="5118" ht="74.25" customHeight="1" x14ac:dyDescent="0.3"/>
    <row r="5119" ht="74.25" customHeight="1" x14ac:dyDescent="0.3"/>
    <row r="5120" ht="74.25" customHeight="1" x14ac:dyDescent="0.3"/>
    <row r="5121" ht="74.25" customHeight="1" x14ac:dyDescent="0.3"/>
    <row r="5122" ht="74.25" customHeight="1" x14ac:dyDescent="0.3"/>
    <row r="5123" ht="74.25" customHeight="1" x14ac:dyDescent="0.3"/>
    <row r="5124" ht="74.25" customHeight="1" x14ac:dyDescent="0.3"/>
    <row r="5125" ht="74.25" customHeight="1" x14ac:dyDescent="0.3"/>
    <row r="5126" ht="74.25" customHeight="1" x14ac:dyDescent="0.3"/>
    <row r="5127" ht="74.25" customHeight="1" x14ac:dyDescent="0.3"/>
    <row r="5128" ht="74.25" customHeight="1" x14ac:dyDescent="0.3"/>
    <row r="5129" ht="74.25" customHeight="1" x14ac:dyDescent="0.3"/>
    <row r="5130" ht="74.25" customHeight="1" x14ac:dyDescent="0.3"/>
    <row r="5131" ht="74.25" customHeight="1" x14ac:dyDescent="0.3"/>
    <row r="5132" ht="74.25" customHeight="1" x14ac:dyDescent="0.3"/>
    <row r="5133" ht="74.25" customHeight="1" x14ac:dyDescent="0.3"/>
    <row r="5134" ht="74.25" customHeight="1" x14ac:dyDescent="0.3"/>
    <row r="5135" ht="74.25" customHeight="1" x14ac:dyDescent="0.3"/>
    <row r="5136" ht="74.25" customHeight="1" x14ac:dyDescent="0.3"/>
    <row r="5137" ht="74.25" customHeight="1" x14ac:dyDescent="0.3"/>
    <row r="5138" ht="74.25" customHeight="1" x14ac:dyDescent="0.3"/>
    <row r="5139" ht="74.25" customHeight="1" x14ac:dyDescent="0.3"/>
    <row r="5140" ht="74.25" customHeight="1" x14ac:dyDescent="0.3"/>
    <row r="5141" ht="74.25" customHeight="1" x14ac:dyDescent="0.3"/>
    <row r="5142" ht="74.25" customHeight="1" x14ac:dyDescent="0.3"/>
    <row r="5143" ht="74.25" customHeight="1" x14ac:dyDescent="0.3"/>
    <row r="5144" ht="74.25" customHeight="1" x14ac:dyDescent="0.3"/>
    <row r="5145" ht="74.25" customHeight="1" x14ac:dyDescent="0.3"/>
    <row r="5146" ht="74.25" customHeight="1" x14ac:dyDescent="0.3"/>
    <row r="5147" ht="74.25" customHeight="1" x14ac:dyDescent="0.3"/>
    <row r="5148" ht="74.25" customHeight="1" x14ac:dyDescent="0.3"/>
    <row r="5149" ht="74.25" customHeight="1" x14ac:dyDescent="0.3"/>
    <row r="5150" ht="74.25" customHeight="1" x14ac:dyDescent="0.3"/>
    <row r="5151" ht="74.25" customHeight="1" x14ac:dyDescent="0.3"/>
    <row r="5152" ht="74.25" customHeight="1" x14ac:dyDescent="0.3"/>
    <row r="5153" ht="74.25" customHeight="1" x14ac:dyDescent="0.3"/>
    <row r="5154" ht="74.25" customHeight="1" x14ac:dyDescent="0.3"/>
    <row r="5155" ht="74.25" customHeight="1" x14ac:dyDescent="0.3"/>
    <row r="5156" ht="74.25" customHeight="1" x14ac:dyDescent="0.3"/>
    <row r="5157" ht="74.25" customHeight="1" x14ac:dyDescent="0.3"/>
    <row r="5158" ht="74.25" customHeight="1" x14ac:dyDescent="0.3"/>
    <row r="5159" ht="74.25" customHeight="1" x14ac:dyDescent="0.3"/>
    <row r="5160" ht="74.25" customHeight="1" x14ac:dyDescent="0.3"/>
    <row r="5161" ht="74.25" customHeight="1" x14ac:dyDescent="0.3"/>
    <row r="5162" ht="74.25" customHeight="1" x14ac:dyDescent="0.3"/>
    <row r="5163" ht="74.25" customHeight="1" x14ac:dyDescent="0.3"/>
    <row r="5164" ht="74.25" customHeight="1" x14ac:dyDescent="0.3"/>
    <row r="5165" ht="74.25" customHeight="1" x14ac:dyDescent="0.3"/>
    <row r="5166" ht="74.25" customHeight="1" x14ac:dyDescent="0.3"/>
    <row r="5167" ht="74.25" customHeight="1" x14ac:dyDescent="0.3"/>
    <row r="5168" ht="74.25" customHeight="1" x14ac:dyDescent="0.3"/>
    <row r="5169" ht="74.25" customHeight="1" x14ac:dyDescent="0.3"/>
    <row r="5170" ht="74.25" customHeight="1" x14ac:dyDescent="0.3"/>
    <row r="5171" ht="74.25" customHeight="1" x14ac:dyDescent="0.3"/>
    <row r="5172" ht="74.25" customHeight="1" x14ac:dyDescent="0.3"/>
    <row r="5173" ht="74.25" customHeight="1" x14ac:dyDescent="0.3"/>
    <row r="5174" ht="74.25" customHeight="1" x14ac:dyDescent="0.3"/>
    <row r="5175" ht="74.25" customHeight="1" x14ac:dyDescent="0.3"/>
    <row r="5176" ht="74.25" customHeight="1" x14ac:dyDescent="0.3"/>
    <row r="5177" ht="74.25" customHeight="1" x14ac:dyDescent="0.3"/>
    <row r="5178" ht="74.25" customHeight="1" x14ac:dyDescent="0.3"/>
    <row r="5179" ht="74.25" customHeight="1" x14ac:dyDescent="0.3"/>
    <row r="5180" ht="74.25" customHeight="1" x14ac:dyDescent="0.3"/>
    <row r="5181" ht="74.25" customHeight="1" x14ac:dyDescent="0.3"/>
    <row r="5182" ht="74.25" customHeight="1" x14ac:dyDescent="0.3"/>
    <row r="5183" ht="74.25" customHeight="1" x14ac:dyDescent="0.3"/>
    <row r="5184" ht="74.25" customHeight="1" x14ac:dyDescent="0.3"/>
    <row r="5185" ht="74.25" customHeight="1" x14ac:dyDescent="0.3"/>
    <row r="5186" ht="74.25" customHeight="1" x14ac:dyDescent="0.3"/>
    <row r="5187" ht="74.25" customHeight="1" x14ac:dyDescent="0.3"/>
    <row r="5188" ht="74.25" customHeight="1" x14ac:dyDescent="0.3"/>
    <row r="5189" ht="74.25" customHeight="1" x14ac:dyDescent="0.3"/>
    <row r="5190" ht="74.25" customHeight="1" x14ac:dyDescent="0.3"/>
    <row r="5191" ht="74.25" customHeight="1" x14ac:dyDescent="0.3"/>
    <row r="5192" ht="74.25" customHeight="1" x14ac:dyDescent="0.3"/>
    <row r="5193" ht="74.25" customHeight="1" x14ac:dyDescent="0.3"/>
    <row r="5194" ht="74.25" customHeight="1" x14ac:dyDescent="0.3"/>
    <row r="5195" ht="74.25" customHeight="1" x14ac:dyDescent="0.3"/>
    <row r="5196" ht="74.25" customHeight="1" x14ac:dyDescent="0.3"/>
    <row r="5197" ht="74.25" customHeight="1" x14ac:dyDescent="0.3"/>
    <row r="5198" ht="74.25" customHeight="1" x14ac:dyDescent="0.3"/>
    <row r="5199" ht="74.25" customHeight="1" x14ac:dyDescent="0.3"/>
    <row r="5200" ht="74.25" customHeight="1" x14ac:dyDescent="0.3"/>
    <row r="5201" ht="74.25" customHeight="1" x14ac:dyDescent="0.3"/>
    <row r="5202" ht="74.25" customHeight="1" x14ac:dyDescent="0.3"/>
    <row r="5203" ht="74.25" customHeight="1" x14ac:dyDescent="0.3"/>
    <row r="5204" ht="74.25" customHeight="1" x14ac:dyDescent="0.3"/>
    <row r="5205" ht="74.25" customHeight="1" x14ac:dyDescent="0.3"/>
    <row r="5206" ht="74.25" customHeight="1" x14ac:dyDescent="0.3"/>
    <row r="5207" ht="74.25" customHeight="1" x14ac:dyDescent="0.3"/>
    <row r="5208" ht="74.25" customHeight="1" x14ac:dyDescent="0.3"/>
    <row r="5209" ht="74.25" customHeight="1" x14ac:dyDescent="0.3"/>
    <row r="5210" ht="74.25" customHeight="1" x14ac:dyDescent="0.3"/>
    <row r="5211" ht="74.25" customHeight="1" x14ac:dyDescent="0.3"/>
    <row r="5212" ht="74.25" customHeight="1" x14ac:dyDescent="0.3"/>
    <row r="5213" ht="74.25" customHeight="1" x14ac:dyDescent="0.3"/>
    <row r="5214" ht="74.25" customHeight="1" x14ac:dyDescent="0.3"/>
    <row r="5215" ht="74.25" customHeight="1" x14ac:dyDescent="0.3"/>
    <row r="5216" ht="74.25" customHeight="1" x14ac:dyDescent="0.3"/>
    <row r="5217" ht="74.25" customHeight="1" x14ac:dyDescent="0.3"/>
    <row r="5218" ht="74.25" customHeight="1" x14ac:dyDescent="0.3"/>
    <row r="5219" ht="74.25" customHeight="1" x14ac:dyDescent="0.3"/>
    <row r="5220" ht="74.25" customHeight="1" x14ac:dyDescent="0.3"/>
    <row r="5221" ht="74.25" customHeight="1" x14ac:dyDescent="0.3"/>
    <row r="5222" ht="74.25" customHeight="1" x14ac:dyDescent="0.3"/>
    <row r="5223" ht="74.25" customHeight="1" x14ac:dyDescent="0.3"/>
    <row r="5224" ht="74.25" customHeight="1" x14ac:dyDescent="0.3"/>
    <row r="5225" ht="74.25" customHeight="1" x14ac:dyDescent="0.3"/>
    <row r="5226" ht="74.25" customHeight="1" x14ac:dyDescent="0.3"/>
    <row r="5227" ht="74.25" customHeight="1" x14ac:dyDescent="0.3"/>
    <row r="5228" ht="74.25" customHeight="1" x14ac:dyDescent="0.3"/>
    <row r="5229" ht="74.25" customHeight="1" x14ac:dyDescent="0.3"/>
    <row r="5230" ht="74.25" customHeight="1" x14ac:dyDescent="0.3"/>
    <row r="5231" ht="74.25" customHeight="1" x14ac:dyDescent="0.3"/>
    <row r="5232" ht="74.25" customHeight="1" x14ac:dyDescent="0.3"/>
    <row r="5233" ht="74.25" customHeight="1" x14ac:dyDescent="0.3"/>
    <row r="5234" ht="74.25" customHeight="1" x14ac:dyDescent="0.3"/>
    <row r="5235" ht="74.25" customHeight="1" x14ac:dyDescent="0.3"/>
    <row r="5236" ht="74.25" customHeight="1" x14ac:dyDescent="0.3"/>
    <row r="5237" ht="74.25" customHeight="1" x14ac:dyDescent="0.3"/>
    <row r="5238" ht="74.25" customHeight="1" x14ac:dyDescent="0.3"/>
    <row r="5239" ht="74.25" customHeight="1" x14ac:dyDescent="0.3"/>
    <row r="5240" ht="74.25" customHeight="1" x14ac:dyDescent="0.3"/>
    <row r="5241" ht="74.25" customHeight="1" x14ac:dyDescent="0.3"/>
    <row r="5242" ht="74.25" customHeight="1" x14ac:dyDescent="0.3"/>
    <row r="5243" ht="74.25" customHeight="1" x14ac:dyDescent="0.3"/>
    <row r="5244" ht="74.25" customHeight="1" x14ac:dyDescent="0.3"/>
    <row r="5245" ht="74.25" customHeight="1" x14ac:dyDescent="0.3"/>
    <row r="5246" ht="74.25" customHeight="1" x14ac:dyDescent="0.3"/>
    <row r="5247" ht="74.25" customHeight="1" x14ac:dyDescent="0.3"/>
    <row r="5248" ht="74.25" customHeight="1" x14ac:dyDescent="0.3"/>
    <row r="5249" ht="74.25" customHeight="1" x14ac:dyDescent="0.3"/>
    <row r="5250" ht="74.25" customHeight="1" x14ac:dyDescent="0.3"/>
    <row r="5251" ht="74.25" customHeight="1" x14ac:dyDescent="0.3"/>
    <row r="5252" ht="74.25" customHeight="1" x14ac:dyDescent="0.3"/>
    <row r="5253" ht="74.25" customHeight="1" x14ac:dyDescent="0.3"/>
    <row r="5254" ht="74.25" customHeight="1" x14ac:dyDescent="0.3"/>
    <row r="5255" ht="74.25" customHeight="1" x14ac:dyDescent="0.3"/>
    <row r="5256" ht="74.25" customHeight="1" x14ac:dyDescent="0.3"/>
    <row r="5257" ht="74.25" customHeight="1" x14ac:dyDescent="0.3"/>
    <row r="5258" ht="74.25" customHeight="1" x14ac:dyDescent="0.3"/>
    <row r="5259" ht="74.25" customHeight="1" x14ac:dyDescent="0.3"/>
    <row r="5260" ht="74.25" customHeight="1" x14ac:dyDescent="0.3"/>
    <row r="5261" ht="74.25" customHeight="1" x14ac:dyDescent="0.3"/>
    <row r="5262" ht="74.25" customHeight="1" x14ac:dyDescent="0.3"/>
    <row r="5263" ht="74.25" customHeight="1" x14ac:dyDescent="0.3"/>
    <row r="5264" ht="74.25" customHeight="1" x14ac:dyDescent="0.3"/>
    <row r="5265" ht="74.25" customHeight="1" x14ac:dyDescent="0.3"/>
    <row r="5266" ht="74.25" customHeight="1" x14ac:dyDescent="0.3"/>
    <row r="5267" ht="74.25" customHeight="1" x14ac:dyDescent="0.3"/>
    <row r="5268" ht="74.25" customHeight="1" x14ac:dyDescent="0.3"/>
    <row r="5269" ht="74.25" customHeight="1" x14ac:dyDescent="0.3"/>
    <row r="5270" ht="74.25" customHeight="1" x14ac:dyDescent="0.3"/>
    <row r="5271" ht="74.25" customHeight="1" x14ac:dyDescent="0.3"/>
    <row r="5272" ht="74.25" customHeight="1" x14ac:dyDescent="0.3"/>
    <row r="5273" ht="74.25" customHeight="1" x14ac:dyDescent="0.3"/>
    <row r="5274" ht="74.25" customHeight="1" x14ac:dyDescent="0.3"/>
    <row r="5275" ht="74.25" customHeight="1" x14ac:dyDescent="0.3"/>
    <row r="5276" ht="74.25" customHeight="1" x14ac:dyDescent="0.3"/>
    <row r="5277" ht="74.25" customHeight="1" x14ac:dyDescent="0.3"/>
    <row r="5278" ht="74.25" customHeight="1" x14ac:dyDescent="0.3"/>
    <row r="5279" ht="74.25" customHeight="1" x14ac:dyDescent="0.3"/>
    <row r="5280" ht="74.25" customHeight="1" x14ac:dyDescent="0.3"/>
    <row r="5281" ht="74.25" customHeight="1" x14ac:dyDescent="0.3"/>
    <row r="5282" ht="74.25" customHeight="1" x14ac:dyDescent="0.3"/>
    <row r="5283" ht="74.25" customHeight="1" x14ac:dyDescent="0.3"/>
    <row r="5284" ht="74.25" customHeight="1" x14ac:dyDescent="0.3"/>
    <row r="5285" ht="74.25" customHeight="1" x14ac:dyDescent="0.3"/>
    <row r="5286" ht="74.25" customHeight="1" x14ac:dyDescent="0.3"/>
    <row r="5287" ht="74.25" customHeight="1" x14ac:dyDescent="0.3"/>
    <row r="5288" ht="74.25" customHeight="1" x14ac:dyDescent="0.3"/>
    <row r="5289" ht="74.25" customHeight="1" x14ac:dyDescent="0.3"/>
    <row r="5290" ht="74.25" customHeight="1" x14ac:dyDescent="0.3"/>
    <row r="5291" ht="74.25" customHeight="1" x14ac:dyDescent="0.3"/>
    <row r="5292" ht="74.25" customHeight="1" x14ac:dyDescent="0.3"/>
    <row r="5293" ht="74.25" customHeight="1" x14ac:dyDescent="0.3"/>
    <row r="5294" ht="74.25" customHeight="1" x14ac:dyDescent="0.3"/>
    <row r="5295" ht="74.25" customHeight="1" x14ac:dyDescent="0.3"/>
    <row r="5296" ht="74.25" customHeight="1" x14ac:dyDescent="0.3"/>
    <row r="5297" ht="74.25" customHeight="1" x14ac:dyDescent="0.3"/>
    <row r="5298" ht="74.25" customHeight="1" x14ac:dyDescent="0.3"/>
    <row r="5299" ht="74.25" customHeight="1" x14ac:dyDescent="0.3"/>
    <row r="5300" ht="74.25" customHeight="1" x14ac:dyDescent="0.3"/>
    <row r="5301" ht="74.25" customHeight="1" x14ac:dyDescent="0.3"/>
    <row r="5302" ht="74.25" customHeight="1" x14ac:dyDescent="0.3"/>
    <row r="5303" ht="74.25" customHeight="1" x14ac:dyDescent="0.3"/>
    <row r="5304" ht="74.25" customHeight="1" x14ac:dyDescent="0.3"/>
    <row r="5305" ht="74.25" customHeight="1" x14ac:dyDescent="0.3"/>
    <row r="5306" ht="74.25" customHeight="1" x14ac:dyDescent="0.3"/>
    <row r="5307" ht="74.25" customHeight="1" x14ac:dyDescent="0.3"/>
    <row r="5308" ht="74.25" customHeight="1" x14ac:dyDescent="0.3"/>
    <row r="5309" ht="74.25" customHeight="1" x14ac:dyDescent="0.3"/>
    <row r="5310" ht="74.25" customHeight="1" x14ac:dyDescent="0.3"/>
    <row r="5311" ht="74.25" customHeight="1" x14ac:dyDescent="0.3"/>
    <row r="5312" ht="74.25" customHeight="1" x14ac:dyDescent="0.3"/>
    <row r="5313" ht="74.25" customHeight="1" x14ac:dyDescent="0.3"/>
    <row r="5314" ht="74.25" customHeight="1" x14ac:dyDescent="0.3"/>
    <row r="5315" ht="74.25" customHeight="1" x14ac:dyDescent="0.3"/>
    <row r="5316" ht="74.25" customHeight="1" x14ac:dyDescent="0.3"/>
    <row r="5317" ht="74.25" customHeight="1" x14ac:dyDescent="0.3"/>
    <row r="5318" ht="74.25" customHeight="1" x14ac:dyDescent="0.3"/>
    <row r="5319" ht="74.25" customHeight="1" x14ac:dyDescent="0.3"/>
    <row r="5320" ht="74.25" customHeight="1" x14ac:dyDescent="0.3"/>
    <row r="5321" ht="74.25" customHeight="1" x14ac:dyDescent="0.3"/>
    <row r="5322" ht="74.25" customHeight="1" x14ac:dyDescent="0.3"/>
    <row r="5323" ht="74.25" customHeight="1" x14ac:dyDescent="0.3"/>
    <row r="5324" ht="74.25" customHeight="1" x14ac:dyDescent="0.3"/>
    <row r="5325" ht="74.25" customHeight="1" x14ac:dyDescent="0.3"/>
    <row r="5326" ht="74.25" customHeight="1" x14ac:dyDescent="0.3"/>
    <row r="5327" ht="74.25" customHeight="1" x14ac:dyDescent="0.3"/>
    <row r="5328" ht="74.25" customHeight="1" x14ac:dyDescent="0.3"/>
    <row r="5329" ht="74.25" customHeight="1" x14ac:dyDescent="0.3"/>
    <row r="5330" ht="74.25" customHeight="1" x14ac:dyDescent="0.3"/>
    <row r="5331" ht="74.25" customHeight="1" x14ac:dyDescent="0.3"/>
    <row r="5332" ht="74.25" customHeight="1" x14ac:dyDescent="0.3"/>
    <row r="5333" ht="74.25" customHeight="1" x14ac:dyDescent="0.3"/>
    <row r="5334" ht="74.25" customHeight="1" x14ac:dyDescent="0.3"/>
    <row r="5335" ht="74.25" customHeight="1" x14ac:dyDescent="0.3"/>
    <row r="5336" ht="74.25" customHeight="1" x14ac:dyDescent="0.3"/>
    <row r="5337" ht="74.25" customHeight="1" x14ac:dyDescent="0.3"/>
    <row r="5338" ht="74.25" customHeight="1" x14ac:dyDescent="0.3"/>
    <row r="5339" ht="74.25" customHeight="1" x14ac:dyDescent="0.3"/>
    <row r="5340" ht="74.25" customHeight="1" x14ac:dyDescent="0.3"/>
    <row r="5341" ht="74.25" customHeight="1" x14ac:dyDescent="0.3"/>
    <row r="5342" ht="74.25" customHeight="1" x14ac:dyDescent="0.3"/>
    <row r="5343" ht="74.25" customHeight="1" x14ac:dyDescent="0.3"/>
    <row r="5344" ht="74.25" customHeight="1" x14ac:dyDescent="0.3"/>
    <row r="5345" ht="74.25" customHeight="1" x14ac:dyDescent="0.3"/>
    <row r="5346" ht="74.25" customHeight="1" x14ac:dyDescent="0.3"/>
    <row r="5347" ht="74.25" customHeight="1" x14ac:dyDescent="0.3"/>
    <row r="5348" ht="74.25" customHeight="1" x14ac:dyDescent="0.3"/>
    <row r="5349" ht="74.25" customHeight="1" x14ac:dyDescent="0.3"/>
    <row r="5350" ht="74.25" customHeight="1" x14ac:dyDescent="0.3"/>
    <row r="5351" ht="74.25" customHeight="1" x14ac:dyDescent="0.3"/>
    <row r="5352" ht="74.25" customHeight="1" x14ac:dyDescent="0.3"/>
    <row r="5353" ht="74.25" customHeight="1" x14ac:dyDescent="0.3"/>
    <row r="5354" ht="74.25" customHeight="1" x14ac:dyDescent="0.3"/>
    <row r="5355" ht="74.25" customHeight="1" x14ac:dyDescent="0.3"/>
    <row r="5356" ht="74.25" customHeight="1" x14ac:dyDescent="0.3"/>
    <row r="5357" ht="74.25" customHeight="1" x14ac:dyDescent="0.3"/>
    <row r="5358" ht="74.25" customHeight="1" x14ac:dyDescent="0.3"/>
    <row r="5359" ht="74.25" customHeight="1" x14ac:dyDescent="0.3"/>
    <row r="5360" ht="74.25" customHeight="1" x14ac:dyDescent="0.3"/>
    <row r="5361" ht="74.25" customHeight="1" x14ac:dyDescent="0.3"/>
    <row r="5362" ht="74.25" customHeight="1" x14ac:dyDescent="0.3"/>
    <row r="5363" ht="74.25" customHeight="1" x14ac:dyDescent="0.3"/>
    <row r="5364" ht="74.25" customHeight="1" x14ac:dyDescent="0.3"/>
    <row r="5365" ht="74.25" customHeight="1" x14ac:dyDescent="0.3"/>
    <row r="5366" ht="74.25" customHeight="1" x14ac:dyDescent="0.3"/>
    <row r="5367" ht="74.25" customHeight="1" x14ac:dyDescent="0.3"/>
    <row r="5368" ht="74.25" customHeight="1" x14ac:dyDescent="0.3"/>
    <row r="5369" ht="74.25" customHeight="1" x14ac:dyDescent="0.3"/>
    <row r="5370" ht="74.25" customHeight="1" x14ac:dyDescent="0.3"/>
    <row r="5371" ht="74.25" customHeight="1" x14ac:dyDescent="0.3"/>
    <row r="5372" ht="74.25" customHeight="1" x14ac:dyDescent="0.3"/>
    <row r="5373" ht="74.25" customHeight="1" x14ac:dyDescent="0.3"/>
    <row r="5374" ht="74.25" customHeight="1" x14ac:dyDescent="0.3"/>
    <row r="5375" ht="74.25" customHeight="1" x14ac:dyDescent="0.3"/>
    <row r="5376" ht="74.25" customHeight="1" x14ac:dyDescent="0.3"/>
    <row r="5377" ht="74.25" customHeight="1" x14ac:dyDescent="0.3"/>
    <row r="5378" ht="74.25" customHeight="1" x14ac:dyDescent="0.3"/>
    <row r="5379" ht="74.25" customHeight="1" x14ac:dyDescent="0.3"/>
    <row r="5380" ht="74.25" customHeight="1" x14ac:dyDescent="0.3"/>
    <row r="5381" ht="74.25" customHeight="1" x14ac:dyDescent="0.3"/>
    <row r="5382" ht="74.25" customHeight="1" x14ac:dyDescent="0.3"/>
    <row r="5383" ht="74.25" customHeight="1" x14ac:dyDescent="0.3"/>
    <row r="5384" ht="74.25" customHeight="1" x14ac:dyDescent="0.3"/>
    <row r="5385" ht="74.25" customHeight="1" x14ac:dyDescent="0.3"/>
    <row r="5386" ht="74.25" customHeight="1" x14ac:dyDescent="0.3"/>
    <row r="5387" ht="74.25" customHeight="1" x14ac:dyDescent="0.3"/>
    <row r="5388" ht="74.25" customHeight="1" x14ac:dyDescent="0.3"/>
    <row r="5389" ht="74.25" customHeight="1" x14ac:dyDescent="0.3"/>
    <row r="5390" ht="74.25" customHeight="1" x14ac:dyDescent="0.3"/>
    <row r="5391" ht="74.25" customHeight="1" x14ac:dyDescent="0.3"/>
    <row r="5392" ht="74.25" customHeight="1" x14ac:dyDescent="0.3"/>
    <row r="5393" ht="74.25" customHeight="1" x14ac:dyDescent="0.3"/>
    <row r="5394" ht="74.25" customHeight="1" x14ac:dyDescent="0.3"/>
    <row r="5395" ht="74.25" customHeight="1" x14ac:dyDescent="0.3"/>
    <row r="5396" ht="74.25" customHeight="1" x14ac:dyDescent="0.3"/>
    <row r="5397" ht="74.25" customHeight="1" x14ac:dyDescent="0.3"/>
    <row r="5398" ht="74.25" customHeight="1" x14ac:dyDescent="0.3"/>
    <row r="5399" ht="74.25" customHeight="1" x14ac:dyDescent="0.3"/>
    <row r="5400" ht="74.25" customHeight="1" x14ac:dyDescent="0.3"/>
    <row r="5401" ht="74.25" customHeight="1" x14ac:dyDescent="0.3"/>
    <row r="5402" ht="74.25" customHeight="1" x14ac:dyDescent="0.3"/>
    <row r="5403" ht="74.25" customHeight="1" x14ac:dyDescent="0.3"/>
    <row r="5404" ht="74.25" customHeight="1" x14ac:dyDescent="0.3"/>
    <row r="5405" ht="74.25" customHeight="1" x14ac:dyDescent="0.3"/>
    <row r="5406" ht="74.25" customHeight="1" x14ac:dyDescent="0.3"/>
    <row r="5407" ht="74.25" customHeight="1" x14ac:dyDescent="0.3"/>
    <row r="5408" ht="74.25" customHeight="1" x14ac:dyDescent="0.3"/>
    <row r="5409" ht="74.25" customHeight="1" x14ac:dyDescent="0.3"/>
    <row r="5410" ht="74.25" customHeight="1" x14ac:dyDescent="0.3"/>
    <row r="5411" ht="74.25" customHeight="1" x14ac:dyDescent="0.3"/>
    <row r="5412" ht="74.25" customHeight="1" x14ac:dyDescent="0.3"/>
    <row r="5413" ht="74.25" customHeight="1" x14ac:dyDescent="0.3"/>
    <row r="5414" ht="74.25" customHeight="1" x14ac:dyDescent="0.3"/>
    <row r="5415" ht="74.25" customHeight="1" x14ac:dyDescent="0.3"/>
    <row r="5416" ht="74.25" customHeight="1" x14ac:dyDescent="0.3"/>
    <row r="5417" ht="74.25" customHeight="1" x14ac:dyDescent="0.3"/>
    <row r="5418" ht="74.25" customHeight="1" x14ac:dyDescent="0.3"/>
    <row r="5419" ht="74.25" customHeight="1" x14ac:dyDescent="0.3"/>
    <row r="5420" ht="74.25" customHeight="1" x14ac:dyDescent="0.3"/>
    <row r="5421" ht="74.25" customHeight="1" x14ac:dyDescent="0.3"/>
    <row r="5422" ht="74.25" customHeight="1" x14ac:dyDescent="0.3"/>
    <row r="5423" ht="74.25" customHeight="1" x14ac:dyDescent="0.3"/>
    <row r="5424" ht="74.25" customHeight="1" x14ac:dyDescent="0.3"/>
    <row r="5425" ht="74.25" customHeight="1" x14ac:dyDescent="0.3"/>
    <row r="5426" ht="74.25" customHeight="1" x14ac:dyDescent="0.3"/>
    <row r="5427" ht="74.25" customHeight="1" x14ac:dyDescent="0.3"/>
    <row r="5428" ht="74.25" customHeight="1" x14ac:dyDescent="0.3"/>
    <row r="5429" ht="74.25" customHeight="1" x14ac:dyDescent="0.3"/>
    <row r="5430" ht="74.25" customHeight="1" x14ac:dyDescent="0.3"/>
    <row r="5431" ht="74.25" customHeight="1" x14ac:dyDescent="0.3"/>
    <row r="5432" ht="74.25" customHeight="1" x14ac:dyDescent="0.3"/>
    <row r="5433" ht="74.25" customHeight="1" x14ac:dyDescent="0.3"/>
    <row r="5434" ht="74.25" customHeight="1" x14ac:dyDescent="0.3"/>
    <row r="5435" ht="74.25" customHeight="1" x14ac:dyDescent="0.3"/>
    <row r="5436" ht="74.25" customHeight="1" x14ac:dyDescent="0.3"/>
    <row r="5437" ht="74.25" customHeight="1" x14ac:dyDescent="0.3"/>
    <row r="5438" ht="74.25" customHeight="1" x14ac:dyDescent="0.3"/>
    <row r="5439" ht="74.25" customHeight="1" x14ac:dyDescent="0.3"/>
    <row r="5440" ht="74.25" customHeight="1" x14ac:dyDescent="0.3"/>
    <row r="5441" ht="74.25" customHeight="1" x14ac:dyDescent="0.3"/>
    <row r="5442" ht="74.25" customHeight="1" x14ac:dyDescent="0.3"/>
    <row r="5443" ht="74.25" customHeight="1" x14ac:dyDescent="0.3"/>
    <row r="5444" ht="74.25" customHeight="1" x14ac:dyDescent="0.3"/>
    <row r="5445" ht="74.25" customHeight="1" x14ac:dyDescent="0.3"/>
    <row r="5446" ht="74.25" customHeight="1" x14ac:dyDescent="0.3"/>
    <row r="5447" ht="74.25" customHeight="1" x14ac:dyDescent="0.3"/>
    <row r="5448" ht="74.25" customHeight="1" x14ac:dyDescent="0.3"/>
    <row r="5449" ht="74.25" customHeight="1" x14ac:dyDescent="0.3"/>
    <row r="5450" ht="74.25" customHeight="1" x14ac:dyDescent="0.3"/>
    <row r="5451" ht="74.25" customHeight="1" x14ac:dyDescent="0.3"/>
    <row r="5452" ht="74.25" customHeight="1" x14ac:dyDescent="0.3"/>
    <row r="5453" ht="74.25" customHeight="1" x14ac:dyDescent="0.3"/>
    <row r="5454" ht="74.25" customHeight="1" x14ac:dyDescent="0.3"/>
    <row r="5455" ht="74.25" customHeight="1" x14ac:dyDescent="0.3"/>
    <row r="5456" ht="74.25" customHeight="1" x14ac:dyDescent="0.3"/>
    <row r="5457" ht="74.25" customHeight="1" x14ac:dyDescent="0.3"/>
    <row r="5458" ht="74.25" customHeight="1" x14ac:dyDescent="0.3"/>
    <row r="5459" ht="74.25" customHeight="1" x14ac:dyDescent="0.3"/>
    <row r="5460" ht="74.25" customHeight="1" x14ac:dyDescent="0.3"/>
    <row r="5461" ht="74.25" customHeight="1" x14ac:dyDescent="0.3"/>
    <row r="5462" ht="74.25" customHeight="1" x14ac:dyDescent="0.3"/>
    <row r="5463" ht="74.25" customHeight="1" x14ac:dyDescent="0.3"/>
    <row r="5464" ht="74.25" customHeight="1" x14ac:dyDescent="0.3"/>
    <row r="5465" ht="74.25" customHeight="1" x14ac:dyDescent="0.3"/>
    <row r="5466" ht="74.25" customHeight="1" x14ac:dyDescent="0.3"/>
    <row r="5467" ht="74.25" customHeight="1" x14ac:dyDescent="0.3"/>
    <row r="5468" ht="74.25" customHeight="1" x14ac:dyDescent="0.3"/>
    <row r="5469" ht="74.25" customHeight="1" x14ac:dyDescent="0.3"/>
    <row r="5470" ht="74.25" customHeight="1" x14ac:dyDescent="0.3"/>
    <row r="5471" ht="74.25" customHeight="1" x14ac:dyDescent="0.3"/>
    <row r="5472" ht="74.25" customHeight="1" x14ac:dyDescent="0.3"/>
    <row r="5473" ht="74.25" customHeight="1" x14ac:dyDescent="0.3"/>
    <row r="5474" ht="74.25" customHeight="1" x14ac:dyDescent="0.3"/>
    <row r="5475" ht="74.25" customHeight="1" x14ac:dyDescent="0.3"/>
    <row r="5476" ht="74.25" customHeight="1" x14ac:dyDescent="0.3"/>
    <row r="5477" ht="74.25" customHeight="1" x14ac:dyDescent="0.3"/>
    <row r="5478" ht="74.25" customHeight="1" x14ac:dyDescent="0.3"/>
    <row r="5479" ht="74.25" customHeight="1" x14ac:dyDescent="0.3"/>
    <row r="5480" ht="74.25" customHeight="1" x14ac:dyDescent="0.3"/>
    <row r="5481" ht="74.25" customHeight="1" x14ac:dyDescent="0.3"/>
    <row r="5482" ht="74.25" customHeight="1" x14ac:dyDescent="0.3"/>
    <row r="5483" ht="74.25" customHeight="1" x14ac:dyDescent="0.3"/>
    <row r="5484" ht="74.25" customHeight="1" x14ac:dyDescent="0.3"/>
    <row r="5485" ht="74.25" customHeight="1" x14ac:dyDescent="0.3"/>
    <row r="5486" ht="74.25" customHeight="1" x14ac:dyDescent="0.3"/>
    <row r="5487" ht="74.25" customHeight="1" x14ac:dyDescent="0.3"/>
    <row r="5488" ht="74.25" customHeight="1" x14ac:dyDescent="0.3"/>
    <row r="5489" ht="74.25" customHeight="1" x14ac:dyDescent="0.3"/>
    <row r="5490" ht="74.25" customHeight="1" x14ac:dyDescent="0.3"/>
    <row r="5491" ht="74.25" customHeight="1" x14ac:dyDescent="0.3"/>
    <row r="5492" ht="74.25" customHeight="1" x14ac:dyDescent="0.3"/>
    <row r="5493" ht="74.25" customHeight="1" x14ac:dyDescent="0.3"/>
    <row r="5494" ht="74.25" customHeight="1" x14ac:dyDescent="0.3"/>
    <row r="5495" ht="74.25" customHeight="1" x14ac:dyDescent="0.3"/>
    <row r="5496" ht="74.25" customHeight="1" x14ac:dyDescent="0.3"/>
    <row r="5497" ht="74.25" customHeight="1" x14ac:dyDescent="0.3"/>
    <row r="5498" ht="74.25" customHeight="1" x14ac:dyDescent="0.3"/>
    <row r="5499" ht="74.25" customHeight="1" x14ac:dyDescent="0.3"/>
    <row r="5500" ht="74.25" customHeight="1" x14ac:dyDescent="0.3"/>
    <row r="5501" ht="74.25" customHeight="1" x14ac:dyDescent="0.3"/>
    <row r="5502" ht="74.25" customHeight="1" x14ac:dyDescent="0.3"/>
    <row r="5503" ht="74.25" customHeight="1" x14ac:dyDescent="0.3"/>
    <row r="5504" ht="74.25" customHeight="1" x14ac:dyDescent="0.3"/>
    <row r="5505" ht="74.25" customHeight="1" x14ac:dyDescent="0.3"/>
    <row r="5506" ht="74.25" customHeight="1" x14ac:dyDescent="0.3"/>
    <row r="5507" ht="74.25" customHeight="1" x14ac:dyDescent="0.3"/>
    <row r="5508" ht="74.25" customHeight="1" x14ac:dyDescent="0.3"/>
    <row r="5509" ht="74.25" customHeight="1" x14ac:dyDescent="0.3"/>
    <row r="5510" ht="74.25" customHeight="1" x14ac:dyDescent="0.3"/>
    <row r="5511" ht="74.25" customHeight="1" x14ac:dyDescent="0.3"/>
    <row r="5512" ht="74.25" customHeight="1" x14ac:dyDescent="0.3"/>
    <row r="5513" ht="74.25" customHeight="1" x14ac:dyDescent="0.3"/>
    <row r="5514" ht="74.25" customHeight="1" x14ac:dyDescent="0.3"/>
    <row r="5515" ht="74.25" customHeight="1" x14ac:dyDescent="0.3"/>
    <row r="5516" ht="74.25" customHeight="1" x14ac:dyDescent="0.3"/>
    <row r="5517" ht="74.25" customHeight="1" x14ac:dyDescent="0.3"/>
    <row r="5518" ht="74.25" customHeight="1" x14ac:dyDescent="0.3"/>
    <row r="5519" ht="74.25" customHeight="1" x14ac:dyDescent="0.3"/>
    <row r="5520" ht="74.25" customHeight="1" x14ac:dyDescent="0.3"/>
    <row r="5521" ht="74.25" customHeight="1" x14ac:dyDescent="0.3"/>
    <row r="5522" ht="74.25" customHeight="1" x14ac:dyDescent="0.3"/>
    <row r="5523" ht="74.25" customHeight="1" x14ac:dyDescent="0.3"/>
    <row r="5524" ht="74.25" customHeight="1" x14ac:dyDescent="0.3"/>
    <row r="5525" ht="74.25" customHeight="1" x14ac:dyDescent="0.3"/>
    <row r="5526" ht="74.25" customHeight="1" x14ac:dyDescent="0.3"/>
    <row r="5527" ht="74.25" customHeight="1" x14ac:dyDescent="0.3"/>
    <row r="5528" ht="74.25" customHeight="1" x14ac:dyDescent="0.3"/>
    <row r="5529" ht="74.25" customHeight="1" x14ac:dyDescent="0.3"/>
    <row r="5530" ht="74.25" customHeight="1" x14ac:dyDescent="0.3"/>
    <row r="5531" ht="74.25" customHeight="1" x14ac:dyDescent="0.3"/>
    <row r="5532" ht="74.25" customHeight="1" x14ac:dyDescent="0.3"/>
    <row r="5533" ht="74.25" customHeight="1" x14ac:dyDescent="0.3"/>
    <row r="5534" ht="74.25" customHeight="1" x14ac:dyDescent="0.3"/>
    <row r="5535" ht="74.25" customHeight="1" x14ac:dyDescent="0.3"/>
    <row r="5536" ht="74.25" customHeight="1" x14ac:dyDescent="0.3"/>
    <row r="5537" ht="74.25" customHeight="1" x14ac:dyDescent="0.3"/>
    <row r="5538" ht="74.25" customHeight="1" x14ac:dyDescent="0.3"/>
    <row r="5539" ht="74.25" customHeight="1" x14ac:dyDescent="0.3"/>
    <row r="5540" ht="74.25" customHeight="1" x14ac:dyDescent="0.3"/>
    <row r="5541" ht="74.25" customHeight="1" x14ac:dyDescent="0.3"/>
    <row r="5542" ht="74.25" customHeight="1" x14ac:dyDescent="0.3"/>
    <row r="5543" ht="74.25" customHeight="1" x14ac:dyDescent="0.3"/>
    <row r="5544" ht="74.25" customHeight="1" x14ac:dyDescent="0.3"/>
    <row r="5545" ht="74.25" customHeight="1" x14ac:dyDescent="0.3"/>
    <row r="5546" ht="74.25" customHeight="1" x14ac:dyDescent="0.3"/>
    <row r="5547" ht="74.25" customHeight="1" x14ac:dyDescent="0.3"/>
    <row r="5548" ht="74.25" customHeight="1" x14ac:dyDescent="0.3"/>
    <row r="5549" ht="74.25" customHeight="1" x14ac:dyDescent="0.3"/>
    <row r="5550" ht="74.25" customHeight="1" x14ac:dyDescent="0.3"/>
    <row r="5551" ht="74.25" customHeight="1" x14ac:dyDescent="0.3"/>
    <row r="5552" ht="74.25" customHeight="1" x14ac:dyDescent="0.3"/>
    <row r="5553" ht="74.25" customHeight="1" x14ac:dyDescent="0.3"/>
    <row r="5554" ht="74.25" customHeight="1" x14ac:dyDescent="0.3"/>
    <row r="5555" ht="74.25" customHeight="1" x14ac:dyDescent="0.3"/>
    <row r="5556" ht="74.25" customHeight="1" x14ac:dyDescent="0.3"/>
    <row r="5557" ht="74.25" customHeight="1" x14ac:dyDescent="0.3"/>
    <row r="5558" ht="74.25" customHeight="1" x14ac:dyDescent="0.3"/>
    <row r="5559" ht="74.25" customHeight="1" x14ac:dyDescent="0.3"/>
    <row r="5560" ht="74.25" customHeight="1" x14ac:dyDescent="0.3"/>
    <row r="5561" ht="74.25" customHeight="1" x14ac:dyDescent="0.3"/>
    <row r="5562" ht="74.25" customHeight="1" x14ac:dyDescent="0.3"/>
    <row r="5563" ht="74.25" customHeight="1" x14ac:dyDescent="0.3"/>
    <row r="5564" ht="74.25" customHeight="1" x14ac:dyDescent="0.3"/>
    <row r="5565" ht="74.25" customHeight="1" x14ac:dyDescent="0.3"/>
    <row r="5566" ht="74.25" customHeight="1" x14ac:dyDescent="0.3"/>
    <row r="5567" ht="74.25" customHeight="1" x14ac:dyDescent="0.3"/>
    <row r="5568" ht="74.25" customHeight="1" x14ac:dyDescent="0.3"/>
    <row r="5569" ht="74.25" customHeight="1" x14ac:dyDescent="0.3"/>
    <row r="5570" ht="74.25" customHeight="1" x14ac:dyDescent="0.3"/>
    <row r="5571" ht="74.25" customHeight="1" x14ac:dyDescent="0.3"/>
    <row r="5572" ht="74.25" customHeight="1" x14ac:dyDescent="0.3"/>
    <row r="5573" ht="74.25" customHeight="1" x14ac:dyDescent="0.3"/>
    <row r="5574" ht="74.25" customHeight="1" x14ac:dyDescent="0.3"/>
    <row r="5575" ht="74.25" customHeight="1" x14ac:dyDescent="0.3"/>
    <row r="5576" ht="74.25" customHeight="1" x14ac:dyDescent="0.3"/>
    <row r="5577" ht="74.25" customHeight="1" x14ac:dyDescent="0.3"/>
    <row r="5578" ht="74.25" customHeight="1" x14ac:dyDescent="0.3"/>
    <row r="5579" ht="74.25" customHeight="1" x14ac:dyDescent="0.3"/>
    <row r="5580" ht="74.25" customHeight="1" x14ac:dyDescent="0.3"/>
    <row r="5581" ht="74.25" customHeight="1" x14ac:dyDescent="0.3"/>
    <row r="5582" ht="74.25" customHeight="1" x14ac:dyDescent="0.3"/>
    <row r="5583" ht="74.25" customHeight="1" x14ac:dyDescent="0.3"/>
    <row r="5584" ht="74.25" customHeight="1" x14ac:dyDescent="0.3"/>
    <row r="5585" ht="74.25" customHeight="1" x14ac:dyDescent="0.3"/>
    <row r="5586" ht="74.25" customHeight="1" x14ac:dyDescent="0.3"/>
    <row r="5587" ht="74.25" customHeight="1" x14ac:dyDescent="0.3"/>
    <row r="5588" ht="74.25" customHeight="1" x14ac:dyDescent="0.3"/>
    <row r="5589" ht="74.25" customHeight="1" x14ac:dyDescent="0.3"/>
    <row r="5590" ht="74.25" customHeight="1" x14ac:dyDescent="0.3"/>
    <row r="5591" ht="74.25" customHeight="1" x14ac:dyDescent="0.3"/>
    <row r="5592" ht="74.25" customHeight="1" x14ac:dyDescent="0.3"/>
    <row r="5593" ht="74.25" customHeight="1" x14ac:dyDescent="0.3"/>
    <row r="5594" ht="74.25" customHeight="1" x14ac:dyDescent="0.3"/>
    <row r="5595" ht="74.25" customHeight="1" x14ac:dyDescent="0.3"/>
    <row r="5596" ht="74.25" customHeight="1" x14ac:dyDescent="0.3"/>
    <row r="5597" ht="74.25" customHeight="1" x14ac:dyDescent="0.3"/>
    <row r="5598" ht="74.25" customHeight="1" x14ac:dyDescent="0.3"/>
    <row r="5599" ht="74.25" customHeight="1" x14ac:dyDescent="0.3"/>
    <row r="5600" ht="74.25" customHeight="1" x14ac:dyDescent="0.3"/>
    <row r="5601" ht="74.25" customHeight="1" x14ac:dyDescent="0.3"/>
    <row r="5602" ht="74.25" customHeight="1" x14ac:dyDescent="0.3"/>
    <row r="5603" ht="74.25" customHeight="1" x14ac:dyDescent="0.3"/>
    <row r="5604" ht="74.25" customHeight="1" x14ac:dyDescent="0.3"/>
    <row r="5605" ht="74.25" customHeight="1" x14ac:dyDescent="0.3"/>
    <row r="5606" ht="74.25" customHeight="1" x14ac:dyDescent="0.3"/>
    <row r="5607" ht="74.25" customHeight="1" x14ac:dyDescent="0.3"/>
    <row r="5608" ht="74.25" customHeight="1" x14ac:dyDescent="0.3"/>
    <row r="5609" ht="74.25" customHeight="1" x14ac:dyDescent="0.3"/>
    <row r="5610" ht="74.25" customHeight="1" x14ac:dyDescent="0.3"/>
    <row r="5611" ht="74.25" customHeight="1" x14ac:dyDescent="0.3"/>
    <row r="5612" ht="74.25" customHeight="1" x14ac:dyDescent="0.3"/>
    <row r="5613" ht="74.25" customHeight="1" x14ac:dyDescent="0.3"/>
    <row r="5614" ht="74.25" customHeight="1" x14ac:dyDescent="0.3"/>
    <row r="5615" ht="74.25" customHeight="1" x14ac:dyDescent="0.3"/>
    <row r="5616" ht="74.25" customHeight="1" x14ac:dyDescent="0.3"/>
    <row r="5617" ht="74.25" customHeight="1" x14ac:dyDescent="0.3"/>
    <row r="5618" ht="74.25" customHeight="1" x14ac:dyDescent="0.3"/>
    <row r="5619" ht="74.25" customHeight="1" x14ac:dyDescent="0.3"/>
    <row r="5620" ht="74.25" customHeight="1" x14ac:dyDescent="0.3"/>
    <row r="5621" ht="74.25" customHeight="1" x14ac:dyDescent="0.3"/>
    <row r="5622" ht="74.25" customHeight="1" x14ac:dyDescent="0.3"/>
    <row r="5623" ht="74.25" customHeight="1" x14ac:dyDescent="0.3"/>
    <row r="5624" ht="74.25" customHeight="1" x14ac:dyDescent="0.3"/>
    <row r="5625" ht="74.25" customHeight="1" x14ac:dyDescent="0.3"/>
    <row r="5626" ht="74.25" customHeight="1" x14ac:dyDescent="0.3"/>
    <row r="5627" ht="74.25" customHeight="1" x14ac:dyDescent="0.3"/>
    <row r="5628" ht="74.25" customHeight="1" x14ac:dyDescent="0.3"/>
    <row r="5629" ht="74.25" customHeight="1" x14ac:dyDescent="0.3"/>
    <row r="5630" ht="74.25" customHeight="1" x14ac:dyDescent="0.3"/>
    <row r="5631" ht="74.25" customHeight="1" x14ac:dyDescent="0.3"/>
    <row r="5632" ht="74.25" customHeight="1" x14ac:dyDescent="0.3"/>
    <row r="5633" ht="74.25" customHeight="1" x14ac:dyDescent="0.3"/>
    <row r="5634" ht="74.25" customHeight="1" x14ac:dyDescent="0.3"/>
    <row r="5635" ht="74.25" customHeight="1" x14ac:dyDescent="0.3"/>
    <row r="5636" ht="74.25" customHeight="1" x14ac:dyDescent="0.3"/>
    <row r="5637" ht="74.25" customHeight="1" x14ac:dyDescent="0.3"/>
    <row r="5638" ht="74.25" customHeight="1" x14ac:dyDescent="0.3"/>
    <row r="5639" ht="74.25" customHeight="1" x14ac:dyDescent="0.3"/>
    <row r="5640" ht="74.25" customHeight="1" x14ac:dyDescent="0.3"/>
    <row r="5641" ht="74.25" customHeight="1" x14ac:dyDescent="0.3"/>
    <row r="5642" ht="74.25" customHeight="1" x14ac:dyDescent="0.3"/>
    <row r="5643" ht="74.25" customHeight="1" x14ac:dyDescent="0.3"/>
    <row r="5644" ht="74.25" customHeight="1" x14ac:dyDescent="0.3"/>
    <row r="5645" ht="74.25" customHeight="1" x14ac:dyDescent="0.3"/>
    <row r="5646" ht="74.25" customHeight="1" x14ac:dyDescent="0.3"/>
    <row r="5647" ht="74.25" customHeight="1" x14ac:dyDescent="0.3"/>
    <row r="5648" ht="74.25" customHeight="1" x14ac:dyDescent="0.3"/>
    <row r="5649" ht="74.25" customHeight="1" x14ac:dyDescent="0.3"/>
    <row r="5650" ht="74.25" customHeight="1" x14ac:dyDescent="0.3"/>
    <row r="5651" ht="74.25" customHeight="1" x14ac:dyDescent="0.3"/>
    <row r="5652" ht="74.25" customHeight="1" x14ac:dyDescent="0.3"/>
    <row r="5653" ht="74.25" customHeight="1" x14ac:dyDescent="0.3"/>
    <row r="5654" ht="74.25" customHeight="1" x14ac:dyDescent="0.3"/>
    <row r="5655" ht="74.25" customHeight="1" x14ac:dyDescent="0.3"/>
    <row r="5656" ht="74.25" customHeight="1" x14ac:dyDescent="0.3"/>
    <row r="5657" ht="74.25" customHeight="1" x14ac:dyDescent="0.3"/>
    <row r="5658" ht="74.25" customHeight="1" x14ac:dyDescent="0.3"/>
    <row r="5659" ht="74.25" customHeight="1" x14ac:dyDescent="0.3"/>
    <row r="5660" ht="74.25" customHeight="1" x14ac:dyDescent="0.3"/>
    <row r="5661" ht="74.25" customHeight="1" x14ac:dyDescent="0.3"/>
    <row r="5662" ht="74.25" customHeight="1" x14ac:dyDescent="0.3"/>
    <row r="5663" ht="74.25" customHeight="1" x14ac:dyDescent="0.3"/>
    <row r="5664" ht="74.25" customHeight="1" x14ac:dyDescent="0.3"/>
    <row r="5665" ht="74.25" customHeight="1" x14ac:dyDescent="0.3"/>
    <row r="5666" ht="74.25" customHeight="1" x14ac:dyDescent="0.3"/>
    <row r="5667" ht="74.25" customHeight="1" x14ac:dyDescent="0.3"/>
    <row r="5668" ht="74.25" customHeight="1" x14ac:dyDescent="0.3"/>
    <row r="5669" ht="74.25" customHeight="1" x14ac:dyDescent="0.3"/>
    <row r="5670" ht="74.25" customHeight="1" x14ac:dyDescent="0.3"/>
    <row r="5671" ht="74.25" customHeight="1" x14ac:dyDescent="0.3"/>
    <row r="5672" ht="74.25" customHeight="1" x14ac:dyDescent="0.3"/>
    <row r="5673" ht="74.25" customHeight="1" x14ac:dyDescent="0.3"/>
    <row r="5674" ht="74.25" customHeight="1" x14ac:dyDescent="0.3"/>
    <row r="5675" ht="74.25" customHeight="1" x14ac:dyDescent="0.3"/>
    <row r="5676" ht="74.25" customHeight="1" x14ac:dyDescent="0.3"/>
    <row r="5677" ht="74.25" customHeight="1" x14ac:dyDescent="0.3"/>
    <row r="5678" ht="74.25" customHeight="1" x14ac:dyDescent="0.3"/>
    <row r="5679" ht="74.25" customHeight="1" x14ac:dyDescent="0.3"/>
    <row r="5680" ht="74.25" customHeight="1" x14ac:dyDescent="0.3"/>
    <row r="5681" ht="74.25" customHeight="1" x14ac:dyDescent="0.3"/>
    <row r="5682" ht="74.25" customHeight="1" x14ac:dyDescent="0.3"/>
    <row r="5683" ht="74.25" customHeight="1" x14ac:dyDescent="0.3"/>
    <row r="5684" ht="74.25" customHeight="1" x14ac:dyDescent="0.3"/>
    <row r="5685" ht="74.25" customHeight="1" x14ac:dyDescent="0.3"/>
    <row r="5686" ht="74.25" customHeight="1" x14ac:dyDescent="0.3"/>
    <row r="5687" ht="74.25" customHeight="1" x14ac:dyDescent="0.3"/>
    <row r="5688" ht="74.25" customHeight="1" x14ac:dyDescent="0.3"/>
    <row r="5689" ht="74.25" customHeight="1" x14ac:dyDescent="0.3"/>
    <row r="5690" ht="74.25" customHeight="1" x14ac:dyDescent="0.3"/>
    <row r="5691" ht="74.25" customHeight="1" x14ac:dyDescent="0.3"/>
    <row r="5692" ht="74.25" customHeight="1" x14ac:dyDescent="0.3"/>
    <row r="5693" ht="74.25" customHeight="1" x14ac:dyDescent="0.3"/>
    <row r="5694" ht="74.25" customHeight="1" x14ac:dyDescent="0.3"/>
    <row r="5695" ht="74.25" customHeight="1" x14ac:dyDescent="0.3"/>
    <row r="5696" ht="74.25" customHeight="1" x14ac:dyDescent="0.3"/>
    <row r="5697" ht="74.25" customHeight="1" x14ac:dyDescent="0.3"/>
    <row r="5698" ht="74.25" customHeight="1" x14ac:dyDescent="0.3"/>
    <row r="5699" ht="74.25" customHeight="1" x14ac:dyDescent="0.3"/>
    <row r="5700" ht="74.25" customHeight="1" x14ac:dyDescent="0.3"/>
    <row r="5701" ht="74.25" customHeight="1" x14ac:dyDescent="0.3"/>
    <row r="5702" ht="74.25" customHeight="1" x14ac:dyDescent="0.3"/>
    <row r="5703" ht="74.25" customHeight="1" x14ac:dyDescent="0.3"/>
    <row r="5704" ht="74.25" customHeight="1" x14ac:dyDescent="0.3"/>
    <row r="5705" ht="74.25" customHeight="1" x14ac:dyDescent="0.3"/>
    <row r="5706" ht="74.25" customHeight="1" x14ac:dyDescent="0.3"/>
    <row r="5707" ht="74.25" customHeight="1" x14ac:dyDescent="0.3"/>
    <row r="5708" ht="74.25" customHeight="1" x14ac:dyDescent="0.3"/>
    <row r="5709" ht="74.25" customHeight="1" x14ac:dyDescent="0.3"/>
    <row r="5710" ht="74.25" customHeight="1" x14ac:dyDescent="0.3"/>
    <row r="5711" ht="74.25" customHeight="1" x14ac:dyDescent="0.3"/>
    <row r="5712" ht="74.25" customHeight="1" x14ac:dyDescent="0.3"/>
    <row r="5713" ht="74.25" customHeight="1" x14ac:dyDescent="0.3"/>
    <row r="5714" ht="74.25" customHeight="1" x14ac:dyDescent="0.3"/>
    <row r="5715" ht="74.25" customHeight="1" x14ac:dyDescent="0.3"/>
    <row r="5716" ht="74.25" customHeight="1" x14ac:dyDescent="0.3"/>
    <row r="5717" ht="74.25" customHeight="1" x14ac:dyDescent="0.3"/>
    <row r="5718" ht="74.25" customHeight="1" x14ac:dyDescent="0.3"/>
    <row r="5719" ht="74.25" customHeight="1" x14ac:dyDescent="0.3"/>
    <row r="5720" ht="74.25" customHeight="1" x14ac:dyDescent="0.3"/>
    <row r="5721" ht="74.25" customHeight="1" x14ac:dyDescent="0.3"/>
    <row r="5722" ht="74.25" customHeight="1" x14ac:dyDescent="0.3"/>
    <row r="5723" ht="74.25" customHeight="1" x14ac:dyDescent="0.3"/>
    <row r="5724" ht="74.25" customHeight="1" x14ac:dyDescent="0.3"/>
    <row r="5725" ht="74.25" customHeight="1" x14ac:dyDescent="0.3"/>
    <row r="5726" ht="74.25" customHeight="1" x14ac:dyDescent="0.3"/>
    <row r="5727" ht="74.25" customHeight="1" x14ac:dyDescent="0.3"/>
    <row r="5728" ht="74.25" customHeight="1" x14ac:dyDescent="0.3"/>
    <row r="5729" ht="74.25" customHeight="1" x14ac:dyDescent="0.3"/>
    <row r="5730" ht="74.25" customHeight="1" x14ac:dyDescent="0.3"/>
    <row r="5731" ht="74.25" customHeight="1" x14ac:dyDescent="0.3"/>
    <row r="5732" ht="74.25" customHeight="1" x14ac:dyDescent="0.3"/>
    <row r="5733" ht="74.25" customHeight="1" x14ac:dyDescent="0.3"/>
    <row r="5734" ht="74.25" customHeight="1" x14ac:dyDescent="0.3"/>
    <row r="5735" ht="74.25" customHeight="1" x14ac:dyDescent="0.3"/>
    <row r="5736" ht="74.25" customHeight="1" x14ac:dyDescent="0.3"/>
    <row r="5737" ht="74.25" customHeight="1" x14ac:dyDescent="0.3"/>
    <row r="5738" ht="74.25" customHeight="1" x14ac:dyDescent="0.3"/>
    <row r="5739" ht="74.25" customHeight="1" x14ac:dyDescent="0.3"/>
    <row r="5740" ht="74.25" customHeight="1" x14ac:dyDescent="0.3"/>
    <row r="5741" ht="74.25" customHeight="1" x14ac:dyDescent="0.3"/>
    <row r="5742" ht="74.25" customHeight="1" x14ac:dyDescent="0.3"/>
    <row r="5743" ht="74.25" customHeight="1" x14ac:dyDescent="0.3"/>
    <row r="5744" ht="74.25" customHeight="1" x14ac:dyDescent="0.3"/>
    <row r="5745" ht="74.25" customHeight="1" x14ac:dyDescent="0.3"/>
    <row r="5746" ht="74.25" customHeight="1" x14ac:dyDescent="0.3"/>
    <row r="5747" ht="74.25" customHeight="1" x14ac:dyDescent="0.3"/>
    <row r="5748" ht="74.25" customHeight="1" x14ac:dyDescent="0.3"/>
    <row r="5749" ht="74.25" customHeight="1" x14ac:dyDescent="0.3"/>
    <row r="5750" ht="74.25" customHeight="1" x14ac:dyDescent="0.3"/>
    <row r="5751" ht="74.25" customHeight="1" x14ac:dyDescent="0.3"/>
    <row r="5752" ht="74.25" customHeight="1" x14ac:dyDescent="0.3"/>
    <row r="5753" ht="74.25" customHeight="1" x14ac:dyDescent="0.3"/>
    <row r="5754" ht="74.25" customHeight="1" x14ac:dyDescent="0.3"/>
    <row r="5755" ht="74.25" customHeight="1" x14ac:dyDescent="0.3"/>
    <row r="5756" ht="74.25" customHeight="1" x14ac:dyDescent="0.3"/>
    <row r="5757" ht="74.25" customHeight="1" x14ac:dyDescent="0.3"/>
    <row r="5758" ht="74.25" customHeight="1" x14ac:dyDescent="0.3"/>
    <row r="5759" ht="74.25" customHeight="1" x14ac:dyDescent="0.3"/>
    <row r="5760" ht="74.25" customHeight="1" x14ac:dyDescent="0.3"/>
    <row r="5761" ht="74.25" customHeight="1" x14ac:dyDescent="0.3"/>
    <row r="5762" ht="74.25" customHeight="1" x14ac:dyDescent="0.3"/>
    <row r="5763" ht="74.25" customHeight="1" x14ac:dyDescent="0.3"/>
    <row r="5764" ht="74.25" customHeight="1" x14ac:dyDescent="0.3"/>
    <row r="5765" ht="74.25" customHeight="1" x14ac:dyDescent="0.3"/>
    <row r="5766" ht="74.25" customHeight="1" x14ac:dyDescent="0.3"/>
    <row r="5767" ht="74.25" customHeight="1" x14ac:dyDescent="0.3"/>
    <row r="5768" ht="74.25" customHeight="1" x14ac:dyDescent="0.3"/>
    <row r="5769" ht="74.25" customHeight="1" x14ac:dyDescent="0.3"/>
    <row r="5770" ht="74.25" customHeight="1" x14ac:dyDescent="0.3"/>
    <row r="5771" ht="74.25" customHeight="1" x14ac:dyDescent="0.3"/>
    <row r="5772" ht="74.25" customHeight="1" x14ac:dyDescent="0.3"/>
    <row r="5773" ht="74.25" customHeight="1" x14ac:dyDescent="0.3"/>
    <row r="5774" ht="74.25" customHeight="1" x14ac:dyDescent="0.3"/>
    <row r="5775" ht="74.25" customHeight="1" x14ac:dyDescent="0.3"/>
    <row r="5776" ht="74.25" customHeight="1" x14ac:dyDescent="0.3"/>
    <row r="5777" ht="74.25" customHeight="1" x14ac:dyDescent="0.3"/>
    <row r="5778" ht="74.25" customHeight="1" x14ac:dyDescent="0.3"/>
    <row r="5779" ht="74.25" customHeight="1" x14ac:dyDescent="0.3"/>
    <row r="5780" ht="74.25" customHeight="1" x14ac:dyDescent="0.3"/>
    <row r="5781" ht="74.25" customHeight="1" x14ac:dyDescent="0.3"/>
    <row r="5782" ht="74.25" customHeight="1" x14ac:dyDescent="0.3"/>
    <row r="5783" ht="74.25" customHeight="1" x14ac:dyDescent="0.3"/>
    <row r="5784" ht="74.25" customHeight="1" x14ac:dyDescent="0.3"/>
    <row r="5785" ht="74.25" customHeight="1" x14ac:dyDescent="0.3"/>
    <row r="5786" ht="74.25" customHeight="1" x14ac:dyDescent="0.3"/>
    <row r="5787" ht="74.25" customHeight="1" x14ac:dyDescent="0.3"/>
    <row r="5788" ht="74.25" customHeight="1" x14ac:dyDescent="0.3"/>
    <row r="5789" ht="74.25" customHeight="1" x14ac:dyDescent="0.3"/>
    <row r="5790" ht="74.25" customHeight="1" x14ac:dyDescent="0.3"/>
    <row r="5791" ht="74.25" customHeight="1" x14ac:dyDescent="0.3"/>
    <row r="5792" ht="74.25" customHeight="1" x14ac:dyDescent="0.3"/>
    <row r="5793" ht="74.25" customHeight="1" x14ac:dyDescent="0.3"/>
    <row r="5794" ht="74.25" customHeight="1" x14ac:dyDescent="0.3"/>
    <row r="5795" ht="74.25" customHeight="1" x14ac:dyDescent="0.3"/>
    <row r="5796" ht="74.25" customHeight="1" x14ac:dyDescent="0.3"/>
    <row r="5797" ht="74.25" customHeight="1" x14ac:dyDescent="0.3"/>
    <row r="5798" ht="74.25" customHeight="1" x14ac:dyDescent="0.3"/>
    <row r="5799" ht="74.25" customHeight="1" x14ac:dyDescent="0.3"/>
    <row r="5800" ht="74.25" customHeight="1" x14ac:dyDescent="0.3"/>
    <row r="5801" ht="74.25" customHeight="1" x14ac:dyDescent="0.3"/>
    <row r="5802" ht="74.25" customHeight="1" x14ac:dyDescent="0.3"/>
    <row r="5803" ht="74.25" customHeight="1" x14ac:dyDescent="0.3"/>
    <row r="5804" ht="74.25" customHeight="1" x14ac:dyDescent="0.3"/>
    <row r="5805" ht="74.25" customHeight="1" x14ac:dyDescent="0.3"/>
    <row r="5806" ht="74.25" customHeight="1" x14ac:dyDescent="0.3"/>
    <row r="5807" ht="74.25" customHeight="1" x14ac:dyDescent="0.3"/>
    <row r="5808" ht="74.25" customHeight="1" x14ac:dyDescent="0.3"/>
    <row r="5809" ht="74.25" customHeight="1" x14ac:dyDescent="0.3"/>
    <row r="5810" ht="74.25" customHeight="1" x14ac:dyDescent="0.3"/>
    <row r="5811" ht="74.25" customHeight="1" x14ac:dyDescent="0.3"/>
    <row r="5812" ht="74.25" customHeight="1" x14ac:dyDescent="0.3"/>
    <row r="5813" ht="74.25" customHeight="1" x14ac:dyDescent="0.3"/>
    <row r="5814" ht="74.25" customHeight="1" x14ac:dyDescent="0.3"/>
    <row r="5815" ht="74.25" customHeight="1" x14ac:dyDescent="0.3"/>
    <row r="5816" ht="74.25" customHeight="1" x14ac:dyDescent="0.3"/>
    <row r="5817" ht="74.25" customHeight="1" x14ac:dyDescent="0.3"/>
    <row r="5818" ht="74.25" customHeight="1" x14ac:dyDescent="0.3"/>
    <row r="5819" ht="74.25" customHeight="1" x14ac:dyDescent="0.3"/>
    <row r="5820" ht="74.25" customHeight="1" x14ac:dyDescent="0.3"/>
    <row r="5821" ht="74.25" customHeight="1" x14ac:dyDescent="0.3"/>
    <row r="5822" ht="74.25" customHeight="1" x14ac:dyDescent="0.3"/>
    <row r="5823" ht="74.25" customHeight="1" x14ac:dyDescent="0.3"/>
    <row r="5824" ht="74.25" customHeight="1" x14ac:dyDescent="0.3"/>
    <row r="5825" ht="74.25" customHeight="1" x14ac:dyDescent="0.3"/>
    <row r="5826" ht="74.25" customHeight="1" x14ac:dyDescent="0.3"/>
    <row r="5827" ht="74.25" customHeight="1" x14ac:dyDescent="0.3"/>
    <row r="5828" ht="74.25" customHeight="1" x14ac:dyDescent="0.3"/>
    <row r="5829" ht="74.25" customHeight="1" x14ac:dyDescent="0.3"/>
    <row r="5830" ht="74.25" customHeight="1" x14ac:dyDescent="0.3"/>
    <row r="5831" ht="74.25" customHeight="1" x14ac:dyDescent="0.3"/>
    <row r="5832" ht="74.25" customHeight="1" x14ac:dyDescent="0.3"/>
    <row r="5833" ht="74.25" customHeight="1" x14ac:dyDescent="0.3"/>
    <row r="5834" ht="74.25" customHeight="1" x14ac:dyDescent="0.3"/>
    <row r="5835" ht="74.25" customHeight="1" x14ac:dyDescent="0.3"/>
    <row r="5836" ht="74.25" customHeight="1" x14ac:dyDescent="0.3"/>
    <row r="5837" ht="74.25" customHeight="1" x14ac:dyDescent="0.3"/>
    <row r="5838" ht="74.25" customHeight="1" x14ac:dyDescent="0.3"/>
    <row r="5839" ht="74.25" customHeight="1" x14ac:dyDescent="0.3"/>
    <row r="5840" ht="74.25" customHeight="1" x14ac:dyDescent="0.3"/>
    <row r="5841" ht="74.25" customHeight="1" x14ac:dyDescent="0.3"/>
    <row r="5842" ht="74.25" customHeight="1" x14ac:dyDescent="0.3"/>
    <row r="5843" ht="74.25" customHeight="1" x14ac:dyDescent="0.3"/>
    <row r="5844" ht="74.25" customHeight="1" x14ac:dyDescent="0.3"/>
    <row r="5845" ht="74.25" customHeight="1" x14ac:dyDescent="0.3"/>
    <row r="5846" ht="74.25" customHeight="1" x14ac:dyDescent="0.3"/>
    <row r="5847" ht="74.25" customHeight="1" x14ac:dyDescent="0.3"/>
    <row r="5848" ht="74.25" customHeight="1" x14ac:dyDescent="0.3"/>
    <row r="5849" ht="74.25" customHeight="1" x14ac:dyDescent="0.3"/>
    <row r="5850" ht="74.25" customHeight="1" x14ac:dyDescent="0.3"/>
    <row r="5851" ht="74.25" customHeight="1" x14ac:dyDescent="0.3"/>
    <row r="5852" ht="74.25" customHeight="1" x14ac:dyDescent="0.3"/>
    <row r="5853" ht="74.25" customHeight="1" x14ac:dyDescent="0.3"/>
    <row r="5854" ht="74.25" customHeight="1" x14ac:dyDescent="0.3"/>
    <row r="5855" ht="74.25" customHeight="1" x14ac:dyDescent="0.3"/>
    <row r="5856" ht="74.25" customHeight="1" x14ac:dyDescent="0.3"/>
    <row r="5857" ht="74.25" customHeight="1" x14ac:dyDescent="0.3"/>
    <row r="5858" ht="74.25" customHeight="1" x14ac:dyDescent="0.3"/>
    <row r="5859" ht="74.25" customHeight="1" x14ac:dyDescent="0.3"/>
    <row r="5860" ht="74.25" customHeight="1" x14ac:dyDescent="0.3"/>
    <row r="5861" ht="74.25" customHeight="1" x14ac:dyDescent="0.3"/>
    <row r="5862" ht="74.25" customHeight="1" x14ac:dyDescent="0.3"/>
    <row r="5863" ht="74.25" customHeight="1" x14ac:dyDescent="0.3"/>
    <row r="5864" ht="74.25" customHeight="1" x14ac:dyDescent="0.3"/>
    <row r="5865" ht="74.25" customHeight="1" x14ac:dyDescent="0.3"/>
    <row r="5866" ht="74.25" customHeight="1" x14ac:dyDescent="0.3"/>
    <row r="5867" ht="74.25" customHeight="1" x14ac:dyDescent="0.3"/>
    <row r="5868" ht="74.25" customHeight="1" x14ac:dyDescent="0.3"/>
    <row r="5869" ht="74.25" customHeight="1" x14ac:dyDescent="0.3"/>
    <row r="5870" ht="74.25" customHeight="1" x14ac:dyDescent="0.3"/>
    <row r="5871" ht="74.25" customHeight="1" x14ac:dyDescent="0.3"/>
    <row r="5872" ht="74.25" customHeight="1" x14ac:dyDescent="0.3"/>
    <row r="5873" ht="74.25" customHeight="1" x14ac:dyDescent="0.3"/>
    <row r="5874" ht="74.25" customHeight="1" x14ac:dyDescent="0.3"/>
    <row r="5875" ht="74.25" customHeight="1" x14ac:dyDescent="0.3"/>
    <row r="5876" ht="74.25" customHeight="1" x14ac:dyDescent="0.3"/>
    <row r="5877" ht="74.25" customHeight="1" x14ac:dyDescent="0.3"/>
    <row r="5878" ht="74.25" customHeight="1" x14ac:dyDescent="0.3"/>
    <row r="5879" ht="74.25" customHeight="1" x14ac:dyDescent="0.3"/>
    <row r="5880" ht="74.25" customHeight="1" x14ac:dyDescent="0.3"/>
    <row r="5881" ht="74.25" customHeight="1" x14ac:dyDescent="0.3"/>
    <row r="5882" ht="74.25" customHeight="1" x14ac:dyDescent="0.3"/>
    <row r="5883" ht="74.25" customHeight="1" x14ac:dyDescent="0.3"/>
    <row r="5884" ht="74.25" customHeight="1" x14ac:dyDescent="0.3"/>
    <row r="5885" ht="74.25" customHeight="1" x14ac:dyDescent="0.3"/>
    <row r="5886" ht="74.25" customHeight="1" x14ac:dyDescent="0.3"/>
    <row r="5887" ht="74.25" customHeight="1" x14ac:dyDescent="0.3"/>
    <row r="5888" ht="74.25" customHeight="1" x14ac:dyDescent="0.3"/>
    <row r="5889" ht="74.25" customHeight="1" x14ac:dyDescent="0.3"/>
    <row r="5890" ht="74.25" customHeight="1" x14ac:dyDescent="0.3"/>
    <row r="5891" ht="74.25" customHeight="1" x14ac:dyDescent="0.3"/>
    <row r="5892" ht="74.25" customHeight="1" x14ac:dyDescent="0.3"/>
    <row r="5893" ht="74.25" customHeight="1" x14ac:dyDescent="0.3"/>
    <row r="5894" ht="74.25" customHeight="1" x14ac:dyDescent="0.3"/>
    <row r="5895" ht="74.25" customHeight="1" x14ac:dyDescent="0.3"/>
    <row r="5896" ht="74.25" customHeight="1" x14ac:dyDescent="0.3"/>
    <row r="5897" ht="74.25" customHeight="1" x14ac:dyDescent="0.3"/>
    <row r="5898" ht="74.25" customHeight="1" x14ac:dyDescent="0.3"/>
    <row r="5899" ht="74.25" customHeight="1" x14ac:dyDescent="0.3"/>
    <row r="5900" ht="74.25" customHeight="1" x14ac:dyDescent="0.3"/>
    <row r="5901" ht="74.25" customHeight="1" x14ac:dyDescent="0.3"/>
    <row r="5902" ht="74.25" customHeight="1" x14ac:dyDescent="0.3"/>
    <row r="5903" ht="74.25" customHeight="1" x14ac:dyDescent="0.3"/>
    <row r="5904" ht="74.25" customHeight="1" x14ac:dyDescent="0.3"/>
    <row r="5905" ht="74.25" customHeight="1" x14ac:dyDescent="0.3"/>
    <row r="5906" ht="74.25" customHeight="1" x14ac:dyDescent="0.3"/>
    <row r="5907" ht="74.25" customHeight="1" x14ac:dyDescent="0.3"/>
    <row r="5908" ht="74.25" customHeight="1" x14ac:dyDescent="0.3"/>
    <row r="5909" ht="74.25" customHeight="1" x14ac:dyDescent="0.3"/>
    <row r="5910" ht="74.25" customHeight="1" x14ac:dyDescent="0.3"/>
    <row r="5911" ht="74.25" customHeight="1" x14ac:dyDescent="0.3"/>
    <row r="5912" ht="74.25" customHeight="1" x14ac:dyDescent="0.3"/>
    <row r="5913" ht="74.25" customHeight="1" x14ac:dyDescent="0.3"/>
    <row r="5914" ht="74.25" customHeight="1" x14ac:dyDescent="0.3"/>
    <row r="5915" ht="74.25" customHeight="1" x14ac:dyDescent="0.3"/>
    <row r="5916" ht="74.25" customHeight="1" x14ac:dyDescent="0.3"/>
    <row r="5917" ht="74.25" customHeight="1" x14ac:dyDescent="0.3"/>
    <row r="5918" ht="74.25" customHeight="1" x14ac:dyDescent="0.3"/>
    <row r="5919" ht="74.25" customHeight="1" x14ac:dyDescent="0.3"/>
    <row r="5920" ht="74.25" customHeight="1" x14ac:dyDescent="0.3"/>
    <row r="5921" ht="74.25" customHeight="1" x14ac:dyDescent="0.3"/>
    <row r="5922" ht="74.25" customHeight="1" x14ac:dyDescent="0.3"/>
    <row r="5923" ht="74.25" customHeight="1" x14ac:dyDescent="0.3"/>
    <row r="5924" ht="74.25" customHeight="1" x14ac:dyDescent="0.3"/>
    <row r="5925" ht="74.25" customHeight="1" x14ac:dyDescent="0.3"/>
    <row r="5926" ht="74.25" customHeight="1" x14ac:dyDescent="0.3"/>
    <row r="5927" ht="74.25" customHeight="1" x14ac:dyDescent="0.3"/>
    <row r="5928" ht="74.25" customHeight="1" x14ac:dyDescent="0.3"/>
    <row r="5929" ht="74.25" customHeight="1" x14ac:dyDescent="0.3"/>
    <row r="5930" ht="74.25" customHeight="1" x14ac:dyDescent="0.3"/>
    <row r="5931" ht="74.25" customHeight="1" x14ac:dyDescent="0.3"/>
    <row r="5932" ht="74.25" customHeight="1" x14ac:dyDescent="0.3"/>
    <row r="5933" ht="74.25" customHeight="1" x14ac:dyDescent="0.3"/>
    <row r="5934" ht="74.25" customHeight="1" x14ac:dyDescent="0.3"/>
    <row r="5935" ht="74.25" customHeight="1" x14ac:dyDescent="0.3"/>
    <row r="5936" ht="74.25" customHeight="1" x14ac:dyDescent="0.3"/>
    <row r="5937" ht="74.25" customHeight="1" x14ac:dyDescent="0.3"/>
    <row r="5938" ht="74.25" customHeight="1" x14ac:dyDescent="0.3"/>
    <row r="5939" ht="74.25" customHeight="1" x14ac:dyDescent="0.3"/>
    <row r="5940" ht="74.25" customHeight="1" x14ac:dyDescent="0.3"/>
    <row r="5941" ht="74.25" customHeight="1" x14ac:dyDescent="0.3"/>
    <row r="5942" ht="74.25" customHeight="1" x14ac:dyDescent="0.3"/>
    <row r="5943" ht="74.25" customHeight="1" x14ac:dyDescent="0.3"/>
    <row r="5944" ht="74.25" customHeight="1" x14ac:dyDescent="0.3"/>
    <row r="5945" ht="74.25" customHeight="1" x14ac:dyDescent="0.3"/>
    <row r="5946" ht="74.25" customHeight="1" x14ac:dyDescent="0.3"/>
    <row r="5947" ht="74.25" customHeight="1" x14ac:dyDescent="0.3"/>
    <row r="5948" ht="74.25" customHeight="1" x14ac:dyDescent="0.3"/>
    <row r="5949" ht="74.25" customHeight="1" x14ac:dyDescent="0.3"/>
    <row r="5950" ht="74.25" customHeight="1" x14ac:dyDescent="0.3"/>
    <row r="5951" ht="74.25" customHeight="1" x14ac:dyDescent="0.3"/>
    <row r="5952" ht="74.25" customHeight="1" x14ac:dyDescent="0.3"/>
    <row r="5953" ht="74.25" customHeight="1" x14ac:dyDescent="0.3"/>
    <row r="5954" ht="74.25" customHeight="1" x14ac:dyDescent="0.3"/>
    <row r="5955" ht="74.25" customHeight="1" x14ac:dyDescent="0.3"/>
    <row r="5956" ht="74.25" customHeight="1" x14ac:dyDescent="0.3"/>
    <row r="5957" ht="74.25" customHeight="1" x14ac:dyDescent="0.3"/>
    <row r="5958" ht="74.25" customHeight="1" x14ac:dyDescent="0.3"/>
    <row r="5959" ht="74.25" customHeight="1" x14ac:dyDescent="0.3"/>
    <row r="5960" ht="74.25" customHeight="1" x14ac:dyDescent="0.3"/>
    <row r="5961" ht="74.25" customHeight="1" x14ac:dyDescent="0.3"/>
    <row r="5962" ht="74.25" customHeight="1" x14ac:dyDescent="0.3"/>
    <row r="5963" ht="74.25" customHeight="1" x14ac:dyDescent="0.3"/>
    <row r="5964" ht="74.25" customHeight="1" x14ac:dyDescent="0.3"/>
    <row r="5965" ht="74.25" customHeight="1" x14ac:dyDescent="0.3"/>
    <row r="5966" ht="74.25" customHeight="1" x14ac:dyDescent="0.3"/>
    <row r="5967" ht="74.25" customHeight="1" x14ac:dyDescent="0.3"/>
    <row r="5968" ht="74.25" customHeight="1" x14ac:dyDescent="0.3"/>
    <row r="5969" ht="74.25" customHeight="1" x14ac:dyDescent="0.3"/>
    <row r="5970" ht="74.25" customHeight="1" x14ac:dyDescent="0.3"/>
    <row r="5971" ht="74.25" customHeight="1" x14ac:dyDescent="0.3"/>
    <row r="5972" ht="74.25" customHeight="1" x14ac:dyDescent="0.3"/>
    <row r="5973" ht="74.25" customHeight="1" x14ac:dyDescent="0.3"/>
    <row r="5974" ht="74.25" customHeight="1" x14ac:dyDescent="0.3"/>
    <row r="5975" ht="74.25" customHeight="1" x14ac:dyDescent="0.3"/>
    <row r="5976" ht="74.25" customHeight="1" x14ac:dyDescent="0.3"/>
    <row r="5977" ht="74.25" customHeight="1" x14ac:dyDescent="0.3"/>
    <row r="5978" ht="74.25" customHeight="1" x14ac:dyDescent="0.3"/>
    <row r="5979" ht="74.25" customHeight="1" x14ac:dyDescent="0.3"/>
    <row r="5980" ht="74.25" customHeight="1" x14ac:dyDescent="0.3"/>
    <row r="5981" ht="74.25" customHeight="1" x14ac:dyDescent="0.3"/>
    <row r="5982" ht="74.25" customHeight="1" x14ac:dyDescent="0.3"/>
    <row r="5983" ht="74.25" customHeight="1" x14ac:dyDescent="0.3"/>
    <row r="5984" ht="74.25" customHeight="1" x14ac:dyDescent="0.3"/>
    <row r="5985" ht="74.25" customHeight="1" x14ac:dyDescent="0.3"/>
    <row r="5986" ht="74.25" customHeight="1" x14ac:dyDescent="0.3"/>
    <row r="5987" ht="74.25" customHeight="1" x14ac:dyDescent="0.3"/>
    <row r="5988" ht="74.25" customHeight="1" x14ac:dyDescent="0.3"/>
    <row r="5989" ht="74.25" customHeight="1" x14ac:dyDescent="0.3"/>
    <row r="5990" ht="74.25" customHeight="1" x14ac:dyDescent="0.3"/>
    <row r="5991" ht="74.25" customHeight="1" x14ac:dyDescent="0.3"/>
    <row r="5992" ht="74.25" customHeight="1" x14ac:dyDescent="0.3"/>
    <row r="5993" ht="74.25" customHeight="1" x14ac:dyDescent="0.3"/>
    <row r="5994" ht="74.25" customHeight="1" x14ac:dyDescent="0.3"/>
    <row r="5995" ht="74.25" customHeight="1" x14ac:dyDescent="0.3"/>
    <row r="5996" ht="74.25" customHeight="1" x14ac:dyDescent="0.3"/>
    <row r="5997" ht="74.25" customHeight="1" x14ac:dyDescent="0.3"/>
    <row r="5998" ht="74.25" customHeight="1" x14ac:dyDescent="0.3"/>
    <row r="5999" ht="74.25" customHeight="1" x14ac:dyDescent="0.3"/>
    <row r="6000" ht="74.25" customHeight="1" x14ac:dyDescent="0.3"/>
    <row r="6001" ht="74.25" customHeight="1" x14ac:dyDescent="0.3"/>
    <row r="6002" ht="74.25" customHeight="1" x14ac:dyDescent="0.3"/>
    <row r="6003" ht="74.25" customHeight="1" x14ac:dyDescent="0.3"/>
    <row r="6004" ht="74.25" customHeight="1" x14ac:dyDescent="0.3"/>
    <row r="6005" ht="74.25" customHeight="1" x14ac:dyDescent="0.3"/>
    <row r="6006" ht="74.25" customHeight="1" x14ac:dyDescent="0.3"/>
    <row r="6007" ht="74.25" customHeight="1" x14ac:dyDescent="0.3"/>
    <row r="6008" ht="74.25" customHeight="1" x14ac:dyDescent="0.3"/>
    <row r="6009" ht="74.25" customHeight="1" x14ac:dyDescent="0.3"/>
    <row r="6010" ht="74.25" customHeight="1" x14ac:dyDescent="0.3"/>
    <row r="6011" ht="74.25" customHeight="1" x14ac:dyDescent="0.3"/>
    <row r="6012" ht="74.25" customHeight="1" x14ac:dyDescent="0.3"/>
    <row r="6013" ht="74.25" customHeight="1" x14ac:dyDescent="0.3"/>
    <row r="6014" ht="74.25" customHeight="1" x14ac:dyDescent="0.3"/>
    <row r="6015" ht="74.25" customHeight="1" x14ac:dyDescent="0.3"/>
    <row r="6016" ht="74.25" customHeight="1" x14ac:dyDescent="0.3"/>
    <row r="6017" ht="74.25" customHeight="1" x14ac:dyDescent="0.3"/>
    <row r="6018" ht="74.25" customHeight="1" x14ac:dyDescent="0.3"/>
    <row r="6019" ht="74.25" customHeight="1" x14ac:dyDescent="0.3"/>
    <row r="6020" ht="74.25" customHeight="1" x14ac:dyDescent="0.3"/>
    <row r="6021" ht="74.25" customHeight="1" x14ac:dyDescent="0.3"/>
    <row r="6022" ht="74.25" customHeight="1" x14ac:dyDescent="0.3"/>
    <row r="6023" ht="74.25" customHeight="1" x14ac:dyDescent="0.3"/>
    <row r="6024" ht="74.25" customHeight="1" x14ac:dyDescent="0.3"/>
    <row r="6025" ht="74.25" customHeight="1" x14ac:dyDescent="0.3"/>
    <row r="6026" ht="74.25" customHeight="1" x14ac:dyDescent="0.3"/>
    <row r="6027" ht="74.25" customHeight="1" x14ac:dyDescent="0.3"/>
    <row r="6028" ht="74.25" customHeight="1" x14ac:dyDescent="0.3"/>
    <row r="6029" ht="74.25" customHeight="1" x14ac:dyDescent="0.3"/>
    <row r="6030" ht="74.25" customHeight="1" x14ac:dyDescent="0.3"/>
    <row r="6031" ht="74.25" customHeight="1" x14ac:dyDescent="0.3"/>
    <row r="6032" ht="74.25" customHeight="1" x14ac:dyDescent="0.3"/>
    <row r="6033" ht="74.25" customHeight="1" x14ac:dyDescent="0.3"/>
    <row r="6034" ht="74.25" customHeight="1" x14ac:dyDescent="0.3"/>
    <row r="6035" ht="74.25" customHeight="1" x14ac:dyDescent="0.3"/>
    <row r="6036" ht="74.25" customHeight="1" x14ac:dyDescent="0.3"/>
    <row r="6037" ht="74.25" customHeight="1" x14ac:dyDescent="0.3"/>
    <row r="6038" ht="74.25" customHeight="1" x14ac:dyDescent="0.3"/>
    <row r="6039" ht="74.25" customHeight="1" x14ac:dyDescent="0.3"/>
    <row r="6040" ht="74.25" customHeight="1" x14ac:dyDescent="0.3"/>
    <row r="6041" ht="74.25" customHeight="1" x14ac:dyDescent="0.3"/>
    <row r="6042" ht="74.25" customHeight="1" x14ac:dyDescent="0.3"/>
    <row r="6043" ht="74.25" customHeight="1" x14ac:dyDescent="0.3"/>
    <row r="6044" ht="74.25" customHeight="1" x14ac:dyDescent="0.3"/>
    <row r="6045" ht="74.25" customHeight="1" x14ac:dyDescent="0.3"/>
    <row r="6046" ht="74.25" customHeight="1" x14ac:dyDescent="0.3"/>
    <row r="6047" ht="74.25" customHeight="1" x14ac:dyDescent="0.3"/>
    <row r="6048" ht="74.25" customHeight="1" x14ac:dyDescent="0.3"/>
    <row r="6049" ht="74.25" customHeight="1" x14ac:dyDescent="0.3"/>
    <row r="6050" ht="74.25" customHeight="1" x14ac:dyDescent="0.3"/>
    <row r="6051" ht="74.25" customHeight="1" x14ac:dyDescent="0.3"/>
    <row r="6052" ht="74.25" customHeight="1" x14ac:dyDescent="0.3"/>
    <row r="6053" ht="74.25" customHeight="1" x14ac:dyDescent="0.3"/>
    <row r="6054" ht="74.25" customHeight="1" x14ac:dyDescent="0.3"/>
    <row r="6055" ht="74.25" customHeight="1" x14ac:dyDescent="0.3"/>
    <row r="6056" ht="74.25" customHeight="1" x14ac:dyDescent="0.3"/>
    <row r="6057" ht="74.25" customHeight="1" x14ac:dyDescent="0.3"/>
    <row r="6058" ht="74.25" customHeight="1" x14ac:dyDescent="0.3"/>
    <row r="6059" ht="74.25" customHeight="1" x14ac:dyDescent="0.3"/>
    <row r="6060" ht="74.25" customHeight="1" x14ac:dyDescent="0.3"/>
    <row r="6061" ht="74.25" customHeight="1" x14ac:dyDescent="0.3"/>
    <row r="6062" ht="74.25" customHeight="1" x14ac:dyDescent="0.3"/>
    <row r="6063" ht="74.25" customHeight="1" x14ac:dyDescent="0.3"/>
    <row r="6064" ht="74.25" customHeight="1" x14ac:dyDescent="0.3"/>
    <row r="6065" ht="74.25" customHeight="1" x14ac:dyDescent="0.3"/>
    <row r="6066" ht="74.25" customHeight="1" x14ac:dyDescent="0.3"/>
    <row r="6067" ht="74.25" customHeight="1" x14ac:dyDescent="0.3"/>
    <row r="6068" ht="74.25" customHeight="1" x14ac:dyDescent="0.3"/>
    <row r="6069" ht="74.25" customHeight="1" x14ac:dyDescent="0.3"/>
    <row r="6070" ht="74.25" customHeight="1" x14ac:dyDescent="0.3"/>
    <row r="6071" ht="74.25" customHeight="1" x14ac:dyDescent="0.3"/>
    <row r="6072" ht="74.25" customHeight="1" x14ac:dyDescent="0.3"/>
    <row r="6073" ht="74.25" customHeight="1" x14ac:dyDescent="0.3"/>
    <row r="6074" ht="74.25" customHeight="1" x14ac:dyDescent="0.3"/>
    <row r="6075" ht="74.25" customHeight="1" x14ac:dyDescent="0.3"/>
    <row r="6076" ht="74.25" customHeight="1" x14ac:dyDescent="0.3"/>
    <row r="6077" ht="74.25" customHeight="1" x14ac:dyDescent="0.3"/>
    <row r="6078" ht="74.25" customHeight="1" x14ac:dyDescent="0.3"/>
    <row r="6079" ht="74.25" customHeight="1" x14ac:dyDescent="0.3"/>
    <row r="6080" ht="74.25" customHeight="1" x14ac:dyDescent="0.3"/>
    <row r="6081" ht="74.25" customHeight="1" x14ac:dyDescent="0.3"/>
    <row r="6082" ht="74.25" customHeight="1" x14ac:dyDescent="0.3"/>
    <row r="6083" ht="74.25" customHeight="1" x14ac:dyDescent="0.3"/>
    <row r="6084" ht="74.25" customHeight="1" x14ac:dyDescent="0.3"/>
    <row r="6085" ht="74.25" customHeight="1" x14ac:dyDescent="0.3"/>
    <row r="6086" ht="74.25" customHeight="1" x14ac:dyDescent="0.3"/>
    <row r="6087" ht="74.25" customHeight="1" x14ac:dyDescent="0.3"/>
    <row r="6088" ht="74.25" customHeight="1" x14ac:dyDescent="0.3"/>
    <row r="6089" ht="74.25" customHeight="1" x14ac:dyDescent="0.3"/>
    <row r="6090" ht="74.25" customHeight="1" x14ac:dyDescent="0.3"/>
    <row r="6091" ht="74.25" customHeight="1" x14ac:dyDescent="0.3"/>
    <row r="6092" ht="74.25" customHeight="1" x14ac:dyDescent="0.3"/>
    <row r="6093" ht="74.25" customHeight="1" x14ac:dyDescent="0.3"/>
    <row r="6094" ht="74.25" customHeight="1" x14ac:dyDescent="0.3"/>
    <row r="6095" ht="74.25" customHeight="1" x14ac:dyDescent="0.3"/>
    <row r="6096" ht="74.25" customHeight="1" x14ac:dyDescent="0.3"/>
    <row r="6097" ht="74.25" customHeight="1" x14ac:dyDescent="0.3"/>
    <row r="6098" ht="74.25" customHeight="1" x14ac:dyDescent="0.3"/>
    <row r="6099" ht="74.25" customHeight="1" x14ac:dyDescent="0.3"/>
    <row r="6100" ht="74.25" customHeight="1" x14ac:dyDescent="0.3"/>
    <row r="6101" ht="74.25" customHeight="1" x14ac:dyDescent="0.3"/>
    <row r="6102" ht="74.25" customHeight="1" x14ac:dyDescent="0.3"/>
    <row r="6103" ht="74.25" customHeight="1" x14ac:dyDescent="0.3"/>
    <row r="6104" ht="74.25" customHeight="1" x14ac:dyDescent="0.3"/>
    <row r="6105" ht="74.25" customHeight="1" x14ac:dyDescent="0.3"/>
    <row r="6106" ht="74.25" customHeight="1" x14ac:dyDescent="0.3"/>
    <row r="6107" ht="74.25" customHeight="1" x14ac:dyDescent="0.3"/>
    <row r="6108" ht="74.25" customHeight="1" x14ac:dyDescent="0.3"/>
    <row r="6109" ht="74.25" customHeight="1" x14ac:dyDescent="0.3"/>
    <row r="6110" ht="74.25" customHeight="1" x14ac:dyDescent="0.3"/>
    <row r="6111" ht="74.25" customHeight="1" x14ac:dyDescent="0.3"/>
    <row r="6112" ht="74.25" customHeight="1" x14ac:dyDescent="0.3"/>
    <row r="6113" ht="74.25" customHeight="1" x14ac:dyDescent="0.3"/>
    <row r="6114" ht="74.25" customHeight="1" x14ac:dyDescent="0.3"/>
    <row r="6115" ht="74.25" customHeight="1" x14ac:dyDescent="0.3"/>
    <row r="6116" ht="74.25" customHeight="1" x14ac:dyDescent="0.3"/>
    <row r="6117" ht="74.25" customHeight="1" x14ac:dyDescent="0.3"/>
    <row r="6118" ht="74.25" customHeight="1" x14ac:dyDescent="0.3"/>
    <row r="6119" ht="74.25" customHeight="1" x14ac:dyDescent="0.3"/>
    <row r="6120" ht="74.25" customHeight="1" x14ac:dyDescent="0.3"/>
    <row r="6121" ht="74.25" customHeight="1" x14ac:dyDescent="0.3"/>
    <row r="6122" ht="74.25" customHeight="1" x14ac:dyDescent="0.3"/>
    <row r="6123" ht="74.25" customHeight="1" x14ac:dyDescent="0.3"/>
    <row r="6124" ht="74.25" customHeight="1" x14ac:dyDescent="0.3"/>
    <row r="6125" ht="74.25" customHeight="1" x14ac:dyDescent="0.3"/>
    <row r="6126" ht="74.25" customHeight="1" x14ac:dyDescent="0.3"/>
    <row r="6127" ht="74.25" customHeight="1" x14ac:dyDescent="0.3"/>
    <row r="6128" ht="74.25" customHeight="1" x14ac:dyDescent="0.3"/>
    <row r="6129" ht="74.25" customHeight="1" x14ac:dyDescent="0.3"/>
    <row r="6130" ht="74.25" customHeight="1" x14ac:dyDescent="0.3"/>
    <row r="6131" ht="74.25" customHeight="1" x14ac:dyDescent="0.3"/>
    <row r="6132" ht="74.25" customHeight="1" x14ac:dyDescent="0.3"/>
    <row r="6133" ht="74.25" customHeight="1" x14ac:dyDescent="0.3"/>
    <row r="6134" ht="74.25" customHeight="1" x14ac:dyDescent="0.3"/>
    <row r="6135" ht="74.25" customHeight="1" x14ac:dyDescent="0.3"/>
    <row r="6136" ht="74.25" customHeight="1" x14ac:dyDescent="0.3"/>
    <row r="6137" ht="74.25" customHeight="1" x14ac:dyDescent="0.3"/>
    <row r="6138" ht="74.25" customHeight="1" x14ac:dyDescent="0.3"/>
    <row r="6139" ht="74.25" customHeight="1" x14ac:dyDescent="0.3"/>
    <row r="6140" ht="74.25" customHeight="1" x14ac:dyDescent="0.3"/>
    <row r="6141" ht="74.25" customHeight="1" x14ac:dyDescent="0.3"/>
    <row r="6142" ht="74.25" customHeight="1" x14ac:dyDescent="0.3"/>
    <row r="6143" ht="74.25" customHeight="1" x14ac:dyDescent="0.3"/>
    <row r="6144" ht="74.25" customHeight="1" x14ac:dyDescent="0.3"/>
    <row r="6145" ht="74.25" customHeight="1" x14ac:dyDescent="0.3"/>
    <row r="6146" ht="74.25" customHeight="1" x14ac:dyDescent="0.3"/>
    <row r="6147" ht="74.25" customHeight="1" x14ac:dyDescent="0.3"/>
    <row r="6148" ht="74.25" customHeight="1" x14ac:dyDescent="0.3"/>
    <row r="6149" ht="74.25" customHeight="1" x14ac:dyDescent="0.3"/>
    <row r="6150" ht="74.25" customHeight="1" x14ac:dyDescent="0.3"/>
    <row r="6151" ht="74.25" customHeight="1" x14ac:dyDescent="0.3"/>
    <row r="6152" ht="74.25" customHeight="1" x14ac:dyDescent="0.3"/>
    <row r="6153" ht="74.25" customHeight="1" x14ac:dyDescent="0.3"/>
    <row r="6154" ht="74.25" customHeight="1" x14ac:dyDescent="0.3"/>
    <row r="6155" ht="74.25" customHeight="1" x14ac:dyDescent="0.3"/>
    <row r="6156" ht="74.25" customHeight="1" x14ac:dyDescent="0.3"/>
    <row r="6157" ht="74.25" customHeight="1" x14ac:dyDescent="0.3"/>
    <row r="6158" ht="74.25" customHeight="1" x14ac:dyDescent="0.3"/>
    <row r="6159" ht="74.25" customHeight="1" x14ac:dyDescent="0.3"/>
    <row r="6160" ht="74.25" customHeight="1" x14ac:dyDescent="0.3"/>
    <row r="6161" ht="74.25" customHeight="1" x14ac:dyDescent="0.3"/>
    <row r="6162" ht="74.25" customHeight="1" x14ac:dyDescent="0.3"/>
    <row r="6163" ht="74.25" customHeight="1" x14ac:dyDescent="0.3"/>
    <row r="6164" ht="74.25" customHeight="1" x14ac:dyDescent="0.3"/>
    <row r="6165" ht="74.25" customHeight="1" x14ac:dyDescent="0.3"/>
    <row r="6166" ht="74.25" customHeight="1" x14ac:dyDescent="0.3"/>
    <row r="6167" ht="74.25" customHeight="1" x14ac:dyDescent="0.3"/>
    <row r="6168" ht="74.25" customHeight="1" x14ac:dyDescent="0.3"/>
    <row r="6169" ht="74.25" customHeight="1" x14ac:dyDescent="0.3"/>
    <row r="6170" ht="74.25" customHeight="1" x14ac:dyDescent="0.3"/>
    <row r="6171" ht="74.25" customHeight="1" x14ac:dyDescent="0.3"/>
    <row r="6172" ht="74.25" customHeight="1" x14ac:dyDescent="0.3"/>
    <row r="6173" ht="74.25" customHeight="1" x14ac:dyDescent="0.3"/>
    <row r="6174" ht="74.25" customHeight="1" x14ac:dyDescent="0.3"/>
    <row r="6175" ht="74.25" customHeight="1" x14ac:dyDescent="0.3"/>
    <row r="6176" ht="74.25" customHeight="1" x14ac:dyDescent="0.3"/>
    <row r="6177" ht="74.25" customHeight="1" x14ac:dyDescent="0.3"/>
    <row r="6178" ht="74.25" customHeight="1" x14ac:dyDescent="0.3"/>
    <row r="6179" ht="74.25" customHeight="1" x14ac:dyDescent="0.3"/>
    <row r="6180" ht="74.25" customHeight="1" x14ac:dyDescent="0.3"/>
    <row r="6181" ht="74.25" customHeight="1" x14ac:dyDescent="0.3"/>
    <row r="6182" ht="74.25" customHeight="1" x14ac:dyDescent="0.3"/>
    <row r="6183" ht="74.25" customHeight="1" x14ac:dyDescent="0.3"/>
    <row r="6184" ht="74.25" customHeight="1" x14ac:dyDescent="0.3"/>
    <row r="6185" ht="74.25" customHeight="1" x14ac:dyDescent="0.3"/>
    <row r="6186" ht="74.25" customHeight="1" x14ac:dyDescent="0.3"/>
    <row r="6187" ht="74.25" customHeight="1" x14ac:dyDescent="0.3"/>
    <row r="6188" ht="74.25" customHeight="1" x14ac:dyDescent="0.3"/>
    <row r="6189" ht="74.25" customHeight="1" x14ac:dyDescent="0.3"/>
    <row r="6190" ht="74.25" customHeight="1" x14ac:dyDescent="0.3"/>
    <row r="6191" ht="74.25" customHeight="1" x14ac:dyDescent="0.3"/>
    <row r="6192" ht="74.25" customHeight="1" x14ac:dyDescent="0.3"/>
    <row r="6193" ht="74.25" customHeight="1" x14ac:dyDescent="0.3"/>
    <row r="6194" ht="74.25" customHeight="1" x14ac:dyDescent="0.3"/>
    <row r="6195" ht="74.25" customHeight="1" x14ac:dyDescent="0.3"/>
    <row r="6196" ht="74.25" customHeight="1" x14ac:dyDescent="0.3"/>
    <row r="6197" ht="74.25" customHeight="1" x14ac:dyDescent="0.3"/>
    <row r="6198" ht="74.25" customHeight="1" x14ac:dyDescent="0.3"/>
    <row r="6199" ht="74.25" customHeight="1" x14ac:dyDescent="0.3"/>
    <row r="6200" ht="74.25" customHeight="1" x14ac:dyDescent="0.3"/>
    <row r="6201" ht="74.25" customHeight="1" x14ac:dyDescent="0.3"/>
    <row r="6202" ht="74.25" customHeight="1" x14ac:dyDescent="0.3"/>
    <row r="6203" ht="74.25" customHeight="1" x14ac:dyDescent="0.3"/>
    <row r="6204" ht="74.25" customHeight="1" x14ac:dyDescent="0.3"/>
    <row r="6205" ht="74.25" customHeight="1" x14ac:dyDescent="0.3"/>
    <row r="6206" ht="74.25" customHeight="1" x14ac:dyDescent="0.3"/>
    <row r="6207" ht="74.25" customHeight="1" x14ac:dyDescent="0.3"/>
    <row r="6208" ht="74.25" customHeight="1" x14ac:dyDescent="0.3"/>
    <row r="6209" ht="74.25" customHeight="1" x14ac:dyDescent="0.3"/>
    <row r="6210" ht="74.25" customHeight="1" x14ac:dyDescent="0.3"/>
    <row r="6211" ht="74.25" customHeight="1" x14ac:dyDescent="0.3"/>
    <row r="6212" ht="74.25" customHeight="1" x14ac:dyDescent="0.3"/>
    <row r="6213" ht="74.25" customHeight="1" x14ac:dyDescent="0.3"/>
    <row r="6214" ht="74.25" customHeight="1" x14ac:dyDescent="0.3"/>
    <row r="6215" ht="74.25" customHeight="1" x14ac:dyDescent="0.3"/>
    <row r="6216" ht="74.25" customHeight="1" x14ac:dyDescent="0.3"/>
    <row r="6217" ht="74.25" customHeight="1" x14ac:dyDescent="0.3"/>
    <row r="6218" ht="74.25" customHeight="1" x14ac:dyDescent="0.3"/>
    <row r="6219" ht="74.25" customHeight="1" x14ac:dyDescent="0.3"/>
    <row r="6220" ht="74.25" customHeight="1" x14ac:dyDescent="0.3"/>
    <row r="6221" ht="74.25" customHeight="1" x14ac:dyDescent="0.3"/>
    <row r="6222" ht="74.25" customHeight="1" x14ac:dyDescent="0.3"/>
    <row r="6223" ht="74.25" customHeight="1" x14ac:dyDescent="0.3"/>
    <row r="6224" ht="74.25" customHeight="1" x14ac:dyDescent="0.3"/>
    <row r="6225" ht="74.25" customHeight="1" x14ac:dyDescent="0.3"/>
    <row r="6226" ht="74.25" customHeight="1" x14ac:dyDescent="0.3"/>
    <row r="6227" ht="74.25" customHeight="1" x14ac:dyDescent="0.3"/>
    <row r="6228" ht="74.25" customHeight="1" x14ac:dyDescent="0.3"/>
    <row r="6229" ht="74.25" customHeight="1" x14ac:dyDescent="0.3"/>
    <row r="6230" ht="74.25" customHeight="1" x14ac:dyDescent="0.3"/>
    <row r="6231" ht="74.25" customHeight="1" x14ac:dyDescent="0.3"/>
    <row r="6232" ht="74.25" customHeight="1" x14ac:dyDescent="0.3"/>
    <row r="6233" ht="74.25" customHeight="1" x14ac:dyDescent="0.3"/>
    <row r="6234" ht="74.25" customHeight="1" x14ac:dyDescent="0.3"/>
    <row r="6235" ht="74.25" customHeight="1" x14ac:dyDescent="0.3"/>
    <row r="6236" ht="74.25" customHeight="1" x14ac:dyDescent="0.3"/>
    <row r="6237" ht="74.25" customHeight="1" x14ac:dyDescent="0.3"/>
    <row r="6238" ht="74.25" customHeight="1" x14ac:dyDescent="0.3"/>
    <row r="6239" ht="74.25" customHeight="1" x14ac:dyDescent="0.3"/>
    <row r="6240" ht="74.25" customHeight="1" x14ac:dyDescent="0.3"/>
    <row r="6241" ht="74.25" customHeight="1" x14ac:dyDescent="0.3"/>
    <row r="6242" ht="74.25" customHeight="1" x14ac:dyDescent="0.3"/>
    <row r="6243" ht="74.25" customHeight="1" x14ac:dyDescent="0.3"/>
    <row r="6244" ht="74.25" customHeight="1" x14ac:dyDescent="0.3"/>
    <row r="6245" ht="74.25" customHeight="1" x14ac:dyDescent="0.3"/>
    <row r="6246" ht="74.25" customHeight="1" x14ac:dyDescent="0.3"/>
    <row r="6247" ht="74.25" customHeight="1" x14ac:dyDescent="0.3"/>
    <row r="6248" ht="74.25" customHeight="1" x14ac:dyDescent="0.3"/>
    <row r="6249" ht="74.25" customHeight="1" x14ac:dyDescent="0.3"/>
    <row r="6250" ht="74.25" customHeight="1" x14ac:dyDescent="0.3"/>
    <row r="6251" ht="74.25" customHeight="1" x14ac:dyDescent="0.3"/>
    <row r="6252" ht="74.25" customHeight="1" x14ac:dyDescent="0.3"/>
    <row r="6253" ht="74.25" customHeight="1" x14ac:dyDescent="0.3"/>
    <row r="6254" ht="74.25" customHeight="1" x14ac:dyDescent="0.3"/>
    <row r="6255" ht="74.25" customHeight="1" x14ac:dyDescent="0.3"/>
    <row r="6256" ht="74.25" customHeight="1" x14ac:dyDescent="0.3"/>
    <row r="6257" ht="74.25" customHeight="1" x14ac:dyDescent="0.3"/>
    <row r="6258" ht="74.25" customHeight="1" x14ac:dyDescent="0.3"/>
    <row r="6259" ht="74.25" customHeight="1" x14ac:dyDescent="0.3"/>
    <row r="6260" ht="74.25" customHeight="1" x14ac:dyDescent="0.3"/>
    <row r="6261" ht="74.25" customHeight="1" x14ac:dyDescent="0.3"/>
    <row r="6262" ht="74.25" customHeight="1" x14ac:dyDescent="0.3"/>
    <row r="6263" ht="74.25" customHeight="1" x14ac:dyDescent="0.3"/>
    <row r="6264" ht="74.25" customHeight="1" x14ac:dyDescent="0.3"/>
    <row r="6265" ht="74.25" customHeight="1" x14ac:dyDescent="0.3"/>
    <row r="6266" ht="74.25" customHeight="1" x14ac:dyDescent="0.3"/>
    <row r="6267" ht="74.25" customHeight="1" x14ac:dyDescent="0.3"/>
    <row r="6268" ht="74.25" customHeight="1" x14ac:dyDescent="0.3"/>
    <row r="6269" ht="74.25" customHeight="1" x14ac:dyDescent="0.3"/>
    <row r="6270" ht="74.25" customHeight="1" x14ac:dyDescent="0.3"/>
    <row r="6271" ht="74.25" customHeight="1" x14ac:dyDescent="0.3"/>
    <row r="6272" ht="74.25" customHeight="1" x14ac:dyDescent="0.3"/>
    <row r="6273" ht="74.25" customHeight="1" x14ac:dyDescent="0.3"/>
    <row r="6274" ht="74.25" customHeight="1" x14ac:dyDescent="0.3"/>
    <row r="6275" ht="74.25" customHeight="1" x14ac:dyDescent="0.3"/>
    <row r="6276" ht="74.25" customHeight="1" x14ac:dyDescent="0.3"/>
    <row r="6277" ht="74.25" customHeight="1" x14ac:dyDescent="0.3"/>
    <row r="6278" ht="74.25" customHeight="1" x14ac:dyDescent="0.3"/>
    <row r="6279" ht="74.25" customHeight="1" x14ac:dyDescent="0.3"/>
    <row r="6280" ht="74.25" customHeight="1" x14ac:dyDescent="0.3"/>
    <row r="6281" ht="74.25" customHeight="1" x14ac:dyDescent="0.3"/>
    <row r="6282" ht="74.25" customHeight="1" x14ac:dyDescent="0.3"/>
    <row r="6283" ht="74.25" customHeight="1" x14ac:dyDescent="0.3"/>
    <row r="6284" ht="74.25" customHeight="1" x14ac:dyDescent="0.3"/>
    <row r="6285" ht="74.25" customHeight="1" x14ac:dyDescent="0.3"/>
    <row r="6286" ht="74.25" customHeight="1" x14ac:dyDescent="0.3"/>
    <row r="6287" ht="74.25" customHeight="1" x14ac:dyDescent="0.3"/>
    <row r="6288" ht="74.25" customHeight="1" x14ac:dyDescent="0.3"/>
    <row r="6289" ht="74.25" customHeight="1" x14ac:dyDescent="0.3"/>
    <row r="6290" ht="74.25" customHeight="1" x14ac:dyDescent="0.3"/>
    <row r="6291" ht="74.25" customHeight="1" x14ac:dyDescent="0.3"/>
    <row r="6292" ht="74.25" customHeight="1" x14ac:dyDescent="0.3"/>
    <row r="6293" ht="74.25" customHeight="1" x14ac:dyDescent="0.3"/>
    <row r="6294" ht="74.25" customHeight="1" x14ac:dyDescent="0.3"/>
    <row r="6295" ht="74.25" customHeight="1" x14ac:dyDescent="0.3"/>
    <row r="6296" ht="74.25" customHeight="1" x14ac:dyDescent="0.3"/>
    <row r="6297" ht="74.25" customHeight="1" x14ac:dyDescent="0.3"/>
    <row r="6298" ht="74.25" customHeight="1" x14ac:dyDescent="0.3"/>
    <row r="6299" ht="74.25" customHeight="1" x14ac:dyDescent="0.3"/>
    <row r="6300" ht="74.25" customHeight="1" x14ac:dyDescent="0.3"/>
    <row r="6301" ht="74.25" customHeight="1" x14ac:dyDescent="0.3"/>
    <row r="6302" ht="74.25" customHeight="1" x14ac:dyDescent="0.3"/>
    <row r="6303" ht="74.25" customHeight="1" x14ac:dyDescent="0.3"/>
    <row r="6304" ht="74.25" customHeight="1" x14ac:dyDescent="0.3"/>
    <row r="6305" ht="74.25" customHeight="1" x14ac:dyDescent="0.3"/>
    <row r="6306" ht="74.25" customHeight="1" x14ac:dyDescent="0.3"/>
    <row r="6307" ht="74.25" customHeight="1" x14ac:dyDescent="0.3"/>
    <row r="6308" ht="74.25" customHeight="1" x14ac:dyDescent="0.3"/>
    <row r="6309" ht="74.25" customHeight="1" x14ac:dyDescent="0.3"/>
    <row r="6310" ht="74.25" customHeight="1" x14ac:dyDescent="0.3"/>
    <row r="6311" ht="74.25" customHeight="1" x14ac:dyDescent="0.3"/>
    <row r="6312" ht="74.25" customHeight="1" x14ac:dyDescent="0.3"/>
    <row r="6313" ht="74.25" customHeight="1" x14ac:dyDescent="0.3"/>
    <row r="6314" ht="74.25" customHeight="1" x14ac:dyDescent="0.3"/>
    <row r="6315" ht="74.25" customHeight="1" x14ac:dyDescent="0.3"/>
    <row r="6316" ht="74.25" customHeight="1" x14ac:dyDescent="0.3"/>
    <row r="6317" ht="74.25" customHeight="1" x14ac:dyDescent="0.3"/>
    <row r="6318" ht="74.25" customHeight="1" x14ac:dyDescent="0.3"/>
    <row r="6319" ht="74.25" customHeight="1" x14ac:dyDescent="0.3"/>
    <row r="6320" ht="74.25" customHeight="1" x14ac:dyDescent="0.3"/>
    <row r="6321" ht="74.25" customHeight="1" x14ac:dyDescent="0.3"/>
    <row r="6322" ht="74.25" customHeight="1" x14ac:dyDescent="0.3"/>
    <row r="6323" ht="74.25" customHeight="1" x14ac:dyDescent="0.3"/>
    <row r="6324" ht="74.25" customHeight="1" x14ac:dyDescent="0.3"/>
    <row r="6325" ht="74.25" customHeight="1" x14ac:dyDescent="0.3"/>
    <row r="6326" ht="74.25" customHeight="1" x14ac:dyDescent="0.3"/>
    <row r="6327" ht="74.25" customHeight="1" x14ac:dyDescent="0.3"/>
    <row r="6328" ht="74.25" customHeight="1" x14ac:dyDescent="0.3"/>
    <row r="6329" ht="74.25" customHeight="1" x14ac:dyDescent="0.3"/>
    <row r="6330" ht="74.25" customHeight="1" x14ac:dyDescent="0.3"/>
    <row r="6331" ht="74.25" customHeight="1" x14ac:dyDescent="0.3"/>
    <row r="6332" ht="74.25" customHeight="1" x14ac:dyDescent="0.3"/>
    <row r="6333" ht="74.25" customHeight="1" x14ac:dyDescent="0.3"/>
    <row r="6334" ht="74.25" customHeight="1" x14ac:dyDescent="0.3"/>
    <row r="6335" ht="74.25" customHeight="1" x14ac:dyDescent="0.3"/>
    <row r="6336" ht="74.25" customHeight="1" x14ac:dyDescent="0.3"/>
    <row r="6337" ht="74.25" customHeight="1" x14ac:dyDescent="0.3"/>
    <row r="6338" ht="74.25" customHeight="1" x14ac:dyDescent="0.3"/>
    <row r="6339" ht="74.25" customHeight="1" x14ac:dyDescent="0.3"/>
    <row r="6340" ht="74.25" customHeight="1" x14ac:dyDescent="0.3"/>
    <row r="6341" ht="74.25" customHeight="1" x14ac:dyDescent="0.3"/>
    <row r="6342" ht="74.25" customHeight="1" x14ac:dyDescent="0.3"/>
    <row r="6343" ht="74.25" customHeight="1" x14ac:dyDescent="0.3"/>
    <row r="6344" ht="74.25" customHeight="1" x14ac:dyDescent="0.3"/>
    <row r="6345" ht="74.25" customHeight="1" x14ac:dyDescent="0.3"/>
    <row r="6346" ht="74.25" customHeight="1" x14ac:dyDescent="0.3"/>
    <row r="6347" ht="74.25" customHeight="1" x14ac:dyDescent="0.3"/>
    <row r="6348" ht="74.25" customHeight="1" x14ac:dyDescent="0.3"/>
    <row r="6349" ht="74.25" customHeight="1" x14ac:dyDescent="0.3"/>
    <row r="6350" ht="74.25" customHeight="1" x14ac:dyDescent="0.3"/>
    <row r="6351" ht="74.25" customHeight="1" x14ac:dyDescent="0.3"/>
    <row r="6352" ht="74.25" customHeight="1" x14ac:dyDescent="0.3"/>
    <row r="6353" ht="74.25" customHeight="1" x14ac:dyDescent="0.3"/>
    <row r="6354" ht="74.25" customHeight="1" x14ac:dyDescent="0.3"/>
    <row r="6355" ht="74.25" customHeight="1" x14ac:dyDescent="0.3"/>
    <row r="6356" ht="74.25" customHeight="1" x14ac:dyDescent="0.3"/>
    <row r="6357" ht="74.25" customHeight="1" x14ac:dyDescent="0.3"/>
    <row r="6358" ht="74.25" customHeight="1" x14ac:dyDescent="0.3"/>
    <row r="6359" ht="74.25" customHeight="1" x14ac:dyDescent="0.3"/>
    <row r="6360" ht="74.25" customHeight="1" x14ac:dyDescent="0.3"/>
    <row r="6361" ht="74.25" customHeight="1" x14ac:dyDescent="0.3"/>
    <row r="6362" ht="74.25" customHeight="1" x14ac:dyDescent="0.3"/>
    <row r="6363" ht="74.25" customHeight="1" x14ac:dyDescent="0.3"/>
    <row r="6364" ht="74.25" customHeight="1" x14ac:dyDescent="0.3"/>
    <row r="6365" ht="74.25" customHeight="1" x14ac:dyDescent="0.3"/>
    <row r="6366" ht="74.25" customHeight="1" x14ac:dyDescent="0.3"/>
    <row r="6367" ht="74.25" customHeight="1" x14ac:dyDescent="0.3"/>
    <row r="6368" ht="74.25" customHeight="1" x14ac:dyDescent="0.3"/>
    <row r="6369" ht="74.25" customHeight="1" x14ac:dyDescent="0.3"/>
    <row r="6370" ht="74.25" customHeight="1" x14ac:dyDescent="0.3"/>
    <row r="6371" ht="74.25" customHeight="1" x14ac:dyDescent="0.3"/>
    <row r="6372" ht="74.25" customHeight="1" x14ac:dyDescent="0.3"/>
    <row r="6373" ht="74.25" customHeight="1" x14ac:dyDescent="0.3"/>
    <row r="6374" ht="74.25" customHeight="1" x14ac:dyDescent="0.3"/>
    <row r="6375" ht="74.25" customHeight="1" x14ac:dyDescent="0.3"/>
    <row r="6376" ht="74.25" customHeight="1" x14ac:dyDescent="0.3"/>
    <row r="6377" ht="74.25" customHeight="1" x14ac:dyDescent="0.3"/>
    <row r="6378" ht="74.25" customHeight="1" x14ac:dyDescent="0.3"/>
    <row r="6379" ht="74.25" customHeight="1" x14ac:dyDescent="0.3"/>
    <row r="6380" ht="74.25" customHeight="1" x14ac:dyDescent="0.3"/>
    <row r="6381" ht="74.25" customHeight="1" x14ac:dyDescent="0.3"/>
    <row r="6382" ht="74.25" customHeight="1" x14ac:dyDescent="0.3"/>
    <row r="6383" ht="74.25" customHeight="1" x14ac:dyDescent="0.3"/>
    <row r="6384" ht="74.25" customHeight="1" x14ac:dyDescent="0.3"/>
    <row r="6385" ht="74.25" customHeight="1" x14ac:dyDescent="0.3"/>
    <row r="6386" ht="74.25" customHeight="1" x14ac:dyDescent="0.3"/>
    <row r="6387" ht="74.25" customHeight="1" x14ac:dyDescent="0.3"/>
    <row r="6388" ht="74.25" customHeight="1" x14ac:dyDescent="0.3"/>
    <row r="6389" ht="74.25" customHeight="1" x14ac:dyDescent="0.3"/>
    <row r="6390" ht="74.25" customHeight="1" x14ac:dyDescent="0.3"/>
    <row r="6391" ht="74.25" customHeight="1" x14ac:dyDescent="0.3"/>
    <row r="6392" ht="74.25" customHeight="1" x14ac:dyDescent="0.3"/>
    <row r="6393" ht="74.25" customHeight="1" x14ac:dyDescent="0.3"/>
    <row r="6394" ht="74.25" customHeight="1" x14ac:dyDescent="0.3"/>
    <row r="6395" ht="74.25" customHeight="1" x14ac:dyDescent="0.3"/>
    <row r="6396" ht="74.25" customHeight="1" x14ac:dyDescent="0.3"/>
    <row r="6397" ht="74.25" customHeight="1" x14ac:dyDescent="0.3"/>
    <row r="6398" ht="74.25" customHeight="1" x14ac:dyDescent="0.3"/>
    <row r="6399" ht="74.25" customHeight="1" x14ac:dyDescent="0.3"/>
    <row r="6400" ht="74.25" customHeight="1" x14ac:dyDescent="0.3"/>
    <row r="6401" ht="74.25" customHeight="1" x14ac:dyDescent="0.3"/>
    <row r="6402" ht="74.25" customHeight="1" x14ac:dyDescent="0.3"/>
    <row r="6403" ht="74.25" customHeight="1" x14ac:dyDescent="0.3"/>
    <row r="6404" ht="74.25" customHeight="1" x14ac:dyDescent="0.3"/>
    <row r="6405" ht="74.25" customHeight="1" x14ac:dyDescent="0.3"/>
    <row r="6406" ht="74.25" customHeight="1" x14ac:dyDescent="0.3"/>
    <row r="6407" ht="74.25" customHeight="1" x14ac:dyDescent="0.3"/>
    <row r="6408" ht="74.25" customHeight="1" x14ac:dyDescent="0.3"/>
    <row r="6409" ht="74.25" customHeight="1" x14ac:dyDescent="0.3"/>
    <row r="6410" ht="74.25" customHeight="1" x14ac:dyDescent="0.3"/>
    <row r="6411" ht="74.25" customHeight="1" x14ac:dyDescent="0.3"/>
    <row r="6412" ht="74.25" customHeight="1" x14ac:dyDescent="0.3"/>
    <row r="6413" ht="74.25" customHeight="1" x14ac:dyDescent="0.3"/>
    <row r="6414" ht="74.25" customHeight="1" x14ac:dyDescent="0.3"/>
    <row r="6415" ht="74.25" customHeight="1" x14ac:dyDescent="0.3"/>
    <row r="6416" ht="74.25" customHeight="1" x14ac:dyDescent="0.3"/>
    <row r="6417" ht="74.25" customHeight="1" x14ac:dyDescent="0.3"/>
    <row r="6418" ht="74.25" customHeight="1" x14ac:dyDescent="0.3"/>
    <row r="6419" ht="74.25" customHeight="1" x14ac:dyDescent="0.3"/>
    <row r="6420" ht="74.25" customHeight="1" x14ac:dyDescent="0.3"/>
    <row r="6421" ht="74.25" customHeight="1" x14ac:dyDescent="0.3"/>
    <row r="6422" ht="74.25" customHeight="1" x14ac:dyDescent="0.3"/>
    <row r="6423" ht="74.25" customHeight="1" x14ac:dyDescent="0.3"/>
    <row r="6424" ht="74.25" customHeight="1" x14ac:dyDescent="0.3"/>
    <row r="6425" ht="74.25" customHeight="1" x14ac:dyDescent="0.3"/>
    <row r="6426" ht="74.25" customHeight="1" x14ac:dyDescent="0.3"/>
    <row r="6427" ht="74.25" customHeight="1" x14ac:dyDescent="0.3"/>
    <row r="6428" ht="74.25" customHeight="1" x14ac:dyDescent="0.3"/>
    <row r="6429" ht="74.25" customHeight="1" x14ac:dyDescent="0.3"/>
    <row r="6430" ht="74.25" customHeight="1" x14ac:dyDescent="0.3"/>
    <row r="6431" ht="74.25" customHeight="1" x14ac:dyDescent="0.3"/>
    <row r="6432" ht="74.25" customHeight="1" x14ac:dyDescent="0.3"/>
    <row r="6433" ht="74.25" customHeight="1" x14ac:dyDescent="0.3"/>
    <row r="6434" ht="74.25" customHeight="1" x14ac:dyDescent="0.3"/>
    <row r="6435" ht="74.25" customHeight="1" x14ac:dyDescent="0.3"/>
    <row r="6436" ht="74.25" customHeight="1" x14ac:dyDescent="0.3"/>
    <row r="6437" ht="74.25" customHeight="1" x14ac:dyDescent="0.3"/>
    <row r="6438" ht="74.25" customHeight="1" x14ac:dyDescent="0.3"/>
    <row r="6439" ht="74.25" customHeight="1" x14ac:dyDescent="0.3"/>
    <row r="6440" ht="74.25" customHeight="1" x14ac:dyDescent="0.3"/>
    <row r="6441" ht="74.25" customHeight="1" x14ac:dyDescent="0.3"/>
    <row r="6442" ht="74.25" customHeight="1" x14ac:dyDescent="0.3"/>
    <row r="6443" ht="74.25" customHeight="1" x14ac:dyDescent="0.3"/>
    <row r="6444" ht="74.25" customHeight="1" x14ac:dyDescent="0.3"/>
    <row r="6445" ht="74.25" customHeight="1" x14ac:dyDescent="0.3"/>
    <row r="6446" ht="74.25" customHeight="1" x14ac:dyDescent="0.3"/>
    <row r="6447" ht="74.25" customHeight="1" x14ac:dyDescent="0.3"/>
    <row r="6448" ht="74.25" customHeight="1" x14ac:dyDescent="0.3"/>
    <row r="6449" ht="74.25" customHeight="1" x14ac:dyDescent="0.3"/>
    <row r="6450" ht="74.25" customHeight="1" x14ac:dyDescent="0.3"/>
    <row r="6451" ht="74.25" customHeight="1" x14ac:dyDescent="0.3"/>
    <row r="6452" ht="74.25" customHeight="1" x14ac:dyDescent="0.3"/>
    <row r="6453" ht="74.25" customHeight="1" x14ac:dyDescent="0.3"/>
    <row r="6454" ht="74.25" customHeight="1" x14ac:dyDescent="0.3"/>
    <row r="6455" ht="74.25" customHeight="1" x14ac:dyDescent="0.3"/>
    <row r="6456" ht="74.25" customHeight="1" x14ac:dyDescent="0.3"/>
    <row r="6457" ht="74.25" customHeight="1" x14ac:dyDescent="0.3"/>
    <row r="6458" ht="74.25" customHeight="1" x14ac:dyDescent="0.3"/>
    <row r="6459" ht="74.25" customHeight="1" x14ac:dyDescent="0.3"/>
    <row r="6460" ht="74.25" customHeight="1" x14ac:dyDescent="0.3"/>
    <row r="6461" ht="74.25" customHeight="1" x14ac:dyDescent="0.3"/>
    <row r="6462" ht="74.25" customHeight="1" x14ac:dyDescent="0.3"/>
    <row r="6463" ht="74.25" customHeight="1" x14ac:dyDescent="0.3"/>
    <row r="6464" ht="74.25" customHeight="1" x14ac:dyDescent="0.3"/>
    <row r="6465" ht="74.25" customHeight="1" x14ac:dyDescent="0.3"/>
    <row r="6466" ht="74.25" customHeight="1" x14ac:dyDescent="0.3"/>
    <row r="6467" ht="74.25" customHeight="1" x14ac:dyDescent="0.3"/>
    <row r="6468" ht="74.25" customHeight="1" x14ac:dyDescent="0.3"/>
    <row r="6469" ht="74.25" customHeight="1" x14ac:dyDescent="0.3"/>
    <row r="6470" ht="74.25" customHeight="1" x14ac:dyDescent="0.3"/>
    <row r="6471" ht="74.25" customHeight="1" x14ac:dyDescent="0.3"/>
    <row r="6472" ht="74.25" customHeight="1" x14ac:dyDescent="0.3"/>
    <row r="6473" ht="74.25" customHeight="1" x14ac:dyDescent="0.3"/>
    <row r="6474" ht="74.25" customHeight="1" x14ac:dyDescent="0.3"/>
    <row r="6475" ht="74.25" customHeight="1" x14ac:dyDescent="0.3"/>
    <row r="6476" ht="74.25" customHeight="1" x14ac:dyDescent="0.3"/>
    <row r="6477" ht="74.25" customHeight="1" x14ac:dyDescent="0.3"/>
    <row r="6478" ht="74.25" customHeight="1" x14ac:dyDescent="0.3"/>
    <row r="6479" ht="74.25" customHeight="1" x14ac:dyDescent="0.3"/>
    <row r="6480" ht="74.25" customHeight="1" x14ac:dyDescent="0.3"/>
    <row r="6481" ht="74.25" customHeight="1" x14ac:dyDescent="0.3"/>
    <row r="6482" ht="74.25" customHeight="1" x14ac:dyDescent="0.3"/>
    <row r="6483" ht="74.25" customHeight="1" x14ac:dyDescent="0.3"/>
    <row r="6484" ht="74.25" customHeight="1" x14ac:dyDescent="0.3"/>
    <row r="6485" ht="74.25" customHeight="1" x14ac:dyDescent="0.3"/>
    <row r="6486" ht="74.25" customHeight="1" x14ac:dyDescent="0.3"/>
    <row r="6487" ht="74.25" customHeight="1" x14ac:dyDescent="0.3"/>
    <row r="6488" ht="74.25" customHeight="1" x14ac:dyDescent="0.3"/>
    <row r="6489" ht="74.25" customHeight="1" x14ac:dyDescent="0.3"/>
    <row r="6490" ht="74.25" customHeight="1" x14ac:dyDescent="0.3"/>
    <row r="6491" ht="74.25" customHeight="1" x14ac:dyDescent="0.3"/>
    <row r="6492" ht="74.25" customHeight="1" x14ac:dyDescent="0.3"/>
    <row r="6493" ht="74.25" customHeight="1" x14ac:dyDescent="0.3"/>
    <row r="6494" ht="74.25" customHeight="1" x14ac:dyDescent="0.3"/>
    <row r="6495" ht="74.25" customHeight="1" x14ac:dyDescent="0.3"/>
    <row r="6496" ht="74.25" customHeight="1" x14ac:dyDescent="0.3"/>
    <row r="6497" ht="74.25" customHeight="1" x14ac:dyDescent="0.3"/>
    <row r="6498" ht="74.25" customHeight="1" x14ac:dyDescent="0.3"/>
    <row r="6499" ht="74.25" customHeight="1" x14ac:dyDescent="0.3"/>
    <row r="6500" ht="74.25" customHeight="1" x14ac:dyDescent="0.3"/>
    <row r="6501" ht="74.25" customHeight="1" x14ac:dyDescent="0.3"/>
    <row r="6502" ht="74.25" customHeight="1" x14ac:dyDescent="0.3"/>
    <row r="6503" ht="74.25" customHeight="1" x14ac:dyDescent="0.3"/>
    <row r="6504" ht="74.25" customHeight="1" x14ac:dyDescent="0.3"/>
    <row r="6505" ht="74.25" customHeight="1" x14ac:dyDescent="0.3"/>
    <row r="6506" ht="74.25" customHeight="1" x14ac:dyDescent="0.3"/>
    <row r="6507" ht="74.25" customHeight="1" x14ac:dyDescent="0.3"/>
    <row r="6508" ht="74.25" customHeight="1" x14ac:dyDescent="0.3"/>
    <row r="6509" ht="74.25" customHeight="1" x14ac:dyDescent="0.3"/>
    <row r="6510" ht="74.25" customHeight="1" x14ac:dyDescent="0.3"/>
    <row r="6511" ht="74.25" customHeight="1" x14ac:dyDescent="0.3"/>
    <row r="6512" ht="74.25" customHeight="1" x14ac:dyDescent="0.3"/>
    <row r="6513" ht="74.25" customHeight="1" x14ac:dyDescent="0.3"/>
    <row r="6514" ht="74.25" customHeight="1" x14ac:dyDescent="0.3"/>
    <row r="6515" ht="74.25" customHeight="1" x14ac:dyDescent="0.3"/>
    <row r="6516" ht="74.25" customHeight="1" x14ac:dyDescent="0.3"/>
    <row r="6517" ht="74.25" customHeight="1" x14ac:dyDescent="0.3"/>
    <row r="6518" ht="74.25" customHeight="1" x14ac:dyDescent="0.3"/>
    <row r="6519" ht="74.25" customHeight="1" x14ac:dyDescent="0.3"/>
    <row r="6520" ht="74.25" customHeight="1" x14ac:dyDescent="0.3"/>
    <row r="6521" ht="74.25" customHeight="1" x14ac:dyDescent="0.3"/>
    <row r="6522" ht="74.25" customHeight="1" x14ac:dyDescent="0.3"/>
    <row r="6523" ht="74.25" customHeight="1" x14ac:dyDescent="0.3"/>
    <row r="6524" ht="74.25" customHeight="1" x14ac:dyDescent="0.3"/>
    <row r="6525" ht="74.25" customHeight="1" x14ac:dyDescent="0.3"/>
    <row r="6526" ht="74.25" customHeight="1" x14ac:dyDescent="0.3"/>
    <row r="6527" ht="74.25" customHeight="1" x14ac:dyDescent="0.3"/>
    <row r="6528" ht="74.25" customHeight="1" x14ac:dyDescent="0.3"/>
    <row r="6529" ht="74.25" customHeight="1" x14ac:dyDescent="0.3"/>
    <row r="6530" ht="74.25" customHeight="1" x14ac:dyDescent="0.3"/>
    <row r="6531" ht="74.25" customHeight="1" x14ac:dyDescent="0.3"/>
    <row r="6532" ht="74.25" customHeight="1" x14ac:dyDescent="0.3"/>
    <row r="6533" ht="74.25" customHeight="1" x14ac:dyDescent="0.3"/>
    <row r="6534" ht="74.25" customHeight="1" x14ac:dyDescent="0.3"/>
    <row r="6535" ht="74.25" customHeight="1" x14ac:dyDescent="0.3"/>
    <row r="6536" ht="74.25" customHeight="1" x14ac:dyDescent="0.3"/>
    <row r="6537" ht="74.25" customHeight="1" x14ac:dyDescent="0.3"/>
    <row r="6538" ht="74.25" customHeight="1" x14ac:dyDescent="0.3"/>
    <row r="6539" ht="74.25" customHeight="1" x14ac:dyDescent="0.3"/>
    <row r="6540" ht="74.25" customHeight="1" x14ac:dyDescent="0.3"/>
    <row r="6541" ht="74.25" customHeight="1" x14ac:dyDescent="0.3"/>
    <row r="6542" ht="74.25" customHeight="1" x14ac:dyDescent="0.3"/>
    <row r="6543" ht="74.25" customHeight="1" x14ac:dyDescent="0.3"/>
    <row r="6544" ht="74.25" customHeight="1" x14ac:dyDescent="0.3"/>
    <row r="6545" ht="74.25" customHeight="1" x14ac:dyDescent="0.3"/>
    <row r="6546" ht="74.25" customHeight="1" x14ac:dyDescent="0.3"/>
    <row r="6547" ht="74.25" customHeight="1" x14ac:dyDescent="0.3"/>
    <row r="6548" ht="74.25" customHeight="1" x14ac:dyDescent="0.3"/>
    <row r="6549" ht="74.25" customHeight="1" x14ac:dyDescent="0.3"/>
    <row r="6550" ht="74.25" customHeight="1" x14ac:dyDescent="0.3"/>
    <row r="6551" ht="74.25" customHeight="1" x14ac:dyDescent="0.3"/>
    <row r="6552" ht="74.25" customHeight="1" x14ac:dyDescent="0.3"/>
    <row r="6553" ht="74.25" customHeight="1" x14ac:dyDescent="0.3"/>
    <row r="6554" ht="74.25" customHeight="1" x14ac:dyDescent="0.3"/>
    <row r="6555" ht="74.25" customHeight="1" x14ac:dyDescent="0.3"/>
    <row r="6556" ht="74.25" customHeight="1" x14ac:dyDescent="0.3"/>
    <row r="6557" ht="74.25" customHeight="1" x14ac:dyDescent="0.3"/>
    <row r="6558" ht="74.25" customHeight="1" x14ac:dyDescent="0.3"/>
    <row r="6559" ht="74.25" customHeight="1" x14ac:dyDescent="0.3"/>
    <row r="6560" ht="74.25" customHeight="1" x14ac:dyDescent="0.3"/>
    <row r="6561" ht="74.25" customHeight="1" x14ac:dyDescent="0.3"/>
    <row r="6562" ht="74.25" customHeight="1" x14ac:dyDescent="0.3"/>
    <row r="6563" ht="74.25" customHeight="1" x14ac:dyDescent="0.3"/>
    <row r="6564" ht="74.25" customHeight="1" x14ac:dyDescent="0.3"/>
    <row r="6565" ht="74.25" customHeight="1" x14ac:dyDescent="0.3"/>
    <row r="6566" ht="74.25" customHeight="1" x14ac:dyDescent="0.3"/>
    <row r="6567" ht="74.25" customHeight="1" x14ac:dyDescent="0.3"/>
    <row r="6568" ht="74.25" customHeight="1" x14ac:dyDescent="0.3"/>
    <row r="6569" ht="74.25" customHeight="1" x14ac:dyDescent="0.3"/>
    <row r="6570" ht="74.25" customHeight="1" x14ac:dyDescent="0.3"/>
    <row r="6571" ht="74.25" customHeight="1" x14ac:dyDescent="0.3"/>
    <row r="6572" ht="74.25" customHeight="1" x14ac:dyDescent="0.3"/>
    <row r="6573" ht="74.25" customHeight="1" x14ac:dyDescent="0.3"/>
    <row r="6574" ht="74.25" customHeight="1" x14ac:dyDescent="0.3"/>
    <row r="6575" ht="74.25" customHeight="1" x14ac:dyDescent="0.3"/>
    <row r="6576" ht="74.25" customHeight="1" x14ac:dyDescent="0.3"/>
    <row r="6577" ht="74.25" customHeight="1" x14ac:dyDescent="0.3"/>
    <row r="6578" ht="74.25" customHeight="1" x14ac:dyDescent="0.3"/>
    <row r="6579" ht="74.25" customHeight="1" x14ac:dyDescent="0.3"/>
    <row r="6580" ht="74.25" customHeight="1" x14ac:dyDescent="0.3"/>
    <row r="6581" ht="74.25" customHeight="1" x14ac:dyDescent="0.3"/>
    <row r="6582" ht="74.25" customHeight="1" x14ac:dyDescent="0.3"/>
    <row r="6583" ht="74.25" customHeight="1" x14ac:dyDescent="0.3"/>
    <row r="6584" ht="74.25" customHeight="1" x14ac:dyDescent="0.3"/>
    <row r="6585" ht="74.25" customHeight="1" x14ac:dyDescent="0.3"/>
    <row r="6586" ht="74.25" customHeight="1" x14ac:dyDescent="0.3"/>
    <row r="6587" ht="74.25" customHeight="1" x14ac:dyDescent="0.3"/>
    <row r="6588" ht="74.25" customHeight="1" x14ac:dyDescent="0.3"/>
    <row r="6589" ht="74.25" customHeight="1" x14ac:dyDescent="0.3"/>
    <row r="6590" ht="74.25" customHeight="1" x14ac:dyDescent="0.3"/>
    <row r="6591" ht="74.25" customHeight="1" x14ac:dyDescent="0.3"/>
    <row r="6592" ht="74.25" customHeight="1" x14ac:dyDescent="0.3"/>
    <row r="6593" ht="74.25" customHeight="1" x14ac:dyDescent="0.3"/>
    <row r="6594" ht="74.25" customHeight="1" x14ac:dyDescent="0.3"/>
    <row r="6595" ht="74.25" customHeight="1" x14ac:dyDescent="0.3"/>
    <row r="6596" ht="74.25" customHeight="1" x14ac:dyDescent="0.3"/>
    <row r="6597" ht="74.25" customHeight="1" x14ac:dyDescent="0.3"/>
    <row r="6598" ht="74.25" customHeight="1" x14ac:dyDescent="0.3"/>
    <row r="6599" ht="74.25" customHeight="1" x14ac:dyDescent="0.3"/>
    <row r="6600" ht="74.25" customHeight="1" x14ac:dyDescent="0.3"/>
    <row r="6601" ht="74.25" customHeight="1" x14ac:dyDescent="0.3"/>
    <row r="6602" ht="74.25" customHeight="1" x14ac:dyDescent="0.3"/>
    <row r="6603" ht="74.25" customHeight="1" x14ac:dyDescent="0.3"/>
    <row r="6604" ht="74.25" customHeight="1" x14ac:dyDescent="0.3"/>
    <row r="6605" ht="74.25" customHeight="1" x14ac:dyDescent="0.3"/>
    <row r="6606" ht="74.25" customHeight="1" x14ac:dyDescent="0.3"/>
    <row r="6607" ht="74.25" customHeight="1" x14ac:dyDescent="0.3"/>
    <row r="6608" ht="74.25" customHeight="1" x14ac:dyDescent="0.3"/>
    <row r="6609" ht="74.25" customHeight="1" x14ac:dyDescent="0.3"/>
    <row r="6610" ht="74.25" customHeight="1" x14ac:dyDescent="0.3"/>
    <row r="6611" ht="74.25" customHeight="1" x14ac:dyDescent="0.3"/>
    <row r="6612" ht="74.25" customHeight="1" x14ac:dyDescent="0.3"/>
    <row r="6613" ht="74.25" customHeight="1" x14ac:dyDescent="0.3"/>
    <row r="6614" ht="74.25" customHeight="1" x14ac:dyDescent="0.3"/>
    <row r="6615" ht="74.25" customHeight="1" x14ac:dyDescent="0.3"/>
    <row r="6616" ht="74.25" customHeight="1" x14ac:dyDescent="0.3"/>
    <row r="6617" ht="74.25" customHeight="1" x14ac:dyDescent="0.3"/>
    <row r="6618" ht="74.25" customHeight="1" x14ac:dyDescent="0.3"/>
    <row r="6619" ht="74.25" customHeight="1" x14ac:dyDescent="0.3"/>
    <row r="6620" ht="74.25" customHeight="1" x14ac:dyDescent="0.3"/>
    <row r="6621" ht="74.25" customHeight="1" x14ac:dyDescent="0.3"/>
    <row r="6622" ht="74.25" customHeight="1" x14ac:dyDescent="0.3"/>
    <row r="6623" ht="74.25" customHeight="1" x14ac:dyDescent="0.3"/>
    <row r="6624" ht="74.25" customHeight="1" x14ac:dyDescent="0.3"/>
    <row r="6625" ht="74.25" customHeight="1" x14ac:dyDescent="0.3"/>
    <row r="6626" ht="74.25" customHeight="1" x14ac:dyDescent="0.3"/>
    <row r="6627" ht="74.25" customHeight="1" x14ac:dyDescent="0.3"/>
    <row r="6628" ht="74.25" customHeight="1" x14ac:dyDescent="0.3"/>
    <row r="6629" ht="74.25" customHeight="1" x14ac:dyDescent="0.3"/>
    <row r="6630" ht="74.25" customHeight="1" x14ac:dyDescent="0.3"/>
    <row r="6631" ht="74.25" customHeight="1" x14ac:dyDescent="0.3"/>
    <row r="6632" ht="74.25" customHeight="1" x14ac:dyDescent="0.3"/>
    <row r="6633" ht="74.25" customHeight="1" x14ac:dyDescent="0.3"/>
    <row r="6634" ht="74.25" customHeight="1" x14ac:dyDescent="0.3"/>
    <row r="6635" ht="74.25" customHeight="1" x14ac:dyDescent="0.3"/>
    <row r="6636" ht="74.25" customHeight="1" x14ac:dyDescent="0.3"/>
    <row r="6637" ht="74.25" customHeight="1" x14ac:dyDescent="0.3"/>
    <row r="6638" ht="74.25" customHeight="1" x14ac:dyDescent="0.3"/>
    <row r="6639" ht="74.25" customHeight="1" x14ac:dyDescent="0.3"/>
    <row r="6640" ht="74.25" customHeight="1" x14ac:dyDescent="0.3"/>
    <row r="6641" ht="74.25" customHeight="1" x14ac:dyDescent="0.3"/>
    <row r="6642" ht="74.25" customHeight="1" x14ac:dyDescent="0.3"/>
    <row r="6643" ht="74.25" customHeight="1" x14ac:dyDescent="0.3"/>
    <row r="6644" ht="74.25" customHeight="1" x14ac:dyDescent="0.3"/>
    <row r="6645" ht="74.25" customHeight="1" x14ac:dyDescent="0.3"/>
    <row r="6646" ht="74.25" customHeight="1" x14ac:dyDescent="0.3"/>
    <row r="6647" ht="74.25" customHeight="1" x14ac:dyDescent="0.3"/>
    <row r="6648" ht="74.25" customHeight="1" x14ac:dyDescent="0.3"/>
    <row r="6649" ht="74.25" customHeight="1" x14ac:dyDescent="0.3"/>
    <row r="6650" ht="74.25" customHeight="1" x14ac:dyDescent="0.3"/>
    <row r="6651" ht="74.25" customHeight="1" x14ac:dyDescent="0.3"/>
    <row r="6652" ht="74.25" customHeight="1" x14ac:dyDescent="0.3"/>
    <row r="6653" ht="74.25" customHeight="1" x14ac:dyDescent="0.3"/>
    <row r="6654" ht="74.25" customHeight="1" x14ac:dyDescent="0.3"/>
    <row r="6655" ht="74.25" customHeight="1" x14ac:dyDescent="0.3"/>
    <row r="6656" ht="74.25" customHeight="1" x14ac:dyDescent="0.3"/>
    <row r="6657" ht="74.25" customHeight="1" x14ac:dyDescent="0.3"/>
    <row r="6658" ht="74.25" customHeight="1" x14ac:dyDescent="0.3"/>
    <row r="6659" ht="74.25" customHeight="1" x14ac:dyDescent="0.3"/>
    <row r="6660" ht="74.25" customHeight="1" x14ac:dyDescent="0.3"/>
    <row r="6661" ht="74.25" customHeight="1" x14ac:dyDescent="0.3"/>
    <row r="6662" ht="74.25" customHeight="1" x14ac:dyDescent="0.3"/>
    <row r="6663" ht="74.25" customHeight="1" x14ac:dyDescent="0.3"/>
    <row r="6664" ht="74.25" customHeight="1" x14ac:dyDescent="0.3"/>
    <row r="6665" ht="74.25" customHeight="1" x14ac:dyDescent="0.3"/>
    <row r="6666" ht="74.25" customHeight="1" x14ac:dyDescent="0.3"/>
    <row r="6667" ht="74.25" customHeight="1" x14ac:dyDescent="0.3"/>
    <row r="6668" ht="74.25" customHeight="1" x14ac:dyDescent="0.3"/>
    <row r="6669" ht="74.25" customHeight="1" x14ac:dyDescent="0.3"/>
    <row r="6670" ht="74.25" customHeight="1" x14ac:dyDescent="0.3"/>
    <row r="6671" ht="74.25" customHeight="1" x14ac:dyDescent="0.3"/>
    <row r="6672" ht="74.25" customHeight="1" x14ac:dyDescent="0.3"/>
    <row r="6673" ht="74.25" customHeight="1" x14ac:dyDescent="0.3"/>
    <row r="6674" ht="74.25" customHeight="1" x14ac:dyDescent="0.3"/>
    <row r="6675" ht="74.25" customHeight="1" x14ac:dyDescent="0.3"/>
    <row r="6676" ht="74.25" customHeight="1" x14ac:dyDescent="0.3"/>
    <row r="6677" ht="74.25" customHeight="1" x14ac:dyDescent="0.3"/>
    <row r="6678" ht="74.25" customHeight="1" x14ac:dyDescent="0.3"/>
    <row r="6679" ht="74.25" customHeight="1" x14ac:dyDescent="0.3"/>
    <row r="6680" ht="74.25" customHeight="1" x14ac:dyDescent="0.3"/>
    <row r="6681" ht="74.25" customHeight="1" x14ac:dyDescent="0.3"/>
    <row r="6682" ht="74.25" customHeight="1" x14ac:dyDescent="0.3"/>
    <row r="6683" ht="74.25" customHeight="1" x14ac:dyDescent="0.3"/>
    <row r="6684" ht="74.25" customHeight="1" x14ac:dyDescent="0.3"/>
    <row r="6685" ht="74.25" customHeight="1" x14ac:dyDescent="0.3"/>
    <row r="6686" ht="74.25" customHeight="1" x14ac:dyDescent="0.3"/>
    <row r="6687" ht="74.25" customHeight="1" x14ac:dyDescent="0.3"/>
    <row r="6688" ht="74.25" customHeight="1" x14ac:dyDescent="0.3"/>
    <row r="6689" ht="74.25" customHeight="1" x14ac:dyDescent="0.3"/>
    <row r="6690" ht="74.25" customHeight="1" x14ac:dyDescent="0.3"/>
    <row r="6691" ht="74.25" customHeight="1" x14ac:dyDescent="0.3"/>
    <row r="6692" ht="74.25" customHeight="1" x14ac:dyDescent="0.3"/>
    <row r="6693" ht="74.25" customHeight="1" x14ac:dyDescent="0.3"/>
    <row r="6694" ht="74.25" customHeight="1" x14ac:dyDescent="0.3"/>
    <row r="6695" ht="74.25" customHeight="1" x14ac:dyDescent="0.3"/>
    <row r="6696" ht="74.25" customHeight="1" x14ac:dyDescent="0.3"/>
    <row r="6697" ht="74.25" customHeight="1" x14ac:dyDescent="0.3"/>
    <row r="6698" ht="74.25" customHeight="1" x14ac:dyDescent="0.3"/>
    <row r="6699" ht="74.25" customHeight="1" x14ac:dyDescent="0.3"/>
    <row r="6700" ht="74.25" customHeight="1" x14ac:dyDescent="0.3"/>
    <row r="6701" ht="74.25" customHeight="1" x14ac:dyDescent="0.3"/>
    <row r="6702" ht="74.25" customHeight="1" x14ac:dyDescent="0.3"/>
    <row r="6703" ht="74.25" customHeight="1" x14ac:dyDescent="0.3"/>
    <row r="6704" ht="74.25" customHeight="1" x14ac:dyDescent="0.3"/>
    <row r="6705" ht="74.25" customHeight="1" x14ac:dyDescent="0.3"/>
    <row r="6706" ht="74.25" customHeight="1" x14ac:dyDescent="0.3"/>
    <row r="6707" ht="74.25" customHeight="1" x14ac:dyDescent="0.3"/>
    <row r="6708" ht="74.25" customHeight="1" x14ac:dyDescent="0.3"/>
    <row r="6709" ht="74.25" customHeight="1" x14ac:dyDescent="0.3"/>
    <row r="6710" ht="74.25" customHeight="1" x14ac:dyDescent="0.3"/>
    <row r="6711" ht="74.25" customHeight="1" x14ac:dyDescent="0.3"/>
    <row r="6712" ht="74.25" customHeight="1" x14ac:dyDescent="0.3"/>
    <row r="6713" ht="74.25" customHeight="1" x14ac:dyDescent="0.3"/>
    <row r="6714" ht="74.25" customHeight="1" x14ac:dyDescent="0.3"/>
    <row r="6715" ht="74.25" customHeight="1" x14ac:dyDescent="0.3"/>
    <row r="6716" ht="74.25" customHeight="1" x14ac:dyDescent="0.3"/>
    <row r="6717" ht="74.25" customHeight="1" x14ac:dyDescent="0.3"/>
    <row r="6718" ht="74.25" customHeight="1" x14ac:dyDescent="0.3"/>
    <row r="6719" ht="74.25" customHeight="1" x14ac:dyDescent="0.3"/>
    <row r="6720" ht="74.25" customHeight="1" x14ac:dyDescent="0.3"/>
    <row r="6721" ht="74.25" customHeight="1" x14ac:dyDescent="0.3"/>
    <row r="6722" ht="74.25" customHeight="1" x14ac:dyDescent="0.3"/>
    <row r="6723" ht="74.25" customHeight="1" x14ac:dyDescent="0.3"/>
    <row r="6724" ht="74.25" customHeight="1" x14ac:dyDescent="0.3"/>
    <row r="6725" ht="74.25" customHeight="1" x14ac:dyDescent="0.3"/>
    <row r="6726" ht="74.25" customHeight="1" x14ac:dyDescent="0.3"/>
    <row r="6727" ht="74.25" customHeight="1" x14ac:dyDescent="0.3"/>
    <row r="6728" ht="74.25" customHeight="1" x14ac:dyDescent="0.3"/>
    <row r="6729" ht="74.25" customHeight="1" x14ac:dyDescent="0.3"/>
    <row r="6730" ht="74.25" customHeight="1" x14ac:dyDescent="0.3"/>
    <row r="6731" ht="74.25" customHeight="1" x14ac:dyDescent="0.3"/>
    <row r="6732" ht="74.25" customHeight="1" x14ac:dyDescent="0.3"/>
    <row r="6733" ht="74.25" customHeight="1" x14ac:dyDescent="0.3"/>
    <row r="6734" ht="74.25" customHeight="1" x14ac:dyDescent="0.3"/>
    <row r="6735" ht="74.25" customHeight="1" x14ac:dyDescent="0.3"/>
    <row r="6736" ht="74.25" customHeight="1" x14ac:dyDescent="0.3"/>
    <row r="6737" ht="74.25" customHeight="1" x14ac:dyDescent="0.3"/>
    <row r="6738" ht="74.25" customHeight="1" x14ac:dyDescent="0.3"/>
    <row r="6739" ht="74.25" customHeight="1" x14ac:dyDescent="0.3"/>
    <row r="6740" ht="74.25" customHeight="1" x14ac:dyDescent="0.3"/>
    <row r="6741" ht="74.25" customHeight="1" x14ac:dyDescent="0.3"/>
    <row r="6742" ht="74.25" customHeight="1" x14ac:dyDescent="0.3"/>
    <row r="6743" ht="74.25" customHeight="1" x14ac:dyDescent="0.3"/>
    <row r="6744" ht="74.25" customHeight="1" x14ac:dyDescent="0.3"/>
    <row r="6745" ht="74.25" customHeight="1" x14ac:dyDescent="0.3"/>
    <row r="6746" ht="74.25" customHeight="1" x14ac:dyDescent="0.3"/>
    <row r="6747" ht="74.25" customHeight="1" x14ac:dyDescent="0.3"/>
    <row r="6748" ht="74.25" customHeight="1" x14ac:dyDescent="0.3"/>
    <row r="6749" ht="74.25" customHeight="1" x14ac:dyDescent="0.3"/>
    <row r="6750" ht="74.25" customHeight="1" x14ac:dyDescent="0.3"/>
    <row r="6751" ht="74.25" customHeight="1" x14ac:dyDescent="0.3"/>
    <row r="6752" ht="74.25" customHeight="1" x14ac:dyDescent="0.3"/>
    <row r="6753" ht="74.25" customHeight="1" x14ac:dyDescent="0.3"/>
    <row r="6754" ht="74.25" customHeight="1" x14ac:dyDescent="0.3"/>
    <row r="6755" ht="74.25" customHeight="1" x14ac:dyDescent="0.3"/>
    <row r="6756" ht="74.25" customHeight="1" x14ac:dyDescent="0.3"/>
    <row r="6757" ht="74.25" customHeight="1" x14ac:dyDescent="0.3"/>
    <row r="6758" ht="74.25" customHeight="1" x14ac:dyDescent="0.3"/>
    <row r="6759" ht="74.25" customHeight="1" x14ac:dyDescent="0.3"/>
    <row r="6760" ht="74.25" customHeight="1" x14ac:dyDescent="0.3"/>
    <row r="6761" ht="74.25" customHeight="1" x14ac:dyDescent="0.3"/>
    <row r="6762" ht="74.25" customHeight="1" x14ac:dyDescent="0.3"/>
    <row r="6763" ht="74.25" customHeight="1" x14ac:dyDescent="0.3"/>
    <row r="6764" ht="74.25" customHeight="1" x14ac:dyDescent="0.3"/>
    <row r="6765" ht="74.25" customHeight="1" x14ac:dyDescent="0.3"/>
    <row r="6766" ht="74.25" customHeight="1" x14ac:dyDescent="0.3"/>
    <row r="6767" ht="74.25" customHeight="1" x14ac:dyDescent="0.3"/>
    <row r="6768" ht="74.25" customHeight="1" x14ac:dyDescent="0.3"/>
    <row r="6769" ht="74.25" customHeight="1" x14ac:dyDescent="0.3"/>
    <row r="6770" ht="74.25" customHeight="1" x14ac:dyDescent="0.3"/>
    <row r="6771" ht="74.25" customHeight="1" x14ac:dyDescent="0.3"/>
    <row r="6772" ht="74.25" customHeight="1" x14ac:dyDescent="0.3"/>
    <row r="6773" ht="74.25" customHeight="1" x14ac:dyDescent="0.3"/>
    <row r="6774" ht="74.25" customHeight="1" x14ac:dyDescent="0.3"/>
    <row r="6775" ht="74.25" customHeight="1" x14ac:dyDescent="0.3"/>
    <row r="6776" ht="74.25" customHeight="1" x14ac:dyDescent="0.3"/>
    <row r="6777" ht="74.25" customHeight="1" x14ac:dyDescent="0.3"/>
    <row r="6778" ht="74.25" customHeight="1" x14ac:dyDescent="0.3"/>
    <row r="6779" ht="74.25" customHeight="1" x14ac:dyDescent="0.3"/>
    <row r="6780" ht="74.25" customHeight="1" x14ac:dyDescent="0.3"/>
    <row r="6781" ht="74.25" customHeight="1" x14ac:dyDescent="0.3"/>
    <row r="6782" ht="74.25" customHeight="1" x14ac:dyDescent="0.3"/>
    <row r="6783" ht="74.25" customHeight="1" x14ac:dyDescent="0.3"/>
    <row r="6784" ht="74.25" customHeight="1" x14ac:dyDescent="0.3"/>
    <row r="6785" ht="74.25" customHeight="1" x14ac:dyDescent="0.3"/>
    <row r="6786" ht="74.25" customHeight="1" x14ac:dyDescent="0.3"/>
    <row r="6787" ht="74.25" customHeight="1" x14ac:dyDescent="0.3"/>
    <row r="6788" ht="74.25" customHeight="1" x14ac:dyDescent="0.3"/>
    <row r="6789" ht="74.25" customHeight="1" x14ac:dyDescent="0.3"/>
    <row r="6790" ht="74.25" customHeight="1" x14ac:dyDescent="0.3"/>
    <row r="6791" ht="74.25" customHeight="1" x14ac:dyDescent="0.3"/>
    <row r="6792" ht="74.25" customHeight="1" x14ac:dyDescent="0.3"/>
    <row r="6793" ht="74.25" customHeight="1" x14ac:dyDescent="0.3"/>
    <row r="6794" ht="74.25" customHeight="1" x14ac:dyDescent="0.3"/>
    <row r="6795" ht="74.25" customHeight="1" x14ac:dyDescent="0.3"/>
    <row r="6796" ht="74.25" customHeight="1" x14ac:dyDescent="0.3"/>
    <row r="6797" ht="74.25" customHeight="1" x14ac:dyDescent="0.3"/>
    <row r="6798" ht="74.25" customHeight="1" x14ac:dyDescent="0.3"/>
    <row r="6799" ht="74.25" customHeight="1" x14ac:dyDescent="0.3"/>
    <row r="6800" ht="74.25" customHeight="1" x14ac:dyDescent="0.3"/>
    <row r="6801" ht="74.25" customHeight="1" x14ac:dyDescent="0.3"/>
    <row r="6802" ht="74.25" customHeight="1" x14ac:dyDescent="0.3"/>
    <row r="6803" ht="74.25" customHeight="1" x14ac:dyDescent="0.3"/>
    <row r="6804" ht="74.25" customHeight="1" x14ac:dyDescent="0.3"/>
    <row r="6805" ht="74.25" customHeight="1" x14ac:dyDescent="0.3"/>
    <row r="6806" ht="74.25" customHeight="1" x14ac:dyDescent="0.3"/>
    <row r="6807" ht="74.25" customHeight="1" x14ac:dyDescent="0.3"/>
    <row r="6808" ht="74.25" customHeight="1" x14ac:dyDescent="0.3"/>
    <row r="6809" ht="74.25" customHeight="1" x14ac:dyDescent="0.3"/>
    <row r="6810" ht="74.25" customHeight="1" x14ac:dyDescent="0.3"/>
    <row r="6811" ht="74.25" customHeight="1" x14ac:dyDescent="0.3"/>
    <row r="6812" ht="74.25" customHeight="1" x14ac:dyDescent="0.3"/>
    <row r="6813" ht="74.25" customHeight="1" x14ac:dyDescent="0.3"/>
    <row r="6814" ht="74.25" customHeight="1" x14ac:dyDescent="0.3"/>
    <row r="6815" ht="74.25" customHeight="1" x14ac:dyDescent="0.3"/>
    <row r="6816" ht="74.25" customHeight="1" x14ac:dyDescent="0.3"/>
    <row r="6817" ht="74.25" customHeight="1" x14ac:dyDescent="0.3"/>
    <row r="6818" ht="74.25" customHeight="1" x14ac:dyDescent="0.3"/>
    <row r="6819" ht="74.25" customHeight="1" x14ac:dyDescent="0.3"/>
    <row r="6820" ht="74.25" customHeight="1" x14ac:dyDescent="0.3"/>
    <row r="6821" ht="74.25" customHeight="1" x14ac:dyDescent="0.3"/>
    <row r="6822" ht="74.25" customHeight="1" x14ac:dyDescent="0.3"/>
    <row r="6823" ht="74.25" customHeight="1" x14ac:dyDescent="0.3"/>
    <row r="6824" ht="74.25" customHeight="1" x14ac:dyDescent="0.3"/>
    <row r="6825" ht="74.25" customHeight="1" x14ac:dyDescent="0.3"/>
    <row r="6826" ht="74.25" customHeight="1" x14ac:dyDescent="0.3"/>
    <row r="6827" ht="74.25" customHeight="1" x14ac:dyDescent="0.3"/>
    <row r="6828" ht="74.25" customHeight="1" x14ac:dyDescent="0.3"/>
    <row r="6829" ht="74.25" customHeight="1" x14ac:dyDescent="0.3"/>
    <row r="6830" ht="74.25" customHeight="1" x14ac:dyDescent="0.3"/>
    <row r="6831" ht="74.25" customHeight="1" x14ac:dyDescent="0.3"/>
    <row r="6832" ht="74.25" customHeight="1" x14ac:dyDescent="0.3"/>
    <row r="6833" ht="74.25" customHeight="1" x14ac:dyDescent="0.3"/>
    <row r="6834" ht="74.25" customHeight="1" x14ac:dyDescent="0.3"/>
    <row r="6835" ht="74.25" customHeight="1" x14ac:dyDescent="0.3"/>
    <row r="6836" ht="74.25" customHeight="1" x14ac:dyDescent="0.3"/>
    <row r="6837" ht="74.25" customHeight="1" x14ac:dyDescent="0.3"/>
    <row r="6838" ht="74.25" customHeight="1" x14ac:dyDescent="0.3"/>
    <row r="6839" ht="74.25" customHeight="1" x14ac:dyDescent="0.3"/>
    <row r="6840" ht="74.25" customHeight="1" x14ac:dyDescent="0.3"/>
    <row r="6841" ht="74.25" customHeight="1" x14ac:dyDescent="0.3"/>
    <row r="6842" ht="74.25" customHeight="1" x14ac:dyDescent="0.3"/>
    <row r="6843" ht="74.25" customHeight="1" x14ac:dyDescent="0.3"/>
    <row r="6844" ht="74.25" customHeight="1" x14ac:dyDescent="0.3"/>
    <row r="6845" ht="74.25" customHeight="1" x14ac:dyDescent="0.3"/>
    <row r="6846" ht="74.25" customHeight="1" x14ac:dyDescent="0.3"/>
    <row r="6847" ht="74.25" customHeight="1" x14ac:dyDescent="0.3"/>
    <row r="6848" ht="74.25" customHeight="1" x14ac:dyDescent="0.3"/>
    <row r="6849" ht="74.25" customHeight="1" x14ac:dyDescent="0.3"/>
    <row r="6850" ht="74.25" customHeight="1" x14ac:dyDescent="0.3"/>
    <row r="6851" ht="74.25" customHeight="1" x14ac:dyDescent="0.3"/>
    <row r="6852" ht="74.25" customHeight="1" x14ac:dyDescent="0.3"/>
    <row r="6853" ht="74.25" customHeight="1" x14ac:dyDescent="0.3"/>
    <row r="6854" ht="74.25" customHeight="1" x14ac:dyDescent="0.3"/>
    <row r="6855" ht="74.25" customHeight="1" x14ac:dyDescent="0.3"/>
    <row r="6856" ht="74.25" customHeight="1" x14ac:dyDescent="0.3"/>
    <row r="6857" ht="74.25" customHeight="1" x14ac:dyDescent="0.3"/>
    <row r="6858" ht="74.25" customHeight="1" x14ac:dyDescent="0.3"/>
    <row r="6859" ht="74.25" customHeight="1" x14ac:dyDescent="0.3"/>
    <row r="6860" ht="74.25" customHeight="1" x14ac:dyDescent="0.3"/>
    <row r="6861" ht="74.25" customHeight="1" x14ac:dyDescent="0.3"/>
    <row r="6862" ht="74.25" customHeight="1" x14ac:dyDescent="0.3"/>
    <row r="6863" ht="74.25" customHeight="1" x14ac:dyDescent="0.3"/>
    <row r="6864" ht="74.25" customHeight="1" x14ac:dyDescent="0.3"/>
    <row r="6865" ht="74.25" customHeight="1" x14ac:dyDescent="0.3"/>
    <row r="6866" ht="74.25" customHeight="1" x14ac:dyDescent="0.3"/>
    <row r="6867" ht="74.25" customHeight="1" x14ac:dyDescent="0.3"/>
    <row r="6868" ht="74.25" customHeight="1" x14ac:dyDescent="0.3"/>
    <row r="6869" ht="74.25" customHeight="1" x14ac:dyDescent="0.3"/>
    <row r="6870" ht="74.25" customHeight="1" x14ac:dyDescent="0.3"/>
    <row r="6871" ht="74.25" customHeight="1" x14ac:dyDescent="0.3"/>
    <row r="6872" ht="74.25" customHeight="1" x14ac:dyDescent="0.3"/>
    <row r="6873" ht="74.25" customHeight="1" x14ac:dyDescent="0.3"/>
    <row r="6874" ht="74.25" customHeight="1" x14ac:dyDescent="0.3"/>
    <row r="6875" ht="74.25" customHeight="1" x14ac:dyDescent="0.3"/>
    <row r="6876" ht="74.25" customHeight="1" x14ac:dyDescent="0.3"/>
    <row r="6877" ht="74.25" customHeight="1" x14ac:dyDescent="0.3"/>
    <row r="6878" ht="74.25" customHeight="1" x14ac:dyDescent="0.3"/>
    <row r="6879" ht="74.25" customHeight="1" x14ac:dyDescent="0.3"/>
    <row r="6880" ht="74.25" customHeight="1" x14ac:dyDescent="0.3"/>
    <row r="6881" ht="74.25" customHeight="1" x14ac:dyDescent="0.3"/>
    <row r="6882" ht="74.25" customHeight="1" x14ac:dyDescent="0.3"/>
    <row r="6883" ht="74.25" customHeight="1" x14ac:dyDescent="0.3"/>
    <row r="6884" ht="74.25" customHeight="1" x14ac:dyDescent="0.3"/>
    <row r="6885" ht="74.25" customHeight="1" x14ac:dyDescent="0.3"/>
    <row r="6886" ht="74.25" customHeight="1" x14ac:dyDescent="0.3"/>
    <row r="6887" ht="74.25" customHeight="1" x14ac:dyDescent="0.3"/>
    <row r="6888" ht="74.25" customHeight="1" x14ac:dyDescent="0.3"/>
    <row r="6889" ht="74.25" customHeight="1" x14ac:dyDescent="0.3"/>
    <row r="6890" ht="74.25" customHeight="1" x14ac:dyDescent="0.3"/>
    <row r="6891" ht="74.25" customHeight="1" x14ac:dyDescent="0.3"/>
    <row r="6892" ht="74.25" customHeight="1" x14ac:dyDescent="0.3"/>
    <row r="6893" ht="74.25" customHeight="1" x14ac:dyDescent="0.3"/>
    <row r="6894" ht="74.25" customHeight="1" x14ac:dyDescent="0.3"/>
    <row r="6895" ht="74.25" customHeight="1" x14ac:dyDescent="0.3"/>
    <row r="6896" ht="74.25" customHeight="1" x14ac:dyDescent="0.3"/>
    <row r="6897" ht="74.25" customHeight="1" x14ac:dyDescent="0.3"/>
    <row r="6898" ht="74.25" customHeight="1" x14ac:dyDescent="0.3"/>
    <row r="6899" ht="74.25" customHeight="1" x14ac:dyDescent="0.3"/>
    <row r="6900" ht="74.25" customHeight="1" x14ac:dyDescent="0.3"/>
    <row r="6901" ht="74.25" customHeight="1" x14ac:dyDescent="0.3"/>
    <row r="6902" ht="74.25" customHeight="1" x14ac:dyDescent="0.3"/>
    <row r="6903" ht="74.25" customHeight="1" x14ac:dyDescent="0.3"/>
    <row r="6904" ht="74.25" customHeight="1" x14ac:dyDescent="0.3"/>
    <row r="6905" ht="74.25" customHeight="1" x14ac:dyDescent="0.3"/>
    <row r="6906" ht="74.25" customHeight="1" x14ac:dyDescent="0.3"/>
    <row r="6907" ht="74.25" customHeight="1" x14ac:dyDescent="0.3"/>
    <row r="6908" ht="74.25" customHeight="1" x14ac:dyDescent="0.3"/>
    <row r="6909" ht="74.25" customHeight="1" x14ac:dyDescent="0.3"/>
    <row r="6910" ht="74.25" customHeight="1" x14ac:dyDescent="0.3"/>
    <row r="6911" ht="74.25" customHeight="1" x14ac:dyDescent="0.3"/>
    <row r="6912" ht="74.25" customHeight="1" x14ac:dyDescent="0.3"/>
    <row r="6913" ht="74.25" customHeight="1" x14ac:dyDescent="0.3"/>
    <row r="6914" ht="74.25" customHeight="1" x14ac:dyDescent="0.3"/>
    <row r="6915" ht="74.25" customHeight="1" x14ac:dyDescent="0.3"/>
    <row r="6916" ht="74.25" customHeight="1" x14ac:dyDescent="0.3"/>
    <row r="6917" ht="74.25" customHeight="1" x14ac:dyDescent="0.3"/>
    <row r="6918" ht="74.25" customHeight="1" x14ac:dyDescent="0.3"/>
    <row r="6919" ht="74.25" customHeight="1" x14ac:dyDescent="0.3"/>
    <row r="6920" ht="74.25" customHeight="1" x14ac:dyDescent="0.3"/>
    <row r="6921" ht="74.25" customHeight="1" x14ac:dyDescent="0.3"/>
    <row r="6922" ht="74.25" customHeight="1" x14ac:dyDescent="0.3"/>
    <row r="6923" ht="74.25" customHeight="1" x14ac:dyDescent="0.3"/>
    <row r="6924" ht="74.25" customHeight="1" x14ac:dyDescent="0.3"/>
    <row r="6925" ht="74.25" customHeight="1" x14ac:dyDescent="0.3"/>
    <row r="6926" ht="74.25" customHeight="1" x14ac:dyDescent="0.3"/>
    <row r="6927" ht="74.25" customHeight="1" x14ac:dyDescent="0.3"/>
    <row r="6928" ht="74.25" customHeight="1" x14ac:dyDescent="0.3"/>
    <row r="6929" ht="74.25" customHeight="1" x14ac:dyDescent="0.3"/>
    <row r="6930" ht="74.25" customHeight="1" x14ac:dyDescent="0.3"/>
    <row r="6931" ht="74.25" customHeight="1" x14ac:dyDescent="0.3"/>
    <row r="6932" ht="74.25" customHeight="1" x14ac:dyDescent="0.3"/>
    <row r="6933" ht="74.25" customHeight="1" x14ac:dyDescent="0.3"/>
    <row r="6934" ht="74.25" customHeight="1" x14ac:dyDescent="0.3"/>
    <row r="6935" ht="74.25" customHeight="1" x14ac:dyDescent="0.3"/>
    <row r="6936" ht="74.25" customHeight="1" x14ac:dyDescent="0.3"/>
    <row r="6937" ht="74.25" customHeight="1" x14ac:dyDescent="0.3"/>
    <row r="6938" ht="74.25" customHeight="1" x14ac:dyDescent="0.3"/>
    <row r="6939" ht="74.25" customHeight="1" x14ac:dyDescent="0.3"/>
    <row r="6940" ht="74.25" customHeight="1" x14ac:dyDescent="0.3"/>
    <row r="6941" ht="74.25" customHeight="1" x14ac:dyDescent="0.3"/>
    <row r="6942" ht="74.25" customHeight="1" x14ac:dyDescent="0.3"/>
    <row r="6943" ht="74.25" customHeight="1" x14ac:dyDescent="0.3"/>
    <row r="6944" ht="74.25" customHeight="1" x14ac:dyDescent="0.3"/>
    <row r="6945" ht="74.25" customHeight="1" x14ac:dyDescent="0.3"/>
    <row r="6946" ht="74.25" customHeight="1" x14ac:dyDescent="0.3"/>
    <row r="6947" ht="74.25" customHeight="1" x14ac:dyDescent="0.3"/>
    <row r="6948" ht="74.25" customHeight="1" x14ac:dyDescent="0.3"/>
    <row r="6949" ht="74.25" customHeight="1" x14ac:dyDescent="0.3"/>
    <row r="6950" ht="74.25" customHeight="1" x14ac:dyDescent="0.3"/>
    <row r="6951" ht="74.25" customHeight="1" x14ac:dyDescent="0.3"/>
    <row r="6952" ht="74.25" customHeight="1" x14ac:dyDescent="0.3"/>
    <row r="6953" ht="74.25" customHeight="1" x14ac:dyDescent="0.3"/>
    <row r="6954" ht="74.25" customHeight="1" x14ac:dyDescent="0.3"/>
    <row r="6955" ht="74.25" customHeight="1" x14ac:dyDescent="0.3"/>
    <row r="6956" ht="74.25" customHeight="1" x14ac:dyDescent="0.3"/>
    <row r="6957" ht="74.25" customHeight="1" x14ac:dyDescent="0.3"/>
    <row r="6958" ht="74.25" customHeight="1" x14ac:dyDescent="0.3"/>
    <row r="6959" ht="74.25" customHeight="1" x14ac:dyDescent="0.3"/>
    <row r="6960" ht="74.25" customHeight="1" x14ac:dyDescent="0.3"/>
    <row r="6961" ht="74.25" customHeight="1" x14ac:dyDescent="0.3"/>
    <row r="6962" ht="74.25" customHeight="1" x14ac:dyDescent="0.3"/>
    <row r="6963" ht="74.25" customHeight="1" x14ac:dyDescent="0.3"/>
    <row r="6964" ht="74.25" customHeight="1" x14ac:dyDescent="0.3"/>
    <row r="6965" ht="74.25" customHeight="1" x14ac:dyDescent="0.3"/>
    <row r="6966" ht="74.25" customHeight="1" x14ac:dyDescent="0.3"/>
    <row r="6967" ht="74.25" customHeight="1" x14ac:dyDescent="0.3"/>
    <row r="6968" ht="74.25" customHeight="1" x14ac:dyDescent="0.3"/>
    <row r="6969" ht="74.25" customHeight="1" x14ac:dyDescent="0.3"/>
    <row r="6970" ht="74.25" customHeight="1" x14ac:dyDescent="0.3"/>
    <row r="6971" ht="74.25" customHeight="1" x14ac:dyDescent="0.3"/>
    <row r="6972" ht="74.25" customHeight="1" x14ac:dyDescent="0.3"/>
    <row r="6973" ht="74.25" customHeight="1" x14ac:dyDescent="0.3"/>
    <row r="6974" ht="74.25" customHeight="1" x14ac:dyDescent="0.3"/>
    <row r="6975" ht="74.25" customHeight="1" x14ac:dyDescent="0.3"/>
    <row r="6976" ht="74.25" customHeight="1" x14ac:dyDescent="0.3"/>
    <row r="6977" ht="74.25" customHeight="1" x14ac:dyDescent="0.3"/>
    <row r="6978" ht="74.25" customHeight="1" x14ac:dyDescent="0.3"/>
    <row r="6979" ht="74.25" customHeight="1" x14ac:dyDescent="0.3"/>
    <row r="6980" ht="74.25" customHeight="1" x14ac:dyDescent="0.3"/>
    <row r="6981" ht="74.25" customHeight="1" x14ac:dyDescent="0.3"/>
    <row r="6982" ht="74.25" customHeight="1" x14ac:dyDescent="0.3"/>
    <row r="6983" ht="74.25" customHeight="1" x14ac:dyDescent="0.3"/>
    <row r="6984" ht="74.25" customHeight="1" x14ac:dyDescent="0.3"/>
    <row r="6985" ht="74.25" customHeight="1" x14ac:dyDescent="0.3"/>
    <row r="6986" ht="74.25" customHeight="1" x14ac:dyDescent="0.3"/>
    <row r="6987" ht="74.25" customHeight="1" x14ac:dyDescent="0.3"/>
    <row r="6988" ht="74.25" customHeight="1" x14ac:dyDescent="0.3"/>
    <row r="6989" ht="74.25" customHeight="1" x14ac:dyDescent="0.3"/>
    <row r="6990" ht="74.25" customHeight="1" x14ac:dyDescent="0.3"/>
    <row r="6991" ht="74.25" customHeight="1" x14ac:dyDescent="0.3"/>
    <row r="6992" ht="74.25" customHeight="1" x14ac:dyDescent="0.3"/>
    <row r="6993" ht="74.25" customHeight="1" x14ac:dyDescent="0.3"/>
    <row r="6994" ht="74.25" customHeight="1" x14ac:dyDescent="0.3"/>
    <row r="6995" ht="74.25" customHeight="1" x14ac:dyDescent="0.3"/>
    <row r="6996" ht="74.25" customHeight="1" x14ac:dyDescent="0.3"/>
    <row r="6997" ht="74.25" customHeight="1" x14ac:dyDescent="0.3"/>
    <row r="6998" ht="74.25" customHeight="1" x14ac:dyDescent="0.3"/>
    <row r="6999" ht="74.25" customHeight="1" x14ac:dyDescent="0.3"/>
    <row r="7000" ht="74.25" customHeight="1" x14ac:dyDescent="0.3"/>
    <row r="7001" ht="74.25" customHeight="1" x14ac:dyDescent="0.3"/>
    <row r="7002" ht="74.25" customHeight="1" x14ac:dyDescent="0.3"/>
    <row r="7003" ht="74.25" customHeight="1" x14ac:dyDescent="0.3"/>
    <row r="7004" ht="74.25" customHeight="1" x14ac:dyDescent="0.3"/>
    <row r="7005" ht="74.25" customHeight="1" x14ac:dyDescent="0.3"/>
    <row r="7006" ht="74.25" customHeight="1" x14ac:dyDescent="0.3"/>
    <row r="7007" ht="74.25" customHeight="1" x14ac:dyDescent="0.3"/>
    <row r="7008" ht="74.25" customHeight="1" x14ac:dyDescent="0.3"/>
    <row r="7009" ht="74.25" customHeight="1" x14ac:dyDescent="0.3"/>
    <row r="7010" ht="74.25" customHeight="1" x14ac:dyDescent="0.3"/>
    <row r="7011" ht="74.25" customHeight="1" x14ac:dyDescent="0.3"/>
    <row r="7012" ht="74.25" customHeight="1" x14ac:dyDescent="0.3"/>
    <row r="7013" ht="74.25" customHeight="1" x14ac:dyDescent="0.3"/>
    <row r="7014" ht="74.25" customHeight="1" x14ac:dyDescent="0.3"/>
    <row r="7015" ht="74.25" customHeight="1" x14ac:dyDescent="0.3"/>
    <row r="7016" ht="74.25" customHeight="1" x14ac:dyDescent="0.3"/>
    <row r="7017" ht="74.25" customHeight="1" x14ac:dyDescent="0.3"/>
    <row r="7018" ht="74.25" customHeight="1" x14ac:dyDescent="0.3"/>
    <row r="7019" ht="74.25" customHeight="1" x14ac:dyDescent="0.3"/>
    <row r="7020" ht="74.25" customHeight="1" x14ac:dyDescent="0.3"/>
    <row r="7021" ht="74.25" customHeight="1" x14ac:dyDescent="0.3"/>
    <row r="7022" ht="74.25" customHeight="1" x14ac:dyDescent="0.3"/>
    <row r="7023" ht="74.25" customHeight="1" x14ac:dyDescent="0.3"/>
    <row r="7024" ht="74.25" customHeight="1" x14ac:dyDescent="0.3"/>
    <row r="7025" ht="74.25" customHeight="1" x14ac:dyDescent="0.3"/>
    <row r="7026" ht="74.25" customHeight="1" x14ac:dyDescent="0.3"/>
    <row r="7027" ht="74.25" customHeight="1" x14ac:dyDescent="0.3"/>
    <row r="7028" ht="74.25" customHeight="1" x14ac:dyDescent="0.3"/>
    <row r="7029" ht="74.25" customHeight="1" x14ac:dyDescent="0.3"/>
    <row r="7030" ht="74.25" customHeight="1" x14ac:dyDescent="0.3"/>
    <row r="7031" ht="74.25" customHeight="1" x14ac:dyDescent="0.3"/>
    <row r="7032" ht="74.25" customHeight="1" x14ac:dyDescent="0.3"/>
    <row r="7033" ht="74.25" customHeight="1" x14ac:dyDescent="0.3"/>
    <row r="7034" ht="74.25" customHeight="1" x14ac:dyDescent="0.3"/>
    <row r="7035" ht="74.25" customHeight="1" x14ac:dyDescent="0.3"/>
    <row r="7036" ht="74.25" customHeight="1" x14ac:dyDescent="0.3"/>
    <row r="7037" ht="74.25" customHeight="1" x14ac:dyDescent="0.3"/>
    <row r="7038" ht="74.25" customHeight="1" x14ac:dyDescent="0.3"/>
    <row r="7039" ht="74.25" customHeight="1" x14ac:dyDescent="0.3"/>
    <row r="7040" ht="74.25" customHeight="1" x14ac:dyDescent="0.3"/>
    <row r="7041" ht="74.25" customHeight="1" x14ac:dyDescent="0.3"/>
    <row r="7042" ht="74.25" customHeight="1" x14ac:dyDescent="0.3"/>
    <row r="7043" ht="74.25" customHeight="1" x14ac:dyDescent="0.3"/>
    <row r="7044" ht="74.25" customHeight="1" x14ac:dyDescent="0.3"/>
    <row r="7045" ht="74.25" customHeight="1" x14ac:dyDescent="0.3"/>
    <row r="7046" ht="74.25" customHeight="1" x14ac:dyDescent="0.3"/>
    <row r="7047" ht="74.25" customHeight="1" x14ac:dyDescent="0.3"/>
    <row r="7048" ht="74.25" customHeight="1" x14ac:dyDescent="0.3"/>
    <row r="7049" ht="74.25" customHeight="1" x14ac:dyDescent="0.3"/>
    <row r="7050" ht="74.25" customHeight="1" x14ac:dyDescent="0.3"/>
    <row r="7051" ht="74.25" customHeight="1" x14ac:dyDescent="0.3"/>
    <row r="7052" ht="74.25" customHeight="1" x14ac:dyDescent="0.3"/>
    <row r="7053" ht="74.25" customHeight="1" x14ac:dyDescent="0.3"/>
    <row r="7054" ht="74.25" customHeight="1" x14ac:dyDescent="0.3"/>
    <row r="7055" ht="74.25" customHeight="1" x14ac:dyDescent="0.3"/>
    <row r="7056" ht="74.25" customHeight="1" x14ac:dyDescent="0.3"/>
    <row r="7057" ht="74.25" customHeight="1" x14ac:dyDescent="0.3"/>
    <row r="7058" ht="74.25" customHeight="1" x14ac:dyDescent="0.3"/>
    <row r="7059" ht="74.25" customHeight="1" x14ac:dyDescent="0.3"/>
    <row r="7060" ht="74.25" customHeight="1" x14ac:dyDescent="0.3"/>
    <row r="7061" ht="74.25" customHeight="1" x14ac:dyDescent="0.3"/>
    <row r="7062" ht="74.25" customHeight="1" x14ac:dyDescent="0.3"/>
    <row r="7063" ht="74.25" customHeight="1" x14ac:dyDescent="0.3"/>
    <row r="7064" ht="74.25" customHeight="1" x14ac:dyDescent="0.3"/>
    <row r="7065" ht="74.25" customHeight="1" x14ac:dyDescent="0.3"/>
    <row r="7066" ht="74.25" customHeight="1" x14ac:dyDescent="0.3"/>
    <row r="7067" ht="74.25" customHeight="1" x14ac:dyDescent="0.3"/>
    <row r="7068" ht="74.25" customHeight="1" x14ac:dyDescent="0.3"/>
    <row r="7069" ht="74.25" customHeight="1" x14ac:dyDescent="0.3"/>
    <row r="7070" ht="74.25" customHeight="1" x14ac:dyDescent="0.3"/>
    <row r="7071" ht="74.25" customHeight="1" x14ac:dyDescent="0.3"/>
    <row r="7072" ht="74.25" customHeight="1" x14ac:dyDescent="0.3"/>
    <row r="7073" ht="74.25" customHeight="1" x14ac:dyDescent="0.3"/>
    <row r="7074" ht="74.25" customHeight="1" x14ac:dyDescent="0.3"/>
    <row r="7075" ht="74.25" customHeight="1" x14ac:dyDescent="0.3"/>
    <row r="7076" ht="74.25" customHeight="1" x14ac:dyDescent="0.3"/>
    <row r="7077" ht="74.25" customHeight="1" x14ac:dyDescent="0.3"/>
    <row r="7078" ht="74.25" customHeight="1" x14ac:dyDescent="0.3"/>
    <row r="7079" ht="74.25" customHeight="1" x14ac:dyDescent="0.3"/>
    <row r="7080" ht="74.25" customHeight="1" x14ac:dyDescent="0.3"/>
    <row r="7081" ht="74.25" customHeight="1" x14ac:dyDescent="0.3"/>
    <row r="7082" ht="74.25" customHeight="1" x14ac:dyDescent="0.3"/>
    <row r="7083" ht="74.25" customHeight="1" x14ac:dyDescent="0.3"/>
    <row r="7084" ht="74.25" customHeight="1" x14ac:dyDescent="0.3"/>
    <row r="7085" ht="74.25" customHeight="1" x14ac:dyDescent="0.3"/>
    <row r="7086" ht="74.25" customHeight="1" x14ac:dyDescent="0.3"/>
    <row r="7087" ht="74.25" customHeight="1" x14ac:dyDescent="0.3"/>
    <row r="7088" ht="74.25" customHeight="1" x14ac:dyDescent="0.3"/>
    <row r="7089" ht="74.25" customHeight="1" x14ac:dyDescent="0.3"/>
    <row r="7090" ht="74.25" customHeight="1" x14ac:dyDescent="0.3"/>
    <row r="7091" ht="74.25" customHeight="1" x14ac:dyDescent="0.3"/>
    <row r="7092" ht="74.25" customHeight="1" x14ac:dyDescent="0.3"/>
    <row r="7093" ht="74.25" customHeight="1" x14ac:dyDescent="0.3"/>
    <row r="7094" ht="74.25" customHeight="1" x14ac:dyDescent="0.3"/>
    <row r="7095" ht="74.25" customHeight="1" x14ac:dyDescent="0.3"/>
    <row r="7096" ht="74.25" customHeight="1" x14ac:dyDescent="0.3"/>
    <row r="7097" ht="74.25" customHeight="1" x14ac:dyDescent="0.3"/>
    <row r="7098" ht="74.25" customHeight="1" x14ac:dyDescent="0.3"/>
    <row r="7099" ht="74.25" customHeight="1" x14ac:dyDescent="0.3"/>
    <row r="7100" ht="74.25" customHeight="1" x14ac:dyDescent="0.3"/>
    <row r="7101" ht="74.25" customHeight="1" x14ac:dyDescent="0.3"/>
    <row r="7102" ht="74.25" customHeight="1" x14ac:dyDescent="0.3"/>
    <row r="7103" ht="74.25" customHeight="1" x14ac:dyDescent="0.3"/>
    <row r="7104" ht="74.25" customHeight="1" x14ac:dyDescent="0.3"/>
    <row r="7105" ht="74.25" customHeight="1" x14ac:dyDescent="0.3"/>
    <row r="7106" ht="74.25" customHeight="1" x14ac:dyDescent="0.3"/>
    <row r="7107" ht="74.25" customHeight="1" x14ac:dyDescent="0.3"/>
    <row r="7108" ht="74.25" customHeight="1" x14ac:dyDescent="0.3"/>
    <row r="7109" ht="74.25" customHeight="1" x14ac:dyDescent="0.3"/>
    <row r="7110" ht="74.25" customHeight="1" x14ac:dyDescent="0.3"/>
    <row r="7111" ht="74.25" customHeight="1" x14ac:dyDescent="0.3"/>
    <row r="7112" ht="74.25" customHeight="1" x14ac:dyDescent="0.3"/>
    <row r="7113" ht="74.25" customHeight="1" x14ac:dyDescent="0.3"/>
    <row r="7114" ht="74.25" customHeight="1" x14ac:dyDescent="0.3"/>
    <row r="7115" ht="74.25" customHeight="1" x14ac:dyDescent="0.3"/>
    <row r="7116" ht="74.25" customHeight="1" x14ac:dyDescent="0.3"/>
    <row r="7117" ht="74.25" customHeight="1" x14ac:dyDescent="0.3"/>
    <row r="7118" ht="74.25" customHeight="1" x14ac:dyDescent="0.3"/>
    <row r="7119" ht="74.25" customHeight="1" x14ac:dyDescent="0.3"/>
    <row r="7120" ht="74.25" customHeight="1" x14ac:dyDescent="0.3"/>
    <row r="7121" ht="74.25" customHeight="1" x14ac:dyDescent="0.3"/>
    <row r="7122" ht="74.25" customHeight="1" x14ac:dyDescent="0.3"/>
    <row r="7123" ht="74.25" customHeight="1" x14ac:dyDescent="0.3"/>
    <row r="7124" ht="74.25" customHeight="1" x14ac:dyDescent="0.3"/>
    <row r="7125" ht="74.25" customHeight="1" x14ac:dyDescent="0.3"/>
    <row r="7126" ht="74.25" customHeight="1" x14ac:dyDescent="0.3"/>
    <row r="7127" ht="74.25" customHeight="1" x14ac:dyDescent="0.3"/>
    <row r="7128" ht="74.25" customHeight="1" x14ac:dyDescent="0.3"/>
    <row r="7129" ht="74.25" customHeight="1" x14ac:dyDescent="0.3"/>
    <row r="7130" ht="74.25" customHeight="1" x14ac:dyDescent="0.3"/>
    <row r="7131" ht="74.25" customHeight="1" x14ac:dyDescent="0.3"/>
    <row r="7132" ht="74.25" customHeight="1" x14ac:dyDescent="0.3"/>
    <row r="7133" ht="74.25" customHeight="1" x14ac:dyDescent="0.3"/>
    <row r="7134" ht="74.25" customHeight="1" x14ac:dyDescent="0.3"/>
    <row r="7135" ht="74.25" customHeight="1" x14ac:dyDescent="0.3"/>
    <row r="7136" ht="74.25" customHeight="1" x14ac:dyDescent="0.3"/>
    <row r="7137" ht="74.25" customHeight="1" x14ac:dyDescent="0.3"/>
    <row r="7138" ht="74.25" customHeight="1" x14ac:dyDescent="0.3"/>
    <row r="7139" ht="74.25" customHeight="1" x14ac:dyDescent="0.3"/>
    <row r="7140" ht="74.25" customHeight="1" x14ac:dyDescent="0.3"/>
    <row r="7141" ht="74.25" customHeight="1" x14ac:dyDescent="0.3"/>
    <row r="7142" ht="74.25" customHeight="1" x14ac:dyDescent="0.3"/>
    <row r="7143" ht="74.25" customHeight="1" x14ac:dyDescent="0.3"/>
    <row r="7144" ht="74.25" customHeight="1" x14ac:dyDescent="0.3"/>
    <row r="7145" ht="74.25" customHeight="1" x14ac:dyDescent="0.3"/>
    <row r="7146" ht="74.25" customHeight="1" x14ac:dyDescent="0.3"/>
    <row r="7147" ht="74.25" customHeight="1" x14ac:dyDescent="0.3"/>
    <row r="7148" ht="74.25" customHeight="1" x14ac:dyDescent="0.3"/>
    <row r="7149" ht="74.25" customHeight="1" x14ac:dyDescent="0.3"/>
    <row r="7150" ht="74.25" customHeight="1" x14ac:dyDescent="0.3"/>
    <row r="7151" ht="74.25" customHeight="1" x14ac:dyDescent="0.3"/>
    <row r="7152" ht="74.25" customHeight="1" x14ac:dyDescent="0.3"/>
    <row r="7153" ht="74.25" customHeight="1" x14ac:dyDescent="0.3"/>
    <row r="7154" ht="74.25" customHeight="1" x14ac:dyDescent="0.3"/>
    <row r="7155" ht="74.25" customHeight="1" x14ac:dyDescent="0.3"/>
    <row r="7156" ht="74.25" customHeight="1" x14ac:dyDescent="0.3"/>
    <row r="7157" ht="74.25" customHeight="1" x14ac:dyDescent="0.3"/>
    <row r="7158" ht="74.25" customHeight="1" x14ac:dyDescent="0.3"/>
    <row r="7159" ht="74.25" customHeight="1" x14ac:dyDescent="0.3"/>
    <row r="7160" ht="74.25" customHeight="1" x14ac:dyDescent="0.3"/>
    <row r="7161" ht="74.25" customHeight="1" x14ac:dyDescent="0.3"/>
    <row r="7162" ht="74.25" customHeight="1" x14ac:dyDescent="0.3"/>
    <row r="7163" ht="74.25" customHeight="1" x14ac:dyDescent="0.3"/>
    <row r="7164" ht="74.25" customHeight="1" x14ac:dyDescent="0.3"/>
    <row r="7165" ht="74.25" customHeight="1" x14ac:dyDescent="0.3"/>
    <row r="7166" ht="74.25" customHeight="1" x14ac:dyDescent="0.3"/>
    <row r="7167" ht="74.25" customHeight="1" x14ac:dyDescent="0.3"/>
    <row r="7168" ht="74.25" customHeight="1" x14ac:dyDescent="0.3"/>
    <row r="7169" ht="74.25" customHeight="1" x14ac:dyDescent="0.3"/>
    <row r="7170" ht="74.25" customHeight="1" x14ac:dyDescent="0.3"/>
    <row r="7171" ht="74.25" customHeight="1" x14ac:dyDescent="0.3"/>
    <row r="7172" ht="74.25" customHeight="1" x14ac:dyDescent="0.3"/>
    <row r="7173" ht="74.25" customHeight="1" x14ac:dyDescent="0.3"/>
    <row r="7174" ht="74.25" customHeight="1" x14ac:dyDescent="0.3"/>
    <row r="7175" ht="74.25" customHeight="1" x14ac:dyDescent="0.3"/>
    <row r="7176" ht="74.25" customHeight="1" x14ac:dyDescent="0.3"/>
    <row r="7177" ht="74.25" customHeight="1" x14ac:dyDescent="0.3"/>
    <row r="7178" ht="74.25" customHeight="1" x14ac:dyDescent="0.3"/>
    <row r="7179" ht="74.25" customHeight="1" x14ac:dyDescent="0.3"/>
    <row r="7180" ht="74.25" customHeight="1" x14ac:dyDescent="0.3"/>
    <row r="7181" ht="74.25" customHeight="1" x14ac:dyDescent="0.3"/>
    <row r="7182" ht="74.25" customHeight="1" x14ac:dyDescent="0.3"/>
    <row r="7183" ht="74.25" customHeight="1" x14ac:dyDescent="0.3"/>
    <row r="7184" ht="74.25" customHeight="1" x14ac:dyDescent="0.3"/>
    <row r="7185" ht="74.25" customHeight="1" x14ac:dyDescent="0.3"/>
    <row r="7186" ht="74.25" customHeight="1" x14ac:dyDescent="0.3"/>
    <row r="7187" ht="74.25" customHeight="1" x14ac:dyDescent="0.3"/>
    <row r="7188" ht="74.25" customHeight="1" x14ac:dyDescent="0.3"/>
    <row r="7189" ht="74.25" customHeight="1" x14ac:dyDescent="0.3"/>
    <row r="7190" ht="74.25" customHeight="1" x14ac:dyDescent="0.3"/>
    <row r="7191" ht="74.25" customHeight="1" x14ac:dyDescent="0.3"/>
    <row r="7192" ht="74.25" customHeight="1" x14ac:dyDescent="0.3"/>
    <row r="7193" ht="74.25" customHeight="1" x14ac:dyDescent="0.3"/>
    <row r="7194" ht="74.25" customHeight="1" x14ac:dyDescent="0.3"/>
    <row r="7195" ht="74.25" customHeight="1" x14ac:dyDescent="0.3"/>
    <row r="7196" ht="74.25" customHeight="1" x14ac:dyDescent="0.3"/>
    <row r="7197" ht="74.25" customHeight="1" x14ac:dyDescent="0.3"/>
    <row r="7198" ht="74.25" customHeight="1" x14ac:dyDescent="0.3"/>
    <row r="7199" ht="74.25" customHeight="1" x14ac:dyDescent="0.3"/>
    <row r="7200" ht="74.25" customHeight="1" x14ac:dyDescent="0.3"/>
    <row r="7201" ht="74.25" customHeight="1" x14ac:dyDescent="0.3"/>
    <row r="7202" ht="74.25" customHeight="1" x14ac:dyDescent="0.3"/>
    <row r="7203" ht="74.25" customHeight="1" x14ac:dyDescent="0.3"/>
    <row r="7204" ht="74.25" customHeight="1" x14ac:dyDescent="0.3"/>
    <row r="7205" ht="74.25" customHeight="1" x14ac:dyDescent="0.3"/>
    <row r="7206" ht="74.25" customHeight="1" x14ac:dyDescent="0.3"/>
    <row r="7207" ht="74.25" customHeight="1" x14ac:dyDescent="0.3"/>
    <row r="7208" ht="74.25" customHeight="1" x14ac:dyDescent="0.3"/>
    <row r="7209" ht="74.25" customHeight="1" x14ac:dyDescent="0.3"/>
    <row r="7210" ht="74.25" customHeight="1" x14ac:dyDescent="0.3"/>
    <row r="7211" ht="74.25" customHeight="1" x14ac:dyDescent="0.3"/>
    <row r="7212" ht="74.25" customHeight="1" x14ac:dyDescent="0.3"/>
    <row r="7213" ht="74.25" customHeight="1" x14ac:dyDescent="0.3"/>
    <row r="7214" ht="74.25" customHeight="1" x14ac:dyDescent="0.3"/>
    <row r="7215" ht="74.25" customHeight="1" x14ac:dyDescent="0.3"/>
    <row r="7216" ht="74.25" customHeight="1" x14ac:dyDescent="0.3"/>
    <row r="7217" ht="74.25" customHeight="1" x14ac:dyDescent="0.3"/>
    <row r="7218" ht="74.25" customHeight="1" x14ac:dyDescent="0.3"/>
    <row r="7219" ht="74.25" customHeight="1" x14ac:dyDescent="0.3"/>
    <row r="7220" ht="74.25" customHeight="1" x14ac:dyDescent="0.3"/>
    <row r="7221" ht="74.25" customHeight="1" x14ac:dyDescent="0.3"/>
    <row r="7222" ht="74.25" customHeight="1" x14ac:dyDescent="0.3"/>
    <row r="7223" ht="74.25" customHeight="1" x14ac:dyDescent="0.3"/>
    <row r="7224" ht="74.25" customHeight="1" x14ac:dyDescent="0.3"/>
    <row r="7225" ht="74.25" customHeight="1" x14ac:dyDescent="0.3"/>
    <row r="7226" ht="74.25" customHeight="1" x14ac:dyDescent="0.3"/>
    <row r="7227" ht="74.25" customHeight="1" x14ac:dyDescent="0.3"/>
    <row r="7228" ht="74.25" customHeight="1" x14ac:dyDescent="0.3"/>
    <row r="7229" ht="74.25" customHeight="1" x14ac:dyDescent="0.3"/>
    <row r="7230" ht="74.25" customHeight="1" x14ac:dyDescent="0.3"/>
    <row r="7231" ht="74.25" customHeight="1" x14ac:dyDescent="0.3"/>
    <row r="7232" ht="74.25" customHeight="1" x14ac:dyDescent="0.3"/>
    <row r="7233" ht="74.25" customHeight="1" x14ac:dyDescent="0.3"/>
    <row r="7234" ht="74.25" customHeight="1" x14ac:dyDescent="0.3"/>
    <row r="7235" ht="74.25" customHeight="1" x14ac:dyDescent="0.3"/>
    <row r="7236" ht="74.25" customHeight="1" x14ac:dyDescent="0.3"/>
    <row r="7237" ht="74.25" customHeight="1" x14ac:dyDescent="0.3"/>
    <row r="7238" ht="74.25" customHeight="1" x14ac:dyDescent="0.3"/>
    <row r="7239" ht="74.25" customHeight="1" x14ac:dyDescent="0.3"/>
    <row r="7240" ht="74.25" customHeight="1" x14ac:dyDescent="0.3"/>
    <row r="7241" ht="74.25" customHeight="1" x14ac:dyDescent="0.3"/>
    <row r="7242" ht="74.25" customHeight="1" x14ac:dyDescent="0.3"/>
    <row r="7243" ht="74.25" customHeight="1" x14ac:dyDescent="0.3"/>
    <row r="7244" ht="74.25" customHeight="1" x14ac:dyDescent="0.3"/>
    <row r="7245" ht="74.25" customHeight="1" x14ac:dyDescent="0.3"/>
    <row r="7246" ht="74.25" customHeight="1" x14ac:dyDescent="0.3"/>
    <row r="7247" ht="74.25" customHeight="1" x14ac:dyDescent="0.3"/>
    <row r="7248" ht="74.25" customHeight="1" x14ac:dyDescent="0.3"/>
    <row r="7249" ht="74.25" customHeight="1" x14ac:dyDescent="0.3"/>
    <row r="7250" ht="74.25" customHeight="1" x14ac:dyDescent="0.3"/>
    <row r="7251" ht="74.25" customHeight="1" x14ac:dyDescent="0.3"/>
    <row r="7252" ht="74.25" customHeight="1" x14ac:dyDescent="0.3"/>
    <row r="7253" ht="74.25" customHeight="1" x14ac:dyDescent="0.3"/>
    <row r="7254" ht="74.25" customHeight="1" x14ac:dyDescent="0.3"/>
    <row r="7255" ht="74.25" customHeight="1" x14ac:dyDescent="0.3"/>
    <row r="7256" ht="74.25" customHeight="1" x14ac:dyDescent="0.3"/>
    <row r="7257" ht="74.25" customHeight="1" x14ac:dyDescent="0.3"/>
    <row r="7258" ht="74.25" customHeight="1" x14ac:dyDescent="0.3"/>
    <row r="7259" ht="74.25" customHeight="1" x14ac:dyDescent="0.3"/>
    <row r="7260" ht="74.25" customHeight="1" x14ac:dyDescent="0.3"/>
    <row r="7261" ht="74.25" customHeight="1" x14ac:dyDescent="0.3"/>
    <row r="7262" ht="74.25" customHeight="1" x14ac:dyDescent="0.3"/>
    <row r="7263" ht="74.25" customHeight="1" x14ac:dyDescent="0.3"/>
    <row r="7264" ht="74.25" customHeight="1" x14ac:dyDescent="0.3"/>
    <row r="7265" ht="74.25" customHeight="1" x14ac:dyDescent="0.3"/>
    <row r="7266" ht="74.25" customHeight="1" x14ac:dyDescent="0.3"/>
    <row r="7267" ht="74.25" customHeight="1" x14ac:dyDescent="0.3"/>
    <row r="7268" ht="74.25" customHeight="1" x14ac:dyDescent="0.3"/>
    <row r="7269" ht="74.25" customHeight="1" x14ac:dyDescent="0.3"/>
    <row r="7270" ht="74.25" customHeight="1" x14ac:dyDescent="0.3"/>
    <row r="7271" ht="74.25" customHeight="1" x14ac:dyDescent="0.3"/>
    <row r="7272" ht="74.25" customHeight="1" x14ac:dyDescent="0.3"/>
    <row r="7273" ht="74.25" customHeight="1" x14ac:dyDescent="0.3"/>
    <row r="7274" ht="74.25" customHeight="1" x14ac:dyDescent="0.3"/>
    <row r="7275" ht="74.25" customHeight="1" x14ac:dyDescent="0.3"/>
    <row r="7276" ht="74.25" customHeight="1" x14ac:dyDescent="0.3"/>
    <row r="7277" ht="74.25" customHeight="1" x14ac:dyDescent="0.3"/>
    <row r="7278" ht="74.25" customHeight="1" x14ac:dyDescent="0.3"/>
    <row r="7279" ht="74.25" customHeight="1" x14ac:dyDescent="0.3"/>
    <row r="7280" ht="74.25" customHeight="1" x14ac:dyDescent="0.3"/>
    <row r="7281" ht="74.25" customHeight="1" x14ac:dyDescent="0.3"/>
    <row r="7282" ht="74.25" customHeight="1" x14ac:dyDescent="0.3"/>
    <row r="7283" ht="74.25" customHeight="1" x14ac:dyDescent="0.3"/>
    <row r="7284" ht="74.25" customHeight="1" x14ac:dyDescent="0.3"/>
    <row r="7285" ht="74.25" customHeight="1" x14ac:dyDescent="0.3"/>
    <row r="7286" ht="74.25" customHeight="1" x14ac:dyDescent="0.3"/>
    <row r="7287" ht="74.25" customHeight="1" x14ac:dyDescent="0.3"/>
    <row r="7288" ht="74.25" customHeight="1" x14ac:dyDescent="0.3"/>
    <row r="7289" ht="74.25" customHeight="1" x14ac:dyDescent="0.3"/>
    <row r="7290" ht="74.25" customHeight="1" x14ac:dyDescent="0.3"/>
    <row r="7291" ht="74.25" customHeight="1" x14ac:dyDescent="0.3"/>
    <row r="7292" ht="74.25" customHeight="1" x14ac:dyDescent="0.3"/>
    <row r="7293" ht="74.25" customHeight="1" x14ac:dyDescent="0.3"/>
    <row r="7294" ht="74.25" customHeight="1" x14ac:dyDescent="0.3"/>
    <row r="7295" ht="74.25" customHeight="1" x14ac:dyDescent="0.3"/>
    <row r="7296" ht="74.25" customHeight="1" x14ac:dyDescent="0.3"/>
    <row r="7297" ht="74.25" customHeight="1" x14ac:dyDescent="0.3"/>
    <row r="7298" ht="74.25" customHeight="1" x14ac:dyDescent="0.3"/>
    <row r="7299" ht="74.25" customHeight="1" x14ac:dyDescent="0.3"/>
    <row r="7300" ht="74.25" customHeight="1" x14ac:dyDescent="0.3"/>
    <row r="7301" ht="74.25" customHeight="1" x14ac:dyDescent="0.3"/>
    <row r="7302" ht="74.25" customHeight="1" x14ac:dyDescent="0.3"/>
    <row r="7303" ht="74.25" customHeight="1" x14ac:dyDescent="0.3"/>
    <row r="7304" ht="74.25" customHeight="1" x14ac:dyDescent="0.3"/>
    <row r="7305" ht="74.25" customHeight="1" x14ac:dyDescent="0.3"/>
    <row r="7306" ht="74.25" customHeight="1" x14ac:dyDescent="0.3"/>
    <row r="7307" ht="74.25" customHeight="1" x14ac:dyDescent="0.3"/>
    <row r="7308" ht="74.25" customHeight="1" x14ac:dyDescent="0.3"/>
    <row r="7309" ht="74.25" customHeight="1" x14ac:dyDescent="0.3"/>
    <row r="7310" ht="74.25" customHeight="1" x14ac:dyDescent="0.3"/>
    <row r="7311" ht="74.25" customHeight="1" x14ac:dyDescent="0.3"/>
    <row r="7312" ht="74.25" customHeight="1" x14ac:dyDescent="0.3"/>
    <row r="7313" ht="74.25" customHeight="1" x14ac:dyDescent="0.3"/>
    <row r="7314" ht="74.25" customHeight="1" x14ac:dyDescent="0.3"/>
    <row r="7315" ht="74.25" customHeight="1" x14ac:dyDescent="0.3"/>
    <row r="7316" ht="74.25" customHeight="1" x14ac:dyDescent="0.3"/>
    <row r="7317" ht="74.25" customHeight="1" x14ac:dyDescent="0.3"/>
    <row r="7318" ht="74.25" customHeight="1" x14ac:dyDescent="0.3"/>
    <row r="7319" ht="74.25" customHeight="1" x14ac:dyDescent="0.3"/>
    <row r="7320" ht="74.25" customHeight="1" x14ac:dyDescent="0.3"/>
    <row r="7321" ht="74.25" customHeight="1" x14ac:dyDescent="0.3"/>
    <row r="7322" ht="74.25" customHeight="1" x14ac:dyDescent="0.3"/>
    <row r="7323" ht="74.25" customHeight="1" x14ac:dyDescent="0.3"/>
    <row r="7324" ht="74.25" customHeight="1" x14ac:dyDescent="0.3"/>
    <row r="7325" ht="74.25" customHeight="1" x14ac:dyDescent="0.3"/>
    <row r="7326" ht="74.25" customHeight="1" x14ac:dyDescent="0.3"/>
    <row r="7327" ht="74.25" customHeight="1" x14ac:dyDescent="0.3"/>
    <row r="7328" ht="74.25" customHeight="1" x14ac:dyDescent="0.3"/>
    <row r="7329" ht="74.25" customHeight="1" x14ac:dyDescent="0.3"/>
    <row r="7330" ht="74.25" customHeight="1" x14ac:dyDescent="0.3"/>
    <row r="7331" ht="74.25" customHeight="1" x14ac:dyDescent="0.3"/>
    <row r="7332" ht="74.25" customHeight="1" x14ac:dyDescent="0.3"/>
    <row r="7333" ht="74.25" customHeight="1" x14ac:dyDescent="0.3"/>
    <row r="7334" ht="74.25" customHeight="1" x14ac:dyDescent="0.3"/>
    <row r="7335" ht="74.25" customHeight="1" x14ac:dyDescent="0.3"/>
    <row r="7336" ht="74.25" customHeight="1" x14ac:dyDescent="0.3"/>
    <row r="7337" ht="74.25" customHeight="1" x14ac:dyDescent="0.3"/>
    <row r="7338" ht="74.25" customHeight="1" x14ac:dyDescent="0.3"/>
    <row r="7339" ht="74.25" customHeight="1" x14ac:dyDescent="0.3"/>
    <row r="7340" ht="74.25" customHeight="1" x14ac:dyDescent="0.3"/>
    <row r="7341" ht="74.25" customHeight="1" x14ac:dyDescent="0.3"/>
    <row r="7342" ht="74.25" customHeight="1" x14ac:dyDescent="0.3"/>
    <row r="7343" ht="74.25" customHeight="1" x14ac:dyDescent="0.3"/>
    <row r="7344" ht="74.25" customHeight="1" x14ac:dyDescent="0.3"/>
    <row r="7345" ht="74.25" customHeight="1" x14ac:dyDescent="0.3"/>
    <row r="7346" ht="74.25" customHeight="1" x14ac:dyDescent="0.3"/>
    <row r="7347" ht="74.25" customHeight="1" x14ac:dyDescent="0.3"/>
    <row r="7348" ht="74.25" customHeight="1" x14ac:dyDescent="0.3"/>
    <row r="7349" ht="74.25" customHeight="1" x14ac:dyDescent="0.3"/>
    <row r="7350" ht="74.25" customHeight="1" x14ac:dyDescent="0.3"/>
    <row r="7351" ht="74.25" customHeight="1" x14ac:dyDescent="0.3"/>
    <row r="7352" ht="74.25" customHeight="1" x14ac:dyDescent="0.3"/>
    <row r="7353" ht="74.25" customHeight="1" x14ac:dyDescent="0.3"/>
    <row r="7354" ht="74.25" customHeight="1" x14ac:dyDescent="0.3"/>
    <row r="7355" ht="74.25" customHeight="1" x14ac:dyDescent="0.3"/>
    <row r="7356" ht="74.25" customHeight="1" x14ac:dyDescent="0.3"/>
    <row r="7357" ht="74.25" customHeight="1" x14ac:dyDescent="0.3"/>
    <row r="7358" ht="74.25" customHeight="1" x14ac:dyDescent="0.3"/>
    <row r="7359" ht="74.25" customHeight="1" x14ac:dyDescent="0.3"/>
    <row r="7360" ht="74.25" customHeight="1" x14ac:dyDescent="0.3"/>
    <row r="7361" ht="74.25" customHeight="1" x14ac:dyDescent="0.3"/>
    <row r="7362" ht="74.25" customHeight="1" x14ac:dyDescent="0.3"/>
    <row r="7363" ht="74.25" customHeight="1" x14ac:dyDescent="0.3"/>
    <row r="7364" ht="74.25" customHeight="1" x14ac:dyDescent="0.3"/>
    <row r="7365" ht="74.25" customHeight="1" x14ac:dyDescent="0.3"/>
    <row r="7366" ht="74.25" customHeight="1" x14ac:dyDescent="0.3"/>
    <row r="7367" ht="74.25" customHeight="1" x14ac:dyDescent="0.3"/>
    <row r="7368" ht="74.25" customHeight="1" x14ac:dyDescent="0.3"/>
    <row r="7369" ht="74.25" customHeight="1" x14ac:dyDescent="0.3"/>
    <row r="7370" ht="74.25" customHeight="1" x14ac:dyDescent="0.3"/>
    <row r="7371" ht="74.25" customHeight="1" x14ac:dyDescent="0.3"/>
    <row r="7372" ht="74.25" customHeight="1" x14ac:dyDescent="0.3"/>
    <row r="7373" ht="74.25" customHeight="1" x14ac:dyDescent="0.3"/>
    <row r="7374" ht="74.25" customHeight="1" x14ac:dyDescent="0.3"/>
    <row r="7375" ht="74.25" customHeight="1" x14ac:dyDescent="0.3"/>
    <row r="7376" ht="74.25" customHeight="1" x14ac:dyDescent="0.3"/>
    <row r="7377" ht="74.25" customHeight="1" x14ac:dyDescent="0.3"/>
    <row r="7378" ht="74.25" customHeight="1" x14ac:dyDescent="0.3"/>
    <row r="7379" ht="74.25" customHeight="1" x14ac:dyDescent="0.3"/>
    <row r="7380" ht="74.25" customHeight="1" x14ac:dyDescent="0.3"/>
    <row r="7381" ht="74.25" customHeight="1" x14ac:dyDescent="0.3"/>
    <row r="7382" ht="74.25" customHeight="1" x14ac:dyDescent="0.3"/>
    <row r="7383" ht="74.25" customHeight="1" x14ac:dyDescent="0.3"/>
    <row r="7384" ht="74.25" customHeight="1" x14ac:dyDescent="0.3"/>
    <row r="7385" ht="74.25" customHeight="1" x14ac:dyDescent="0.3"/>
    <row r="7386" ht="74.25" customHeight="1" x14ac:dyDescent="0.3"/>
    <row r="7387" ht="74.25" customHeight="1" x14ac:dyDescent="0.3"/>
    <row r="7388" ht="74.25" customHeight="1" x14ac:dyDescent="0.3"/>
    <row r="7389" ht="74.25" customHeight="1" x14ac:dyDescent="0.3"/>
    <row r="7390" ht="74.25" customHeight="1" x14ac:dyDescent="0.3"/>
    <row r="7391" ht="74.25" customHeight="1" x14ac:dyDescent="0.3"/>
    <row r="7392" ht="74.25" customHeight="1" x14ac:dyDescent="0.3"/>
    <row r="7393" ht="74.25" customHeight="1" x14ac:dyDescent="0.3"/>
    <row r="7394" ht="74.25" customHeight="1" x14ac:dyDescent="0.3"/>
    <row r="7395" ht="74.25" customHeight="1" x14ac:dyDescent="0.3"/>
    <row r="7396" ht="74.25" customHeight="1" x14ac:dyDescent="0.3"/>
    <row r="7397" ht="74.25" customHeight="1" x14ac:dyDescent="0.3"/>
    <row r="7398" ht="74.25" customHeight="1" x14ac:dyDescent="0.3"/>
    <row r="7399" ht="74.25" customHeight="1" x14ac:dyDescent="0.3"/>
    <row r="7400" ht="74.25" customHeight="1" x14ac:dyDescent="0.3"/>
    <row r="7401" ht="74.25" customHeight="1" x14ac:dyDescent="0.3"/>
    <row r="7402" ht="74.25" customHeight="1" x14ac:dyDescent="0.3"/>
    <row r="7403" ht="74.25" customHeight="1" x14ac:dyDescent="0.3"/>
    <row r="7404" ht="74.25" customHeight="1" x14ac:dyDescent="0.3"/>
    <row r="7405" ht="74.25" customHeight="1" x14ac:dyDescent="0.3"/>
    <row r="7406" ht="74.25" customHeight="1" x14ac:dyDescent="0.3"/>
    <row r="7407" ht="74.25" customHeight="1" x14ac:dyDescent="0.3"/>
    <row r="7408" ht="74.25" customHeight="1" x14ac:dyDescent="0.3"/>
    <row r="7409" ht="74.25" customHeight="1" x14ac:dyDescent="0.3"/>
    <row r="7410" ht="74.25" customHeight="1" x14ac:dyDescent="0.3"/>
    <row r="7411" ht="74.25" customHeight="1" x14ac:dyDescent="0.3"/>
    <row r="7412" ht="74.25" customHeight="1" x14ac:dyDescent="0.3"/>
    <row r="7413" ht="74.25" customHeight="1" x14ac:dyDescent="0.3"/>
    <row r="7414" ht="74.25" customHeight="1" x14ac:dyDescent="0.3"/>
    <row r="7415" ht="74.25" customHeight="1" x14ac:dyDescent="0.3"/>
    <row r="7416" ht="74.25" customHeight="1" x14ac:dyDescent="0.3"/>
    <row r="7417" ht="74.25" customHeight="1" x14ac:dyDescent="0.3"/>
    <row r="7418" ht="74.25" customHeight="1" x14ac:dyDescent="0.3"/>
    <row r="7419" ht="74.25" customHeight="1" x14ac:dyDescent="0.3"/>
    <row r="7420" ht="74.25" customHeight="1" x14ac:dyDescent="0.3"/>
    <row r="7421" ht="74.25" customHeight="1" x14ac:dyDescent="0.3"/>
    <row r="7422" ht="74.25" customHeight="1" x14ac:dyDescent="0.3"/>
    <row r="7423" ht="74.25" customHeight="1" x14ac:dyDescent="0.3"/>
    <row r="7424" ht="74.25" customHeight="1" x14ac:dyDescent="0.3"/>
    <row r="7425" ht="74.25" customHeight="1" x14ac:dyDescent="0.3"/>
    <row r="7426" ht="74.25" customHeight="1" x14ac:dyDescent="0.3"/>
    <row r="7427" ht="74.25" customHeight="1" x14ac:dyDescent="0.3"/>
    <row r="7428" ht="74.25" customHeight="1" x14ac:dyDescent="0.3"/>
    <row r="7429" ht="74.25" customHeight="1" x14ac:dyDescent="0.3"/>
    <row r="7430" ht="74.25" customHeight="1" x14ac:dyDescent="0.3"/>
    <row r="7431" ht="74.25" customHeight="1" x14ac:dyDescent="0.3"/>
    <row r="7432" ht="74.25" customHeight="1" x14ac:dyDescent="0.3"/>
    <row r="7433" ht="74.25" customHeight="1" x14ac:dyDescent="0.3"/>
    <row r="7434" ht="74.25" customHeight="1" x14ac:dyDescent="0.3"/>
    <row r="7435" ht="74.25" customHeight="1" x14ac:dyDescent="0.3"/>
    <row r="7436" ht="74.25" customHeight="1" x14ac:dyDescent="0.3"/>
    <row r="7437" ht="74.25" customHeight="1" x14ac:dyDescent="0.3"/>
    <row r="7438" ht="74.25" customHeight="1" x14ac:dyDescent="0.3"/>
    <row r="7439" ht="74.25" customHeight="1" x14ac:dyDescent="0.3"/>
    <row r="7440" ht="74.25" customHeight="1" x14ac:dyDescent="0.3"/>
    <row r="7441" ht="74.25" customHeight="1" x14ac:dyDescent="0.3"/>
    <row r="7442" ht="74.25" customHeight="1" x14ac:dyDescent="0.3"/>
    <row r="7443" ht="74.25" customHeight="1" x14ac:dyDescent="0.3"/>
    <row r="7444" ht="74.25" customHeight="1" x14ac:dyDescent="0.3"/>
    <row r="7445" ht="74.25" customHeight="1" x14ac:dyDescent="0.3"/>
    <row r="7446" ht="74.25" customHeight="1" x14ac:dyDescent="0.3"/>
    <row r="7447" ht="74.25" customHeight="1" x14ac:dyDescent="0.3"/>
    <row r="7448" ht="74.25" customHeight="1" x14ac:dyDescent="0.3"/>
    <row r="7449" ht="74.25" customHeight="1" x14ac:dyDescent="0.3"/>
    <row r="7450" ht="74.25" customHeight="1" x14ac:dyDescent="0.3"/>
    <row r="7451" ht="74.25" customHeight="1" x14ac:dyDescent="0.3"/>
    <row r="7452" ht="74.25" customHeight="1" x14ac:dyDescent="0.3"/>
    <row r="7453" ht="74.25" customHeight="1" x14ac:dyDescent="0.3"/>
    <row r="7454" ht="74.25" customHeight="1" x14ac:dyDescent="0.3"/>
    <row r="7455" ht="74.25" customHeight="1" x14ac:dyDescent="0.3"/>
    <row r="7456" ht="74.25" customHeight="1" x14ac:dyDescent="0.3"/>
    <row r="7457" ht="74.25" customHeight="1" x14ac:dyDescent="0.3"/>
    <row r="7458" ht="74.25" customHeight="1" x14ac:dyDescent="0.3"/>
    <row r="7459" ht="74.25" customHeight="1" x14ac:dyDescent="0.3"/>
    <row r="7460" ht="74.25" customHeight="1" x14ac:dyDescent="0.3"/>
    <row r="7461" ht="74.25" customHeight="1" x14ac:dyDescent="0.3"/>
    <row r="7462" ht="74.25" customHeight="1" x14ac:dyDescent="0.3"/>
    <row r="7463" ht="74.25" customHeight="1" x14ac:dyDescent="0.3"/>
    <row r="7464" ht="74.25" customHeight="1" x14ac:dyDescent="0.3"/>
    <row r="7465" ht="74.25" customHeight="1" x14ac:dyDescent="0.3"/>
    <row r="7466" ht="74.25" customHeight="1" x14ac:dyDescent="0.3"/>
    <row r="7467" ht="74.25" customHeight="1" x14ac:dyDescent="0.3"/>
    <row r="7468" ht="74.25" customHeight="1" x14ac:dyDescent="0.3"/>
    <row r="7469" ht="74.25" customHeight="1" x14ac:dyDescent="0.3"/>
    <row r="7470" ht="74.25" customHeight="1" x14ac:dyDescent="0.3"/>
    <row r="7471" ht="74.25" customHeight="1" x14ac:dyDescent="0.3"/>
    <row r="7472" ht="74.25" customHeight="1" x14ac:dyDescent="0.3"/>
    <row r="7473" ht="74.25" customHeight="1" x14ac:dyDescent="0.3"/>
    <row r="7474" ht="74.25" customHeight="1" x14ac:dyDescent="0.3"/>
    <row r="7475" ht="74.25" customHeight="1" x14ac:dyDescent="0.3"/>
    <row r="7476" ht="74.25" customHeight="1" x14ac:dyDescent="0.3"/>
    <row r="7477" ht="74.25" customHeight="1" x14ac:dyDescent="0.3"/>
    <row r="7478" ht="74.25" customHeight="1" x14ac:dyDescent="0.3"/>
    <row r="7479" ht="74.25" customHeight="1" x14ac:dyDescent="0.3"/>
    <row r="7480" ht="74.25" customHeight="1" x14ac:dyDescent="0.3"/>
    <row r="7481" ht="74.25" customHeight="1" x14ac:dyDescent="0.3"/>
    <row r="7482" ht="74.25" customHeight="1" x14ac:dyDescent="0.3"/>
    <row r="7483" ht="74.25" customHeight="1" x14ac:dyDescent="0.3"/>
    <row r="7484" ht="74.25" customHeight="1" x14ac:dyDescent="0.3"/>
    <row r="7485" ht="74.25" customHeight="1" x14ac:dyDescent="0.3"/>
    <row r="7486" ht="74.25" customHeight="1" x14ac:dyDescent="0.3"/>
    <row r="7487" ht="74.25" customHeight="1" x14ac:dyDescent="0.3"/>
    <row r="7488" ht="74.25" customHeight="1" x14ac:dyDescent="0.3"/>
    <row r="7489" ht="74.25" customHeight="1" x14ac:dyDescent="0.3"/>
    <row r="7490" ht="74.25" customHeight="1" x14ac:dyDescent="0.3"/>
    <row r="7491" ht="74.25" customHeight="1" x14ac:dyDescent="0.3"/>
    <row r="7492" ht="74.25" customHeight="1" x14ac:dyDescent="0.3"/>
    <row r="7493" ht="74.25" customHeight="1" x14ac:dyDescent="0.3"/>
    <row r="7494" ht="74.25" customHeight="1" x14ac:dyDescent="0.3"/>
    <row r="7495" ht="74.25" customHeight="1" x14ac:dyDescent="0.3"/>
    <row r="7496" ht="74.25" customHeight="1" x14ac:dyDescent="0.3"/>
    <row r="7497" ht="74.25" customHeight="1" x14ac:dyDescent="0.3"/>
    <row r="7498" ht="74.25" customHeight="1" x14ac:dyDescent="0.3"/>
    <row r="7499" ht="74.25" customHeight="1" x14ac:dyDescent="0.3"/>
    <row r="7500" ht="74.25" customHeight="1" x14ac:dyDescent="0.3"/>
    <row r="7501" ht="74.25" customHeight="1" x14ac:dyDescent="0.3"/>
    <row r="7502" ht="74.25" customHeight="1" x14ac:dyDescent="0.3"/>
    <row r="7503" ht="74.25" customHeight="1" x14ac:dyDescent="0.3"/>
    <row r="7504" ht="74.25" customHeight="1" x14ac:dyDescent="0.3"/>
    <row r="7505" ht="74.25" customHeight="1" x14ac:dyDescent="0.3"/>
    <row r="7506" ht="74.25" customHeight="1" x14ac:dyDescent="0.3"/>
    <row r="7507" ht="74.25" customHeight="1" x14ac:dyDescent="0.3"/>
    <row r="7508" ht="74.25" customHeight="1" x14ac:dyDescent="0.3"/>
    <row r="7509" ht="74.25" customHeight="1" x14ac:dyDescent="0.3"/>
    <row r="7510" ht="74.25" customHeight="1" x14ac:dyDescent="0.3"/>
    <row r="7511" ht="74.25" customHeight="1" x14ac:dyDescent="0.3"/>
    <row r="7512" ht="74.25" customHeight="1" x14ac:dyDescent="0.3"/>
    <row r="7513" ht="74.25" customHeight="1" x14ac:dyDescent="0.3"/>
    <row r="7514" ht="74.25" customHeight="1" x14ac:dyDescent="0.3"/>
    <row r="7515" ht="74.25" customHeight="1" x14ac:dyDescent="0.3"/>
    <row r="7516" ht="74.25" customHeight="1" x14ac:dyDescent="0.3"/>
    <row r="7517" ht="74.25" customHeight="1" x14ac:dyDescent="0.3"/>
    <row r="7518" ht="74.25" customHeight="1" x14ac:dyDescent="0.3"/>
    <row r="7519" ht="74.25" customHeight="1" x14ac:dyDescent="0.3"/>
    <row r="7520" ht="74.25" customHeight="1" x14ac:dyDescent="0.3"/>
    <row r="7521" ht="74.25" customHeight="1" x14ac:dyDescent="0.3"/>
    <row r="7522" ht="74.25" customHeight="1" x14ac:dyDescent="0.3"/>
    <row r="7523" ht="74.25" customHeight="1" x14ac:dyDescent="0.3"/>
    <row r="7524" ht="74.25" customHeight="1" x14ac:dyDescent="0.3"/>
    <row r="7525" ht="74.25" customHeight="1" x14ac:dyDescent="0.3"/>
    <row r="7526" ht="74.25" customHeight="1" x14ac:dyDescent="0.3"/>
    <row r="7527" ht="74.25" customHeight="1" x14ac:dyDescent="0.3"/>
    <row r="7528" ht="74.25" customHeight="1" x14ac:dyDescent="0.3"/>
    <row r="7529" ht="74.25" customHeight="1" x14ac:dyDescent="0.3"/>
    <row r="7530" ht="74.25" customHeight="1" x14ac:dyDescent="0.3"/>
    <row r="7531" ht="74.25" customHeight="1" x14ac:dyDescent="0.3"/>
    <row r="7532" ht="74.25" customHeight="1" x14ac:dyDescent="0.3"/>
    <row r="7533" ht="74.25" customHeight="1" x14ac:dyDescent="0.3"/>
    <row r="7534" ht="74.25" customHeight="1" x14ac:dyDescent="0.3"/>
    <row r="7535" ht="74.25" customHeight="1" x14ac:dyDescent="0.3"/>
    <row r="7536" ht="74.25" customHeight="1" x14ac:dyDescent="0.3"/>
    <row r="7537" ht="74.25" customHeight="1" x14ac:dyDescent="0.3"/>
    <row r="7538" ht="74.25" customHeight="1" x14ac:dyDescent="0.3"/>
    <row r="7539" ht="74.25" customHeight="1" x14ac:dyDescent="0.3"/>
    <row r="7540" ht="74.25" customHeight="1" x14ac:dyDescent="0.3"/>
    <row r="7541" ht="74.25" customHeight="1" x14ac:dyDescent="0.3"/>
    <row r="7542" ht="74.25" customHeight="1" x14ac:dyDescent="0.3"/>
    <row r="7543" ht="74.25" customHeight="1" x14ac:dyDescent="0.3"/>
    <row r="7544" ht="74.25" customHeight="1" x14ac:dyDescent="0.3"/>
    <row r="7545" ht="74.25" customHeight="1" x14ac:dyDescent="0.3"/>
    <row r="7546" ht="74.25" customHeight="1" x14ac:dyDescent="0.3"/>
    <row r="7547" ht="74.25" customHeight="1" x14ac:dyDescent="0.3"/>
    <row r="7548" ht="74.25" customHeight="1" x14ac:dyDescent="0.3"/>
    <row r="7549" ht="74.25" customHeight="1" x14ac:dyDescent="0.3"/>
    <row r="7550" ht="74.25" customHeight="1" x14ac:dyDescent="0.3"/>
    <row r="7551" ht="74.25" customHeight="1" x14ac:dyDescent="0.3"/>
    <row r="7552" ht="74.25" customHeight="1" x14ac:dyDescent="0.3"/>
    <row r="7553" ht="74.25" customHeight="1" x14ac:dyDescent="0.3"/>
    <row r="7554" ht="74.25" customHeight="1" x14ac:dyDescent="0.3"/>
    <row r="7555" ht="74.25" customHeight="1" x14ac:dyDescent="0.3"/>
    <row r="7556" ht="74.25" customHeight="1" x14ac:dyDescent="0.3"/>
    <row r="7557" ht="74.25" customHeight="1" x14ac:dyDescent="0.3"/>
    <row r="7558" ht="74.25" customHeight="1" x14ac:dyDescent="0.3"/>
    <row r="7559" ht="74.25" customHeight="1" x14ac:dyDescent="0.3"/>
    <row r="7560" ht="74.25" customHeight="1" x14ac:dyDescent="0.3"/>
    <row r="7561" ht="74.25" customHeight="1" x14ac:dyDescent="0.3"/>
    <row r="7562" ht="74.25" customHeight="1" x14ac:dyDescent="0.3"/>
    <row r="7563" ht="74.25" customHeight="1" x14ac:dyDescent="0.3"/>
    <row r="7564" ht="74.25" customHeight="1" x14ac:dyDescent="0.3"/>
    <row r="7565" ht="74.25" customHeight="1" x14ac:dyDescent="0.3"/>
    <row r="7566" ht="74.25" customHeight="1" x14ac:dyDescent="0.3"/>
    <row r="7567" ht="74.25" customHeight="1" x14ac:dyDescent="0.3"/>
    <row r="7568" ht="74.25" customHeight="1" x14ac:dyDescent="0.3"/>
    <row r="7569" ht="74.25" customHeight="1" x14ac:dyDescent="0.3"/>
    <row r="7570" ht="74.25" customHeight="1" x14ac:dyDescent="0.3"/>
    <row r="7571" ht="74.25" customHeight="1" x14ac:dyDescent="0.3"/>
    <row r="7572" ht="74.25" customHeight="1" x14ac:dyDescent="0.3"/>
    <row r="7573" ht="74.25" customHeight="1" x14ac:dyDescent="0.3"/>
    <row r="7574" ht="74.25" customHeight="1" x14ac:dyDescent="0.3"/>
    <row r="7575" ht="74.25" customHeight="1" x14ac:dyDescent="0.3"/>
    <row r="7576" ht="74.25" customHeight="1" x14ac:dyDescent="0.3"/>
    <row r="7577" ht="74.25" customHeight="1" x14ac:dyDescent="0.3"/>
    <row r="7578" ht="74.25" customHeight="1" x14ac:dyDescent="0.3"/>
    <row r="7579" ht="74.25" customHeight="1" x14ac:dyDescent="0.3"/>
    <row r="7580" ht="74.25" customHeight="1" x14ac:dyDescent="0.3"/>
    <row r="7581" ht="74.25" customHeight="1" x14ac:dyDescent="0.3"/>
    <row r="7582" ht="74.25" customHeight="1" x14ac:dyDescent="0.3"/>
    <row r="7583" ht="74.25" customHeight="1" x14ac:dyDescent="0.3"/>
    <row r="7584" ht="74.25" customHeight="1" x14ac:dyDescent="0.3"/>
    <row r="7585" ht="74.25" customHeight="1" x14ac:dyDescent="0.3"/>
    <row r="7586" ht="74.25" customHeight="1" x14ac:dyDescent="0.3"/>
    <row r="7587" ht="74.25" customHeight="1" x14ac:dyDescent="0.3"/>
    <row r="7588" ht="74.25" customHeight="1" x14ac:dyDescent="0.3"/>
    <row r="7589" ht="74.25" customHeight="1" x14ac:dyDescent="0.3"/>
    <row r="7590" ht="74.25" customHeight="1" x14ac:dyDescent="0.3"/>
    <row r="7591" ht="74.25" customHeight="1" x14ac:dyDescent="0.3"/>
    <row r="7592" ht="74.25" customHeight="1" x14ac:dyDescent="0.3"/>
    <row r="7593" ht="74.25" customHeight="1" x14ac:dyDescent="0.3"/>
    <row r="7594" ht="74.25" customHeight="1" x14ac:dyDescent="0.3"/>
    <row r="7595" ht="74.25" customHeight="1" x14ac:dyDescent="0.3"/>
    <row r="7596" ht="74.25" customHeight="1" x14ac:dyDescent="0.3"/>
    <row r="7597" ht="74.25" customHeight="1" x14ac:dyDescent="0.3"/>
    <row r="7598" ht="74.25" customHeight="1" x14ac:dyDescent="0.3"/>
    <row r="7599" ht="74.25" customHeight="1" x14ac:dyDescent="0.3"/>
    <row r="7600" ht="74.25" customHeight="1" x14ac:dyDescent="0.3"/>
    <row r="7601" ht="74.25" customHeight="1" x14ac:dyDescent="0.3"/>
    <row r="7602" ht="74.25" customHeight="1" x14ac:dyDescent="0.3"/>
    <row r="7603" ht="74.25" customHeight="1" x14ac:dyDescent="0.3"/>
    <row r="7604" ht="74.25" customHeight="1" x14ac:dyDescent="0.3"/>
    <row r="7605" ht="74.25" customHeight="1" x14ac:dyDescent="0.3"/>
    <row r="7606" ht="74.25" customHeight="1" x14ac:dyDescent="0.3"/>
    <row r="7607" ht="74.25" customHeight="1" x14ac:dyDescent="0.3"/>
    <row r="7608" ht="74.25" customHeight="1" x14ac:dyDescent="0.3"/>
    <row r="7609" ht="74.25" customHeight="1" x14ac:dyDescent="0.3"/>
    <row r="7610" ht="74.25" customHeight="1" x14ac:dyDescent="0.3"/>
    <row r="7611" ht="74.25" customHeight="1" x14ac:dyDescent="0.3"/>
    <row r="7612" ht="74.25" customHeight="1" x14ac:dyDescent="0.3"/>
    <row r="7613" ht="74.25" customHeight="1" x14ac:dyDescent="0.3"/>
    <row r="7614" ht="74.25" customHeight="1" x14ac:dyDescent="0.3"/>
    <row r="7615" ht="74.25" customHeight="1" x14ac:dyDescent="0.3"/>
    <row r="7616" ht="74.25" customHeight="1" x14ac:dyDescent="0.3"/>
    <row r="7617" ht="74.25" customHeight="1" x14ac:dyDescent="0.3"/>
    <row r="7618" ht="74.25" customHeight="1" x14ac:dyDescent="0.3"/>
    <row r="7619" ht="74.25" customHeight="1" x14ac:dyDescent="0.3"/>
    <row r="7620" ht="74.25" customHeight="1" x14ac:dyDescent="0.3"/>
    <row r="7621" ht="74.25" customHeight="1" x14ac:dyDescent="0.3"/>
    <row r="7622" ht="74.25" customHeight="1" x14ac:dyDescent="0.3"/>
    <row r="7623" ht="74.25" customHeight="1" x14ac:dyDescent="0.3"/>
    <row r="7624" ht="74.25" customHeight="1" x14ac:dyDescent="0.3"/>
    <row r="7625" ht="74.25" customHeight="1" x14ac:dyDescent="0.3"/>
    <row r="7626" ht="74.25" customHeight="1" x14ac:dyDescent="0.3"/>
    <row r="7627" ht="74.25" customHeight="1" x14ac:dyDescent="0.3"/>
    <row r="7628" ht="74.25" customHeight="1" x14ac:dyDescent="0.3"/>
    <row r="7629" ht="74.25" customHeight="1" x14ac:dyDescent="0.3"/>
    <row r="7630" ht="74.25" customHeight="1" x14ac:dyDescent="0.3"/>
    <row r="7631" ht="74.25" customHeight="1" x14ac:dyDescent="0.3"/>
    <row r="7632" ht="74.25" customHeight="1" x14ac:dyDescent="0.3"/>
    <row r="7633" ht="74.25" customHeight="1" x14ac:dyDescent="0.3"/>
    <row r="7634" ht="74.25" customHeight="1" x14ac:dyDescent="0.3"/>
    <row r="7635" ht="74.25" customHeight="1" x14ac:dyDescent="0.3"/>
    <row r="7636" ht="74.25" customHeight="1" x14ac:dyDescent="0.3"/>
    <row r="7637" ht="74.25" customHeight="1" x14ac:dyDescent="0.3"/>
    <row r="7638" ht="74.25" customHeight="1" x14ac:dyDescent="0.3"/>
    <row r="7639" ht="74.25" customHeight="1" x14ac:dyDescent="0.3"/>
    <row r="7640" ht="74.25" customHeight="1" x14ac:dyDescent="0.3"/>
    <row r="7641" ht="74.25" customHeight="1" x14ac:dyDescent="0.3"/>
    <row r="7642" ht="74.25" customHeight="1" x14ac:dyDescent="0.3"/>
    <row r="7643" ht="74.25" customHeight="1" x14ac:dyDescent="0.3"/>
    <row r="7644" ht="74.25" customHeight="1" x14ac:dyDescent="0.3"/>
    <row r="7645" ht="74.25" customHeight="1" x14ac:dyDescent="0.3"/>
    <row r="7646" ht="74.25" customHeight="1" x14ac:dyDescent="0.3"/>
    <row r="7647" ht="74.25" customHeight="1" x14ac:dyDescent="0.3"/>
    <row r="7648" ht="74.25" customHeight="1" x14ac:dyDescent="0.3"/>
    <row r="7649" ht="74.25" customHeight="1" x14ac:dyDescent="0.3"/>
    <row r="7650" ht="74.25" customHeight="1" x14ac:dyDescent="0.3"/>
    <row r="7651" ht="74.25" customHeight="1" x14ac:dyDescent="0.3"/>
    <row r="7652" ht="74.25" customHeight="1" x14ac:dyDescent="0.3"/>
    <row r="7653" ht="74.25" customHeight="1" x14ac:dyDescent="0.3"/>
    <row r="7654" ht="74.25" customHeight="1" x14ac:dyDescent="0.3"/>
    <row r="7655" ht="74.25" customHeight="1" x14ac:dyDescent="0.3"/>
    <row r="7656" ht="74.25" customHeight="1" x14ac:dyDescent="0.3"/>
    <row r="7657" ht="74.25" customHeight="1" x14ac:dyDescent="0.3"/>
    <row r="7658" ht="74.25" customHeight="1" x14ac:dyDescent="0.3"/>
    <row r="7659" ht="74.25" customHeight="1" x14ac:dyDescent="0.3"/>
    <row r="7660" ht="74.25" customHeight="1" x14ac:dyDescent="0.3"/>
    <row r="7661" ht="74.25" customHeight="1" x14ac:dyDescent="0.3"/>
    <row r="7662" ht="74.25" customHeight="1" x14ac:dyDescent="0.3"/>
    <row r="7663" ht="74.25" customHeight="1" x14ac:dyDescent="0.3"/>
    <row r="7664" ht="74.25" customHeight="1" x14ac:dyDescent="0.3"/>
    <row r="7665" ht="74.25" customHeight="1" x14ac:dyDescent="0.3"/>
    <row r="7666" ht="74.25" customHeight="1" x14ac:dyDescent="0.3"/>
    <row r="7667" ht="74.25" customHeight="1" x14ac:dyDescent="0.3"/>
    <row r="7668" ht="74.25" customHeight="1" x14ac:dyDescent="0.3"/>
    <row r="7669" ht="74.25" customHeight="1" x14ac:dyDescent="0.3"/>
    <row r="7670" ht="74.25" customHeight="1" x14ac:dyDescent="0.3"/>
    <row r="7671" ht="74.25" customHeight="1" x14ac:dyDescent="0.3"/>
    <row r="7672" ht="74.25" customHeight="1" x14ac:dyDescent="0.3"/>
    <row r="7673" ht="74.25" customHeight="1" x14ac:dyDescent="0.3"/>
    <row r="7674" ht="74.25" customHeight="1" x14ac:dyDescent="0.3"/>
    <row r="7675" ht="74.25" customHeight="1" x14ac:dyDescent="0.3"/>
    <row r="7676" ht="74.25" customHeight="1" x14ac:dyDescent="0.3"/>
    <row r="7677" ht="74.25" customHeight="1" x14ac:dyDescent="0.3"/>
    <row r="7678" ht="74.25" customHeight="1" x14ac:dyDescent="0.3"/>
    <row r="7679" ht="74.25" customHeight="1" x14ac:dyDescent="0.3"/>
    <row r="7680" ht="74.25" customHeight="1" x14ac:dyDescent="0.3"/>
    <row r="7681" ht="74.25" customHeight="1" x14ac:dyDescent="0.3"/>
    <row r="7682" ht="74.25" customHeight="1" x14ac:dyDescent="0.3"/>
    <row r="7683" ht="74.25" customHeight="1" x14ac:dyDescent="0.3"/>
    <row r="7684" ht="74.25" customHeight="1" x14ac:dyDescent="0.3"/>
    <row r="7685" ht="74.25" customHeight="1" x14ac:dyDescent="0.3"/>
    <row r="7686" ht="74.25" customHeight="1" x14ac:dyDescent="0.3"/>
    <row r="7687" ht="74.25" customHeight="1" x14ac:dyDescent="0.3"/>
    <row r="7688" ht="74.25" customHeight="1" x14ac:dyDescent="0.3"/>
    <row r="7689" ht="74.25" customHeight="1" x14ac:dyDescent="0.3"/>
    <row r="7690" ht="74.25" customHeight="1" x14ac:dyDescent="0.3"/>
    <row r="7691" ht="74.25" customHeight="1" x14ac:dyDescent="0.3"/>
    <row r="7692" ht="74.25" customHeight="1" x14ac:dyDescent="0.3"/>
    <row r="7693" ht="74.25" customHeight="1" x14ac:dyDescent="0.3"/>
    <row r="7694" ht="74.25" customHeight="1" x14ac:dyDescent="0.3"/>
    <row r="7695" ht="74.25" customHeight="1" x14ac:dyDescent="0.3"/>
    <row r="7696" ht="74.25" customHeight="1" x14ac:dyDescent="0.3"/>
    <row r="7697" ht="74.25" customHeight="1" x14ac:dyDescent="0.3"/>
    <row r="7698" ht="74.25" customHeight="1" x14ac:dyDescent="0.3"/>
    <row r="7699" ht="74.25" customHeight="1" x14ac:dyDescent="0.3"/>
    <row r="7700" ht="74.25" customHeight="1" x14ac:dyDescent="0.3"/>
    <row r="7701" ht="74.25" customHeight="1" x14ac:dyDescent="0.3"/>
    <row r="7702" ht="74.25" customHeight="1" x14ac:dyDescent="0.3"/>
    <row r="7703" ht="74.25" customHeight="1" x14ac:dyDescent="0.3"/>
    <row r="7704" ht="74.25" customHeight="1" x14ac:dyDescent="0.3"/>
    <row r="7705" ht="74.25" customHeight="1" x14ac:dyDescent="0.3"/>
    <row r="7706" ht="74.25" customHeight="1" x14ac:dyDescent="0.3"/>
    <row r="7707" ht="74.25" customHeight="1" x14ac:dyDescent="0.3"/>
    <row r="7708" ht="74.25" customHeight="1" x14ac:dyDescent="0.3"/>
    <row r="7709" ht="74.25" customHeight="1" x14ac:dyDescent="0.3"/>
    <row r="7710" ht="74.25" customHeight="1" x14ac:dyDescent="0.3"/>
    <row r="7711" ht="74.25" customHeight="1" x14ac:dyDescent="0.3"/>
    <row r="7712" ht="74.25" customHeight="1" x14ac:dyDescent="0.3"/>
    <row r="7713" ht="74.25" customHeight="1" x14ac:dyDescent="0.3"/>
    <row r="7714" ht="74.25" customHeight="1" x14ac:dyDescent="0.3"/>
    <row r="7715" ht="74.25" customHeight="1" x14ac:dyDescent="0.3"/>
    <row r="7716" ht="74.25" customHeight="1" x14ac:dyDescent="0.3"/>
    <row r="7717" ht="74.25" customHeight="1" x14ac:dyDescent="0.3"/>
    <row r="7718" ht="74.25" customHeight="1" x14ac:dyDescent="0.3"/>
    <row r="7719" ht="74.25" customHeight="1" x14ac:dyDescent="0.3"/>
    <row r="7720" ht="74.25" customHeight="1" x14ac:dyDescent="0.3"/>
    <row r="7721" ht="74.25" customHeight="1" x14ac:dyDescent="0.3"/>
    <row r="7722" ht="74.25" customHeight="1" x14ac:dyDescent="0.3"/>
    <row r="7723" ht="74.25" customHeight="1" x14ac:dyDescent="0.3"/>
    <row r="7724" ht="74.25" customHeight="1" x14ac:dyDescent="0.3"/>
    <row r="7725" ht="74.25" customHeight="1" x14ac:dyDescent="0.3"/>
    <row r="7726" ht="74.25" customHeight="1" x14ac:dyDescent="0.3"/>
    <row r="7727" ht="74.25" customHeight="1" x14ac:dyDescent="0.3"/>
    <row r="7728" ht="74.25" customHeight="1" x14ac:dyDescent="0.3"/>
    <row r="7729" ht="74.25" customHeight="1" x14ac:dyDescent="0.3"/>
    <row r="7730" ht="74.25" customHeight="1" x14ac:dyDescent="0.3"/>
    <row r="7731" ht="74.25" customHeight="1" x14ac:dyDescent="0.3"/>
    <row r="7732" ht="74.25" customHeight="1" x14ac:dyDescent="0.3"/>
    <row r="7733" ht="74.25" customHeight="1" x14ac:dyDescent="0.3"/>
    <row r="7734" ht="74.25" customHeight="1" x14ac:dyDescent="0.3"/>
    <row r="7735" ht="74.25" customHeight="1" x14ac:dyDescent="0.3"/>
    <row r="7736" ht="74.25" customHeight="1" x14ac:dyDescent="0.3"/>
    <row r="7737" ht="74.25" customHeight="1" x14ac:dyDescent="0.3"/>
    <row r="7738" ht="74.25" customHeight="1" x14ac:dyDescent="0.3"/>
    <row r="7739" ht="74.25" customHeight="1" x14ac:dyDescent="0.3"/>
    <row r="7740" ht="74.25" customHeight="1" x14ac:dyDescent="0.3"/>
    <row r="7741" ht="74.25" customHeight="1" x14ac:dyDescent="0.3"/>
    <row r="7742" ht="74.25" customHeight="1" x14ac:dyDescent="0.3"/>
    <row r="7743" ht="74.25" customHeight="1" x14ac:dyDescent="0.3"/>
    <row r="7744" ht="74.25" customHeight="1" x14ac:dyDescent="0.3"/>
    <row r="7745" ht="74.25" customHeight="1" x14ac:dyDescent="0.3"/>
    <row r="7746" ht="74.25" customHeight="1" x14ac:dyDescent="0.3"/>
    <row r="7747" ht="74.25" customHeight="1" x14ac:dyDescent="0.3"/>
    <row r="7748" ht="74.25" customHeight="1" x14ac:dyDescent="0.3"/>
    <row r="7749" ht="74.25" customHeight="1" x14ac:dyDescent="0.3"/>
    <row r="7750" ht="74.25" customHeight="1" x14ac:dyDescent="0.3"/>
    <row r="7751" ht="74.25" customHeight="1" x14ac:dyDescent="0.3"/>
    <row r="7752" ht="74.25" customHeight="1" x14ac:dyDescent="0.3"/>
    <row r="7753" ht="74.25" customHeight="1" x14ac:dyDescent="0.3"/>
    <row r="7754" ht="74.25" customHeight="1" x14ac:dyDescent="0.3"/>
    <row r="7755" ht="74.25" customHeight="1" x14ac:dyDescent="0.3"/>
    <row r="7756" ht="74.25" customHeight="1" x14ac:dyDescent="0.3"/>
    <row r="7757" ht="74.25" customHeight="1" x14ac:dyDescent="0.3"/>
    <row r="7758" ht="74.25" customHeight="1" x14ac:dyDescent="0.3"/>
    <row r="7759" ht="74.25" customHeight="1" x14ac:dyDescent="0.3"/>
    <row r="7760" ht="74.25" customHeight="1" x14ac:dyDescent="0.3"/>
    <row r="7761" ht="74.25" customHeight="1" x14ac:dyDescent="0.3"/>
    <row r="7762" ht="74.25" customHeight="1" x14ac:dyDescent="0.3"/>
    <row r="7763" ht="74.25" customHeight="1" x14ac:dyDescent="0.3"/>
    <row r="7764" ht="74.25" customHeight="1" x14ac:dyDescent="0.3"/>
    <row r="7765" ht="74.25" customHeight="1" x14ac:dyDescent="0.3"/>
    <row r="7766" ht="74.25" customHeight="1" x14ac:dyDescent="0.3"/>
    <row r="7767" ht="74.25" customHeight="1" x14ac:dyDescent="0.3"/>
    <row r="7768" ht="74.25" customHeight="1" x14ac:dyDescent="0.3"/>
    <row r="7769" ht="74.25" customHeight="1" x14ac:dyDescent="0.3"/>
    <row r="7770" ht="74.25" customHeight="1" x14ac:dyDescent="0.3"/>
    <row r="7771" ht="74.25" customHeight="1" x14ac:dyDescent="0.3"/>
    <row r="7772" ht="74.25" customHeight="1" x14ac:dyDescent="0.3"/>
    <row r="7773" ht="74.25" customHeight="1" x14ac:dyDescent="0.3"/>
    <row r="7774" ht="74.25" customHeight="1" x14ac:dyDescent="0.3"/>
    <row r="7775" ht="74.25" customHeight="1" x14ac:dyDescent="0.3"/>
    <row r="7776" ht="74.25" customHeight="1" x14ac:dyDescent="0.3"/>
    <row r="7777" ht="74.25" customHeight="1" x14ac:dyDescent="0.3"/>
    <row r="7778" ht="74.25" customHeight="1" x14ac:dyDescent="0.3"/>
    <row r="7779" ht="74.25" customHeight="1" x14ac:dyDescent="0.3"/>
    <row r="7780" ht="74.25" customHeight="1" x14ac:dyDescent="0.3"/>
    <row r="7781" ht="74.25" customHeight="1" x14ac:dyDescent="0.3"/>
    <row r="7782" ht="74.25" customHeight="1" x14ac:dyDescent="0.3"/>
    <row r="7783" ht="74.25" customHeight="1" x14ac:dyDescent="0.3"/>
    <row r="7784" ht="74.25" customHeight="1" x14ac:dyDescent="0.3"/>
    <row r="7785" ht="74.25" customHeight="1" x14ac:dyDescent="0.3"/>
    <row r="7786" ht="74.25" customHeight="1" x14ac:dyDescent="0.3"/>
    <row r="7787" ht="74.25" customHeight="1" x14ac:dyDescent="0.3"/>
    <row r="7788" ht="74.25" customHeight="1" x14ac:dyDescent="0.3"/>
    <row r="7789" ht="74.25" customHeight="1" x14ac:dyDescent="0.3"/>
    <row r="7790" ht="74.25" customHeight="1" x14ac:dyDescent="0.3"/>
    <row r="7791" ht="74.25" customHeight="1" x14ac:dyDescent="0.3"/>
    <row r="7792" ht="74.25" customHeight="1" x14ac:dyDescent="0.3"/>
    <row r="7793" ht="74.25" customHeight="1" x14ac:dyDescent="0.3"/>
    <row r="7794" ht="74.25" customHeight="1" x14ac:dyDescent="0.3"/>
    <row r="7795" ht="74.25" customHeight="1" x14ac:dyDescent="0.3"/>
    <row r="7796" ht="74.25" customHeight="1" x14ac:dyDescent="0.3"/>
    <row r="7797" ht="74.25" customHeight="1" x14ac:dyDescent="0.3"/>
    <row r="7798" ht="74.25" customHeight="1" x14ac:dyDescent="0.3"/>
    <row r="7799" ht="74.25" customHeight="1" x14ac:dyDescent="0.3"/>
    <row r="7800" ht="74.25" customHeight="1" x14ac:dyDescent="0.3"/>
    <row r="7801" ht="74.25" customHeight="1" x14ac:dyDescent="0.3"/>
    <row r="7802" ht="74.25" customHeight="1" x14ac:dyDescent="0.3"/>
    <row r="7803" ht="74.25" customHeight="1" x14ac:dyDescent="0.3"/>
    <row r="7804" ht="74.25" customHeight="1" x14ac:dyDescent="0.3"/>
    <row r="7805" ht="74.25" customHeight="1" x14ac:dyDescent="0.3"/>
    <row r="7806" ht="74.25" customHeight="1" x14ac:dyDescent="0.3"/>
    <row r="7807" ht="74.25" customHeight="1" x14ac:dyDescent="0.3"/>
    <row r="7808" ht="74.25" customHeight="1" x14ac:dyDescent="0.3"/>
    <row r="7809" ht="74.25" customHeight="1" x14ac:dyDescent="0.3"/>
    <row r="7810" ht="74.25" customHeight="1" x14ac:dyDescent="0.3"/>
    <row r="7811" ht="74.25" customHeight="1" x14ac:dyDescent="0.3"/>
    <row r="7812" ht="74.25" customHeight="1" x14ac:dyDescent="0.3"/>
    <row r="7813" ht="74.25" customHeight="1" x14ac:dyDescent="0.3"/>
    <row r="7814" ht="74.25" customHeight="1" x14ac:dyDescent="0.3"/>
    <row r="7815" ht="74.25" customHeight="1" x14ac:dyDescent="0.3"/>
    <row r="7816" ht="74.25" customHeight="1" x14ac:dyDescent="0.3"/>
    <row r="7817" ht="74.25" customHeight="1" x14ac:dyDescent="0.3"/>
    <row r="7818" ht="74.25" customHeight="1" x14ac:dyDescent="0.3"/>
    <row r="7819" ht="74.25" customHeight="1" x14ac:dyDescent="0.3"/>
    <row r="7820" ht="74.25" customHeight="1" x14ac:dyDescent="0.3"/>
    <row r="7821" ht="74.25" customHeight="1" x14ac:dyDescent="0.3"/>
    <row r="7822" ht="74.25" customHeight="1" x14ac:dyDescent="0.3"/>
    <row r="7823" ht="74.25" customHeight="1" x14ac:dyDescent="0.3"/>
    <row r="7824" ht="74.25" customHeight="1" x14ac:dyDescent="0.3"/>
    <row r="7825" ht="74.25" customHeight="1" x14ac:dyDescent="0.3"/>
    <row r="7826" ht="74.25" customHeight="1" x14ac:dyDescent="0.3"/>
    <row r="7827" ht="74.25" customHeight="1" x14ac:dyDescent="0.3"/>
    <row r="7828" ht="74.25" customHeight="1" x14ac:dyDescent="0.3"/>
    <row r="7829" ht="74.25" customHeight="1" x14ac:dyDescent="0.3"/>
    <row r="7830" ht="74.25" customHeight="1" x14ac:dyDescent="0.3"/>
    <row r="7831" ht="74.25" customHeight="1" x14ac:dyDescent="0.3"/>
    <row r="7832" ht="74.25" customHeight="1" x14ac:dyDescent="0.3"/>
    <row r="7833" ht="74.25" customHeight="1" x14ac:dyDescent="0.3"/>
    <row r="7834" ht="74.25" customHeight="1" x14ac:dyDescent="0.3"/>
    <row r="7835" ht="74.25" customHeight="1" x14ac:dyDescent="0.3"/>
    <row r="7836" ht="74.25" customHeight="1" x14ac:dyDescent="0.3"/>
    <row r="7837" ht="74.25" customHeight="1" x14ac:dyDescent="0.3"/>
    <row r="7838" ht="74.25" customHeight="1" x14ac:dyDescent="0.3"/>
    <row r="7839" ht="74.25" customHeight="1" x14ac:dyDescent="0.3"/>
    <row r="7840" ht="74.25" customHeight="1" x14ac:dyDescent="0.3"/>
    <row r="7841" ht="74.25" customHeight="1" x14ac:dyDescent="0.3"/>
    <row r="7842" ht="74.25" customHeight="1" x14ac:dyDescent="0.3"/>
    <row r="7843" ht="74.25" customHeight="1" x14ac:dyDescent="0.3"/>
    <row r="7844" ht="74.25" customHeight="1" x14ac:dyDescent="0.3"/>
    <row r="7845" ht="74.25" customHeight="1" x14ac:dyDescent="0.3"/>
    <row r="7846" ht="74.25" customHeight="1" x14ac:dyDescent="0.3"/>
    <row r="7847" ht="74.25" customHeight="1" x14ac:dyDescent="0.3"/>
    <row r="7848" ht="74.25" customHeight="1" x14ac:dyDescent="0.3"/>
    <row r="7849" ht="74.25" customHeight="1" x14ac:dyDescent="0.3"/>
    <row r="7850" ht="74.25" customHeight="1" x14ac:dyDescent="0.3"/>
    <row r="7851" ht="74.25" customHeight="1" x14ac:dyDescent="0.3"/>
    <row r="7852" ht="74.25" customHeight="1" x14ac:dyDescent="0.3"/>
    <row r="7853" ht="74.25" customHeight="1" x14ac:dyDescent="0.3"/>
    <row r="7854" ht="74.25" customHeight="1" x14ac:dyDescent="0.3"/>
    <row r="7855" ht="74.25" customHeight="1" x14ac:dyDescent="0.3"/>
    <row r="7856" ht="74.25" customHeight="1" x14ac:dyDescent="0.3"/>
    <row r="7857" ht="74.25" customHeight="1" x14ac:dyDescent="0.3"/>
    <row r="7858" ht="74.25" customHeight="1" x14ac:dyDescent="0.3"/>
    <row r="7859" ht="74.25" customHeight="1" x14ac:dyDescent="0.3"/>
    <row r="7860" ht="74.25" customHeight="1" x14ac:dyDescent="0.3"/>
    <row r="7861" ht="74.25" customHeight="1" x14ac:dyDescent="0.3"/>
    <row r="7862" ht="74.25" customHeight="1" x14ac:dyDescent="0.3"/>
    <row r="7863" ht="74.25" customHeight="1" x14ac:dyDescent="0.3"/>
    <row r="7864" ht="74.25" customHeight="1" x14ac:dyDescent="0.3"/>
    <row r="7865" ht="74.25" customHeight="1" x14ac:dyDescent="0.3"/>
    <row r="7866" ht="74.25" customHeight="1" x14ac:dyDescent="0.3"/>
    <row r="7867" ht="74.25" customHeight="1" x14ac:dyDescent="0.3"/>
    <row r="7868" ht="74.25" customHeight="1" x14ac:dyDescent="0.3"/>
    <row r="7869" ht="74.25" customHeight="1" x14ac:dyDescent="0.3"/>
    <row r="7870" ht="74.25" customHeight="1" x14ac:dyDescent="0.3"/>
    <row r="7871" ht="74.25" customHeight="1" x14ac:dyDescent="0.3"/>
    <row r="7872" ht="74.25" customHeight="1" x14ac:dyDescent="0.3"/>
    <row r="7873" ht="74.25" customHeight="1" x14ac:dyDescent="0.3"/>
    <row r="7874" ht="74.25" customHeight="1" x14ac:dyDescent="0.3"/>
    <row r="7875" ht="74.25" customHeight="1" x14ac:dyDescent="0.3"/>
    <row r="7876" ht="74.25" customHeight="1" x14ac:dyDescent="0.3"/>
    <row r="7877" ht="74.25" customHeight="1" x14ac:dyDescent="0.3"/>
    <row r="7878" ht="74.25" customHeight="1" x14ac:dyDescent="0.3"/>
    <row r="7879" ht="74.25" customHeight="1" x14ac:dyDescent="0.3"/>
    <row r="7880" ht="74.25" customHeight="1" x14ac:dyDescent="0.3"/>
    <row r="7881" ht="74.25" customHeight="1" x14ac:dyDescent="0.3"/>
    <row r="7882" ht="74.25" customHeight="1" x14ac:dyDescent="0.3"/>
    <row r="7883" ht="74.25" customHeight="1" x14ac:dyDescent="0.3"/>
    <row r="7884" ht="74.25" customHeight="1" x14ac:dyDescent="0.3"/>
    <row r="7885" ht="74.25" customHeight="1" x14ac:dyDescent="0.3"/>
    <row r="7886" ht="74.25" customHeight="1" x14ac:dyDescent="0.3"/>
    <row r="7887" ht="74.25" customHeight="1" x14ac:dyDescent="0.3"/>
    <row r="7888" ht="74.25" customHeight="1" x14ac:dyDescent="0.3"/>
    <row r="7889" ht="74.25" customHeight="1" x14ac:dyDescent="0.3"/>
    <row r="7890" ht="74.25" customHeight="1" x14ac:dyDescent="0.3"/>
    <row r="7891" ht="74.25" customHeight="1" x14ac:dyDescent="0.3"/>
    <row r="7892" ht="74.25" customHeight="1" x14ac:dyDescent="0.3"/>
    <row r="7893" ht="74.25" customHeight="1" x14ac:dyDescent="0.3"/>
    <row r="7894" ht="74.25" customHeight="1" x14ac:dyDescent="0.3"/>
    <row r="7895" ht="74.25" customHeight="1" x14ac:dyDescent="0.3"/>
    <row r="7896" ht="74.25" customHeight="1" x14ac:dyDescent="0.3"/>
    <row r="7897" ht="74.25" customHeight="1" x14ac:dyDescent="0.3"/>
    <row r="7898" ht="74.25" customHeight="1" x14ac:dyDescent="0.3"/>
    <row r="7899" ht="74.25" customHeight="1" x14ac:dyDescent="0.3"/>
    <row r="7900" ht="74.25" customHeight="1" x14ac:dyDescent="0.3"/>
    <row r="7901" ht="74.25" customHeight="1" x14ac:dyDescent="0.3"/>
    <row r="7902" ht="74.25" customHeight="1" x14ac:dyDescent="0.3"/>
    <row r="7903" ht="74.25" customHeight="1" x14ac:dyDescent="0.3"/>
    <row r="7904" ht="74.25" customHeight="1" x14ac:dyDescent="0.3"/>
    <row r="7905" ht="74.25" customHeight="1" x14ac:dyDescent="0.3"/>
    <row r="7906" ht="74.25" customHeight="1" x14ac:dyDescent="0.3"/>
    <row r="7907" ht="74.25" customHeight="1" x14ac:dyDescent="0.3"/>
    <row r="7908" ht="74.25" customHeight="1" x14ac:dyDescent="0.3"/>
    <row r="7909" ht="74.25" customHeight="1" x14ac:dyDescent="0.3"/>
    <row r="7910" ht="74.25" customHeight="1" x14ac:dyDescent="0.3"/>
    <row r="7911" ht="74.25" customHeight="1" x14ac:dyDescent="0.3"/>
    <row r="7912" ht="74.25" customHeight="1" x14ac:dyDescent="0.3"/>
    <row r="7913" ht="74.25" customHeight="1" x14ac:dyDescent="0.3"/>
    <row r="7914" ht="74.25" customHeight="1" x14ac:dyDescent="0.3"/>
    <row r="7915" ht="74.25" customHeight="1" x14ac:dyDescent="0.3"/>
    <row r="7916" ht="74.25" customHeight="1" x14ac:dyDescent="0.3"/>
    <row r="7917" ht="74.25" customHeight="1" x14ac:dyDescent="0.3"/>
    <row r="7918" ht="74.25" customHeight="1" x14ac:dyDescent="0.3"/>
    <row r="7919" ht="74.25" customHeight="1" x14ac:dyDescent="0.3"/>
    <row r="7920" ht="74.25" customHeight="1" x14ac:dyDescent="0.3"/>
    <row r="7921" ht="74.25" customHeight="1" x14ac:dyDescent="0.3"/>
    <row r="7922" ht="74.25" customHeight="1" x14ac:dyDescent="0.3"/>
    <row r="7923" ht="74.25" customHeight="1" x14ac:dyDescent="0.3"/>
    <row r="7924" ht="74.25" customHeight="1" x14ac:dyDescent="0.3"/>
    <row r="7925" ht="74.25" customHeight="1" x14ac:dyDescent="0.3"/>
    <row r="7926" ht="74.25" customHeight="1" x14ac:dyDescent="0.3"/>
    <row r="7927" ht="74.25" customHeight="1" x14ac:dyDescent="0.3"/>
    <row r="7928" ht="74.25" customHeight="1" x14ac:dyDescent="0.3"/>
    <row r="7929" ht="74.25" customHeight="1" x14ac:dyDescent="0.3"/>
    <row r="7930" ht="74.25" customHeight="1" x14ac:dyDescent="0.3"/>
    <row r="7931" ht="74.25" customHeight="1" x14ac:dyDescent="0.3"/>
    <row r="7932" ht="74.25" customHeight="1" x14ac:dyDescent="0.3"/>
    <row r="7933" ht="74.25" customHeight="1" x14ac:dyDescent="0.3"/>
    <row r="7934" ht="74.25" customHeight="1" x14ac:dyDescent="0.3"/>
    <row r="7935" ht="74.25" customHeight="1" x14ac:dyDescent="0.3"/>
    <row r="7936" ht="74.25" customHeight="1" x14ac:dyDescent="0.3"/>
    <row r="7937" ht="74.25" customHeight="1" x14ac:dyDescent="0.3"/>
    <row r="7938" ht="74.25" customHeight="1" x14ac:dyDescent="0.3"/>
    <row r="7939" ht="74.25" customHeight="1" x14ac:dyDescent="0.3"/>
    <row r="7940" ht="74.25" customHeight="1" x14ac:dyDescent="0.3"/>
    <row r="7941" ht="74.25" customHeight="1" x14ac:dyDescent="0.3"/>
    <row r="7942" ht="74.25" customHeight="1" x14ac:dyDescent="0.3"/>
    <row r="7943" ht="74.25" customHeight="1" x14ac:dyDescent="0.3"/>
    <row r="7944" ht="74.25" customHeight="1" x14ac:dyDescent="0.3"/>
    <row r="7945" ht="74.25" customHeight="1" x14ac:dyDescent="0.3"/>
    <row r="7946" ht="74.25" customHeight="1" x14ac:dyDescent="0.3"/>
    <row r="7947" ht="74.25" customHeight="1" x14ac:dyDescent="0.3"/>
    <row r="7948" ht="74.25" customHeight="1" x14ac:dyDescent="0.3"/>
    <row r="7949" ht="74.25" customHeight="1" x14ac:dyDescent="0.3"/>
    <row r="7950" ht="74.25" customHeight="1" x14ac:dyDescent="0.3"/>
    <row r="7951" ht="74.25" customHeight="1" x14ac:dyDescent="0.3"/>
    <row r="7952" ht="74.25" customHeight="1" x14ac:dyDescent="0.3"/>
    <row r="7953" ht="74.25" customHeight="1" x14ac:dyDescent="0.3"/>
    <row r="7954" ht="74.25" customHeight="1" x14ac:dyDescent="0.3"/>
    <row r="7955" ht="74.25" customHeight="1" x14ac:dyDescent="0.3"/>
    <row r="7956" ht="74.25" customHeight="1" x14ac:dyDescent="0.3"/>
    <row r="7957" ht="74.25" customHeight="1" x14ac:dyDescent="0.3"/>
    <row r="7958" ht="74.25" customHeight="1" x14ac:dyDescent="0.3"/>
    <row r="7959" ht="74.25" customHeight="1" x14ac:dyDescent="0.3"/>
    <row r="7960" ht="74.25" customHeight="1" x14ac:dyDescent="0.3"/>
    <row r="7961" ht="74.25" customHeight="1" x14ac:dyDescent="0.3"/>
    <row r="7962" ht="74.25" customHeight="1" x14ac:dyDescent="0.3"/>
    <row r="7963" ht="74.25" customHeight="1" x14ac:dyDescent="0.3"/>
    <row r="7964" ht="74.25" customHeight="1" x14ac:dyDescent="0.3"/>
    <row r="7965" ht="74.25" customHeight="1" x14ac:dyDescent="0.3"/>
    <row r="7966" ht="74.25" customHeight="1" x14ac:dyDescent="0.3"/>
    <row r="7967" ht="74.25" customHeight="1" x14ac:dyDescent="0.3"/>
    <row r="7968" ht="74.25" customHeight="1" x14ac:dyDescent="0.3"/>
    <row r="7969" ht="74.25" customHeight="1" x14ac:dyDescent="0.3"/>
    <row r="7970" ht="74.25" customHeight="1" x14ac:dyDescent="0.3"/>
    <row r="7971" ht="74.25" customHeight="1" x14ac:dyDescent="0.3"/>
    <row r="7972" ht="74.25" customHeight="1" x14ac:dyDescent="0.3"/>
    <row r="7973" ht="74.25" customHeight="1" x14ac:dyDescent="0.3"/>
    <row r="7974" ht="74.25" customHeight="1" x14ac:dyDescent="0.3"/>
    <row r="7975" ht="74.25" customHeight="1" x14ac:dyDescent="0.3"/>
    <row r="7976" ht="74.25" customHeight="1" x14ac:dyDescent="0.3"/>
    <row r="7977" ht="74.25" customHeight="1" x14ac:dyDescent="0.3"/>
    <row r="7978" ht="74.25" customHeight="1" x14ac:dyDescent="0.3"/>
    <row r="7979" ht="74.25" customHeight="1" x14ac:dyDescent="0.3"/>
    <row r="7980" ht="74.25" customHeight="1" x14ac:dyDescent="0.3"/>
    <row r="7981" ht="74.25" customHeight="1" x14ac:dyDescent="0.3"/>
    <row r="7982" ht="74.25" customHeight="1" x14ac:dyDescent="0.3"/>
    <row r="7983" ht="74.25" customHeight="1" x14ac:dyDescent="0.3"/>
    <row r="7984" ht="74.25" customHeight="1" x14ac:dyDescent="0.3"/>
    <row r="7985" ht="74.25" customHeight="1" x14ac:dyDescent="0.3"/>
    <row r="7986" ht="74.25" customHeight="1" x14ac:dyDescent="0.3"/>
    <row r="7987" ht="74.25" customHeight="1" x14ac:dyDescent="0.3"/>
    <row r="7988" ht="74.25" customHeight="1" x14ac:dyDescent="0.3"/>
    <row r="7989" ht="74.25" customHeight="1" x14ac:dyDescent="0.3"/>
    <row r="7990" ht="74.25" customHeight="1" x14ac:dyDescent="0.3"/>
    <row r="7991" ht="74.25" customHeight="1" x14ac:dyDescent="0.3"/>
    <row r="7992" ht="74.25" customHeight="1" x14ac:dyDescent="0.3"/>
    <row r="7993" ht="74.25" customHeight="1" x14ac:dyDescent="0.3"/>
    <row r="7994" ht="74.25" customHeight="1" x14ac:dyDescent="0.3"/>
    <row r="7995" ht="74.25" customHeight="1" x14ac:dyDescent="0.3"/>
    <row r="7996" ht="74.25" customHeight="1" x14ac:dyDescent="0.3"/>
    <row r="7997" ht="74.25" customHeight="1" x14ac:dyDescent="0.3"/>
    <row r="7998" ht="74.25" customHeight="1" x14ac:dyDescent="0.3"/>
    <row r="7999" ht="74.25" customHeight="1" x14ac:dyDescent="0.3"/>
    <row r="8000" ht="74.25" customHeight="1" x14ac:dyDescent="0.3"/>
    <row r="8001" ht="74.25" customHeight="1" x14ac:dyDescent="0.3"/>
    <row r="8002" ht="74.25" customHeight="1" x14ac:dyDescent="0.3"/>
    <row r="8003" ht="74.25" customHeight="1" x14ac:dyDescent="0.3"/>
    <row r="8004" ht="74.25" customHeight="1" x14ac:dyDescent="0.3"/>
    <row r="8005" ht="74.25" customHeight="1" x14ac:dyDescent="0.3"/>
    <row r="8006" ht="74.25" customHeight="1" x14ac:dyDescent="0.3"/>
    <row r="8007" ht="74.25" customHeight="1" x14ac:dyDescent="0.3"/>
    <row r="8008" ht="74.25" customHeight="1" x14ac:dyDescent="0.3"/>
    <row r="8009" ht="74.25" customHeight="1" x14ac:dyDescent="0.3"/>
    <row r="8010" ht="74.25" customHeight="1" x14ac:dyDescent="0.3"/>
    <row r="8011" ht="74.25" customHeight="1" x14ac:dyDescent="0.3"/>
    <row r="8012" ht="74.25" customHeight="1" x14ac:dyDescent="0.3"/>
    <row r="8013" ht="74.25" customHeight="1" x14ac:dyDescent="0.3"/>
    <row r="8014" ht="74.25" customHeight="1" x14ac:dyDescent="0.3"/>
    <row r="8015" ht="74.25" customHeight="1" x14ac:dyDescent="0.3"/>
    <row r="8016" ht="74.25" customHeight="1" x14ac:dyDescent="0.3"/>
    <row r="8017" ht="74.25" customHeight="1" x14ac:dyDescent="0.3"/>
    <row r="8018" ht="74.25" customHeight="1" x14ac:dyDescent="0.3"/>
    <row r="8019" ht="74.25" customHeight="1" x14ac:dyDescent="0.3"/>
    <row r="8020" ht="74.25" customHeight="1" x14ac:dyDescent="0.3"/>
    <row r="8021" ht="74.25" customHeight="1" x14ac:dyDescent="0.3"/>
    <row r="8022" ht="74.25" customHeight="1" x14ac:dyDescent="0.3"/>
    <row r="8023" ht="74.25" customHeight="1" x14ac:dyDescent="0.3"/>
    <row r="8024" ht="74.25" customHeight="1" x14ac:dyDescent="0.3"/>
    <row r="8025" ht="74.25" customHeight="1" x14ac:dyDescent="0.3"/>
    <row r="8026" ht="74.25" customHeight="1" x14ac:dyDescent="0.3"/>
    <row r="8027" ht="74.25" customHeight="1" x14ac:dyDescent="0.3"/>
    <row r="8028" ht="74.25" customHeight="1" x14ac:dyDescent="0.3"/>
    <row r="8029" ht="74.25" customHeight="1" x14ac:dyDescent="0.3"/>
    <row r="8030" ht="74.25" customHeight="1" x14ac:dyDescent="0.3"/>
    <row r="8031" ht="74.25" customHeight="1" x14ac:dyDescent="0.3"/>
    <row r="8032" ht="74.25" customHeight="1" x14ac:dyDescent="0.3"/>
    <row r="8033" ht="74.25" customHeight="1" x14ac:dyDescent="0.3"/>
    <row r="8034" ht="74.25" customHeight="1" x14ac:dyDescent="0.3"/>
    <row r="8035" ht="74.25" customHeight="1" x14ac:dyDescent="0.3"/>
    <row r="8036" ht="74.25" customHeight="1" x14ac:dyDescent="0.3"/>
    <row r="8037" ht="74.25" customHeight="1" x14ac:dyDescent="0.3"/>
    <row r="8038" ht="74.25" customHeight="1" x14ac:dyDescent="0.3"/>
    <row r="8039" ht="74.25" customHeight="1" x14ac:dyDescent="0.3"/>
    <row r="8040" ht="74.25" customHeight="1" x14ac:dyDescent="0.3"/>
    <row r="8041" ht="74.25" customHeight="1" x14ac:dyDescent="0.3"/>
    <row r="8042" ht="74.25" customHeight="1" x14ac:dyDescent="0.3"/>
    <row r="8043" ht="74.25" customHeight="1" x14ac:dyDescent="0.3"/>
    <row r="8044" ht="74.25" customHeight="1" x14ac:dyDescent="0.3"/>
    <row r="8045" ht="74.25" customHeight="1" x14ac:dyDescent="0.3"/>
    <row r="8046" ht="74.25" customHeight="1" x14ac:dyDescent="0.3"/>
    <row r="8047" ht="74.25" customHeight="1" x14ac:dyDescent="0.3"/>
    <row r="8048" ht="74.25" customHeight="1" x14ac:dyDescent="0.3"/>
    <row r="8049" ht="74.25" customHeight="1" x14ac:dyDescent="0.3"/>
    <row r="8050" ht="74.25" customHeight="1" x14ac:dyDescent="0.3"/>
    <row r="8051" ht="74.25" customHeight="1" x14ac:dyDescent="0.3"/>
    <row r="8052" ht="74.25" customHeight="1" x14ac:dyDescent="0.3"/>
    <row r="8053" ht="74.25" customHeight="1" x14ac:dyDescent="0.3"/>
    <row r="8054" ht="74.25" customHeight="1" x14ac:dyDescent="0.3"/>
    <row r="8055" ht="74.25" customHeight="1" x14ac:dyDescent="0.3"/>
    <row r="8056" ht="74.25" customHeight="1" x14ac:dyDescent="0.3"/>
    <row r="8057" ht="74.25" customHeight="1" x14ac:dyDescent="0.3"/>
    <row r="8058" ht="74.25" customHeight="1" x14ac:dyDescent="0.3"/>
    <row r="8059" ht="74.25" customHeight="1" x14ac:dyDescent="0.3"/>
    <row r="8060" ht="74.25" customHeight="1" x14ac:dyDescent="0.3"/>
    <row r="8061" ht="74.25" customHeight="1" x14ac:dyDescent="0.3"/>
    <row r="8062" ht="74.25" customHeight="1" x14ac:dyDescent="0.3"/>
    <row r="8063" ht="74.25" customHeight="1" x14ac:dyDescent="0.3"/>
    <row r="8064" ht="74.25" customHeight="1" x14ac:dyDescent="0.3"/>
    <row r="8065" ht="74.25" customHeight="1" x14ac:dyDescent="0.3"/>
    <row r="8066" ht="74.25" customHeight="1" x14ac:dyDescent="0.3"/>
    <row r="8067" ht="74.25" customHeight="1" x14ac:dyDescent="0.3"/>
    <row r="8068" ht="74.25" customHeight="1" x14ac:dyDescent="0.3"/>
    <row r="8069" ht="74.25" customHeight="1" x14ac:dyDescent="0.3"/>
    <row r="8070" ht="74.25" customHeight="1" x14ac:dyDescent="0.3"/>
    <row r="8071" ht="74.25" customHeight="1" x14ac:dyDescent="0.3"/>
    <row r="8072" ht="74.25" customHeight="1" x14ac:dyDescent="0.3"/>
    <row r="8073" ht="74.25" customHeight="1" x14ac:dyDescent="0.3"/>
    <row r="8074" ht="74.25" customHeight="1" x14ac:dyDescent="0.3"/>
    <row r="8075" ht="74.25" customHeight="1" x14ac:dyDescent="0.3"/>
    <row r="8076" ht="74.25" customHeight="1" x14ac:dyDescent="0.3"/>
    <row r="8077" ht="74.25" customHeight="1" x14ac:dyDescent="0.3"/>
    <row r="8078" ht="74.25" customHeight="1" x14ac:dyDescent="0.3"/>
    <row r="8079" ht="74.25" customHeight="1" x14ac:dyDescent="0.3"/>
    <row r="8080" ht="74.25" customHeight="1" x14ac:dyDescent="0.3"/>
    <row r="8081" ht="74.25" customHeight="1" x14ac:dyDescent="0.3"/>
    <row r="8082" ht="74.25" customHeight="1" x14ac:dyDescent="0.3"/>
    <row r="8083" ht="74.25" customHeight="1" x14ac:dyDescent="0.3"/>
    <row r="8084" ht="74.25" customHeight="1" x14ac:dyDescent="0.3"/>
    <row r="8085" ht="74.25" customHeight="1" x14ac:dyDescent="0.3"/>
    <row r="8086" ht="74.25" customHeight="1" x14ac:dyDescent="0.3"/>
    <row r="8087" ht="74.25" customHeight="1" x14ac:dyDescent="0.3"/>
    <row r="8088" ht="74.25" customHeight="1" x14ac:dyDescent="0.3"/>
    <row r="8089" ht="74.25" customHeight="1" x14ac:dyDescent="0.3"/>
    <row r="8090" ht="74.25" customHeight="1" x14ac:dyDescent="0.3"/>
    <row r="8091" ht="74.25" customHeight="1" x14ac:dyDescent="0.3"/>
    <row r="8092" ht="74.25" customHeight="1" x14ac:dyDescent="0.3"/>
    <row r="8093" ht="74.25" customHeight="1" x14ac:dyDescent="0.3"/>
    <row r="8094" ht="74.25" customHeight="1" x14ac:dyDescent="0.3"/>
    <row r="8095" ht="74.25" customHeight="1" x14ac:dyDescent="0.3"/>
    <row r="8096" ht="74.25" customHeight="1" x14ac:dyDescent="0.3"/>
    <row r="8097" ht="74.25" customHeight="1" x14ac:dyDescent="0.3"/>
    <row r="8098" ht="74.25" customHeight="1" x14ac:dyDescent="0.3"/>
    <row r="8099" ht="74.25" customHeight="1" x14ac:dyDescent="0.3"/>
    <row r="8100" ht="74.25" customHeight="1" x14ac:dyDescent="0.3"/>
    <row r="8101" ht="74.25" customHeight="1" x14ac:dyDescent="0.3"/>
    <row r="8102" ht="74.25" customHeight="1" x14ac:dyDescent="0.3"/>
    <row r="8103" ht="74.25" customHeight="1" x14ac:dyDescent="0.3"/>
    <row r="8104" ht="74.25" customHeight="1" x14ac:dyDescent="0.3"/>
    <row r="8105" ht="74.25" customHeight="1" x14ac:dyDescent="0.3"/>
    <row r="8106" ht="74.25" customHeight="1" x14ac:dyDescent="0.3"/>
    <row r="8107" ht="74.25" customHeight="1" x14ac:dyDescent="0.3"/>
    <row r="8108" ht="74.25" customHeight="1" x14ac:dyDescent="0.3"/>
    <row r="8109" ht="74.25" customHeight="1" x14ac:dyDescent="0.3"/>
    <row r="8110" ht="74.25" customHeight="1" x14ac:dyDescent="0.3"/>
    <row r="8111" ht="74.25" customHeight="1" x14ac:dyDescent="0.3"/>
    <row r="8112" ht="74.25" customHeight="1" x14ac:dyDescent="0.3"/>
    <row r="8113" ht="74.25" customHeight="1" x14ac:dyDescent="0.3"/>
    <row r="8114" ht="74.25" customHeight="1" x14ac:dyDescent="0.3"/>
    <row r="8115" ht="74.25" customHeight="1" x14ac:dyDescent="0.3"/>
    <row r="8116" ht="74.25" customHeight="1" x14ac:dyDescent="0.3"/>
    <row r="8117" ht="74.25" customHeight="1" x14ac:dyDescent="0.3"/>
    <row r="8118" ht="74.25" customHeight="1" x14ac:dyDescent="0.3"/>
    <row r="8119" ht="74.25" customHeight="1" x14ac:dyDescent="0.3"/>
    <row r="8120" ht="74.25" customHeight="1" x14ac:dyDescent="0.3"/>
    <row r="8121" ht="74.25" customHeight="1" x14ac:dyDescent="0.3"/>
    <row r="8122" ht="74.25" customHeight="1" x14ac:dyDescent="0.3"/>
    <row r="8123" ht="74.25" customHeight="1" x14ac:dyDescent="0.3"/>
    <row r="8124" ht="74.25" customHeight="1" x14ac:dyDescent="0.3"/>
    <row r="8125" ht="74.25" customHeight="1" x14ac:dyDescent="0.3"/>
    <row r="8126" ht="74.25" customHeight="1" x14ac:dyDescent="0.3"/>
    <row r="8127" ht="74.25" customHeight="1" x14ac:dyDescent="0.3"/>
    <row r="8128" ht="74.25" customHeight="1" x14ac:dyDescent="0.3"/>
    <row r="8129" ht="74.25" customHeight="1" x14ac:dyDescent="0.3"/>
    <row r="8130" ht="74.25" customHeight="1" x14ac:dyDescent="0.3"/>
    <row r="8131" ht="74.25" customHeight="1" x14ac:dyDescent="0.3"/>
    <row r="8132" ht="74.25" customHeight="1" x14ac:dyDescent="0.3"/>
    <row r="8133" ht="74.25" customHeight="1" x14ac:dyDescent="0.3"/>
    <row r="8134" ht="74.25" customHeight="1" x14ac:dyDescent="0.3"/>
    <row r="8135" ht="74.25" customHeight="1" x14ac:dyDescent="0.3"/>
    <row r="8136" ht="74.25" customHeight="1" x14ac:dyDescent="0.3"/>
    <row r="8137" ht="74.25" customHeight="1" x14ac:dyDescent="0.3"/>
    <row r="8138" ht="74.25" customHeight="1" x14ac:dyDescent="0.3"/>
    <row r="8139" ht="74.25" customHeight="1" x14ac:dyDescent="0.3"/>
    <row r="8140" ht="74.25" customHeight="1" x14ac:dyDescent="0.3"/>
    <row r="8141" ht="74.25" customHeight="1" x14ac:dyDescent="0.3"/>
    <row r="8142" ht="74.25" customHeight="1" x14ac:dyDescent="0.3"/>
    <row r="8143" ht="74.25" customHeight="1" x14ac:dyDescent="0.3"/>
    <row r="8144" ht="74.25" customHeight="1" x14ac:dyDescent="0.3"/>
    <row r="8145" ht="74.25" customHeight="1" x14ac:dyDescent="0.3"/>
    <row r="8146" ht="74.25" customHeight="1" x14ac:dyDescent="0.3"/>
    <row r="8147" ht="74.25" customHeight="1" x14ac:dyDescent="0.3"/>
    <row r="8148" ht="74.25" customHeight="1" x14ac:dyDescent="0.3"/>
    <row r="8149" ht="74.25" customHeight="1" x14ac:dyDescent="0.3"/>
    <row r="8150" ht="74.25" customHeight="1" x14ac:dyDescent="0.3"/>
    <row r="8151" ht="74.25" customHeight="1" x14ac:dyDescent="0.3"/>
    <row r="8152" ht="74.25" customHeight="1" x14ac:dyDescent="0.3"/>
    <row r="8153" ht="74.25" customHeight="1" x14ac:dyDescent="0.3"/>
    <row r="8154" ht="74.25" customHeight="1" x14ac:dyDescent="0.3"/>
    <row r="8155" ht="74.25" customHeight="1" x14ac:dyDescent="0.3"/>
    <row r="8156" ht="74.25" customHeight="1" x14ac:dyDescent="0.3"/>
    <row r="8157" ht="74.25" customHeight="1" x14ac:dyDescent="0.3"/>
    <row r="8158" ht="74.25" customHeight="1" x14ac:dyDescent="0.3"/>
    <row r="8159" ht="74.25" customHeight="1" x14ac:dyDescent="0.3"/>
    <row r="8160" ht="74.25" customHeight="1" x14ac:dyDescent="0.3"/>
    <row r="8161" ht="74.25" customHeight="1" x14ac:dyDescent="0.3"/>
    <row r="8162" ht="74.25" customHeight="1" x14ac:dyDescent="0.3"/>
    <row r="8163" ht="74.25" customHeight="1" x14ac:dyDescent="0.3"/>
    <row r="8164" ht="74.25" customHeight="1" x14ac:dyDescent="0.3"/>
    <row r="8165" ht="74.25" customHeight="1" x14ac:dyDescent="0.3"/>
    <row r="8166" ht="74.25" customHeight="1" x14ac:dyDescent="0.3"/>
    <row r="8167" ht="74.25" customHeight="1" x14ac:dyDescent="0.3"/>
    <row r="8168" ht="74.25" customHeight="1" x14ac:dyDescent="0.3"/>
    <row r="8169" ht="74.25" customHeight="1" x14ac:dyDescent="0.3"/>
    <row r="8170" ht="74.25" customHeight="1" x14ac:dyDescent="0.3"/>
    <row r="8171" ht="74.25" customHeight="1" x14ac:dyDescent="0.3"/>
    <row r="8172" ht="74.25" customHeight="1" x14ac:dyDescent="0.3"/>
    <row r="8173" ht="74.25" customHeight="1" x14ac:dyDescent="0.3"/>
    <row r="8174" ht="74.25" customHeight="1" x14ac:dyDescent="0.3"/>
    <row r="8175" ht="74.25" customHeight="1" x14ac:dyDescent="0.3"/>
    <row r="8176" ht="74.25" customHeight="1" x14ac:dyDescent="0.3"/>
    <row r="8177" ht="74.25" customHeight="1" x14ac:dyDescent="0.3"/>
    <row r="8178" ht="74.25" customHeight="1" x14ac:dyDescent="0.3"/>
    <row r="8179" ht="74.25" customHeight="1" x14ac:dyDescent="0.3"/>
    <row r="8180" ht="74.25" customHeight="1" x14ac:dyDescent="0.3"/>
    <row r="8181" ht="74.25" customHeight="1" x14ac:dyDescent="0.3"/>
    <row r="8182" ht="74.25" customHeight="1" x14ac:dyDescent="0.3"/>
    <row r="8183" ht="74.25" customHeight="1" x14ac:dyDescent="0.3"/>
    <row r="8184" ht="74.25" customHeight="1" x14ac:dyDescent="0.3"/>
    <row r="8185" ht="74.25" customHeight="1" x14ac:dyDescent="0.3"/>
    <row r="8186" ht="74.25" customHeight="1" x14ac:dyDescent="0.3"/>
    <row r="8187" ht="74.25" customHeight="1" x14ac:dyDescent="0.3"/>
    <row r="8188" ht="74.25" customHeight="1" x14ac:dyDescent="0.3"/>
    <row r="8189" ht="74.25" customHeight="1" x14ac:dyDescent="0.3"/>
    <row r="8190" ht="74.25" customHeight="1" x14ac:dyDescent="0.3"/>
    <row r="8191" ht="74.25" customHeight="1" x14ac:dyDescent="0.3"/>
    <row r="8192" ht="74.25" customHeight="1" x14ac:dyDescent="0.3"/>
    <row r="8193" ht="74.25" customHeight="1" x14ac:dyDescent="0.3"/>
    <row r="8194" ht="74.25" customHeight="1" x14ac:dyDescent="0.3"/>
    <row r="8195" ht="74.25" customHeight="1" x14ac:dyDescent="0.3"/>
    <row r="8196" ht="74.25" customHeight="1" x14ac:dyDescent="0.3"/>
    <row r="8197" ht="74.25" customHeight="1" x14ac:dyDescent="0.3"/>
    <row r="8198" ht="74.25" customHeight="1" x14ac:dyDescent="0.3"/>
    <row r="8199" ht="74.25" customHeight="1" x14ac:dyDescent="0.3"/>
    <row r="8200" ht="74.25" customHeight="1" x14ac:dyDescent="0.3"/>
    <row r="8201" ht="74.25" customHeight="1" x14ac:dyDescent="0.3"/>
    <row r="8202" ht="74.25" customHeight="1" x14ac:dyDescent="0.3"/>
    <row r="8203" ht="74.25" customHeight="1" x14ac:dyDescent="0.3"/>
    <row r="8204" ht="74.25" customHeight="1" x14ac:dyDescent="0.3"/>
    <row r="8205" ht="74.25" customHeight="1" x14ac:dyDescent="0.3"/>
    <row r="8206" ht="74.25" customHeight="1" x14ac:dyDescent="0.3"/>
    <row r="8207" ht="74.25" customHeight="1" x14ac:dyDescent="0.3"/>
    <row r="8208" ht="74.25" customHeight="1" x14ac:dyDescent="0.3"/>
    <row r="8209" ht="74.25" customHeight="1" x14ac:dyDescent="0.3"/>
    <row r="8210" ht="74.25" customHeight="1" x14ac:dyDescent="0.3"/>
    <row r="8211" ht="74.25" customHeight="1" x14ac:dyDescent="0.3"/>
    <row r="8212" ht="74.25" customHeight="1" x14ac:dyDescent="0.3"/>
    <row r="8213" ht="74.25" customHeight="1" x14ac:dyDescent="0.3"/>
    <row r="8214" ht="74.25" customHeight="1" x14ac:dyDescent="0.3"/>
    <row r="8215" ht="74.25" customHeight="1" x14ac:dyDescent="0.3"/>
    <row r="8216" ht="74.25" customHeight="1" x14ac:dyDescent="0.3"/>
    <row r="8217" ht="74.25" customHeight="1" x14ac:dyDescent="0.3"/>
    <row r="8218" ht="74.25" customHeight="1" x14ac:dyDescent="0.3"/>
    <row r="8219" ht="74.25" customHeight="1" x14ac:dyDescent="0.3"/>
    <row r="8220" ht="74.25" customHeight="1" x14ac:dyDescent="0.3"/>
    <row r="8221" ht="74.25" customHeight="1" x14ac:dyDescent="0.3"/>
    <row r="8222" ht="74.25" customHeight="1" x14ac:dyDescent="0.3"/>
    <row r="8223" ht="74.25" customHeight="1" x14ac:dyDescent="0.3"/>
    <row r="8224" ht="74.25" customHeight="1" x14ac:dyDescent="0.3"/>
    <row r="8225" ht="74.25" customHeight="1" x14ac:dyDescent="0.3"/>
    <row r="8226" ht="74.25" customHeight="1" x14ac:dyDescent="0.3"/>
    <row r="8227" ht="74.25" customHeight="1" x14ac:dyDescent="0.3"/>
    <row r="8228" ht="74.25" customHeight="1" x14ac:dyDescent="0.3"/>
    <row r="8229" ht="74.25" customHeight="1" x14ac:dyDescent="0.3"/>
    <row r="8230" ht="74.25" customHeight="1" x14ac:dyDescent="0.3"/>
    <row r="8231" ht="74.25" customHeight="1" x14ac:dyDescent="0.3"/>
    <row r="8232" ht="74.25" customHeight="1" x14ac:dyDescent="0.3"/>
    <row r="8233" ht="74.25" customHeight="1" x14ac:dyDescent="0.3"/>
    <row r="8234" ht="74.25" customHeight="1" x14ac:dyDescent="0.3"/>
    <row r="8235" ht="74.25" customHeight="1" x14ac:dyDescent="0.3"/>
    <row r="8236" ht="74.25" customHeight="1" x14ac:dyDescent="0.3"/>
    <row r="8237" ht="74.25" customHeight="1" x14ac:dyDescent="0.3"/>
    <row r="8238" ht="74.25" customHeight="1" x14ac:dyDescent="0.3"/>
    <row r="8239" ht="74.25" customHeight="1" x14ac:dyDescent="0.3"/>
    <row r="8240" ht="74.25" customHeight="1" x14ac:dyDescent="0.3"/>
    <row r="8241" ht="74.25" customHeight="1" x14ac:dyDescent="0.3"/>
    <row r="8242" ht="74.25" customHeight="1" x14ac:dyDescent="0.3"/>
    <row r="8243" ht="74.25" customHeight="1" x14ac:dyDescent="0.3"/>
    <row r="8244" ht="74.25" customHeight="1" x14ac:dyDescent="0.3"/>
    <row r="8245" ht="74.25" customHeight="1" x14ac:dyDescent="0.3"/>
    <row r="8246" ht="74.25" customHeight="1" x14ac:dyDescent="0.3"/>
    <row r="8247" ht="74.25" customHeight="1" x14ac:dyDescent="0.3"/>
    <row r="8248" ht="74.25" customHeight="1" x14ac:dyDescent="0.3"/>
    <row r="8249" ht="74.25" customHeight="1" x14ac:dyDescent="0.3"/>
    <row r="8250" ht="74.25" customHeight="1" x14ac:dyDescent="0.3"/>
    <row r="8251" ht="74.25" customHeight="1" x14ac:dyDescent="0.3"/>
    <row r="8252" ht="74.25" customHeight="1" x14ac:dyDescent="0.3"/>
    <row r="8253" ht="74.25" customHeight="1" x14ac:dyDescent="0.3"/>
    <row r="8254" ht="74.25" customHeight="1" x14ac:dyDescent="0.3"/>
    <row r="8255" ht="74.25" customHeight="1" x14ac:dyDescent="0.3"/>
    <row r="8256" ht="74.25" customHeight="1" x14ac:dyDescent="0.3"/>
    <row r="8257" ht="74.25" customHeight="1" x14ac:dyDescent="0.3"/>
    <row r="8258" ht="74.25" customHeight="1" x14ac:dyDescent="0.3"/>
    <row r="8259" ht="74.25" customHeight="1" x14ac:dyDescent="0.3"/>
    <row r="8260" ht="74.25" customHeight="1" x14ac:dyDescent="0.3"/>
    <row r="8261" ht="74.25" customHeight="1" x14ac:dyDescent="0.3"/>
    <row r="8262" ht="74.25" customHeight="1" x14ac:dyDescent="0.3"/>
    <row r="8263" ht="74.25" customHeight="1" x14ac:dyDescent="0.3"/>
    <row r="8264" ht="74.25" customHeight="1" x14ac:dyDescent="0.3"/>
    <row r="8265" ht="74.25" customHeight="1" x14ac:dyDescent="0.3"/>
    <row r="8266" ht="74.25" customHeight="1" x14ac:dyDescent="0.3"/>
    <row r="8267" ht="74.25" customHeight="1" x14ac:dyDescent="0.3"/>
    <row r="8268" ht="74.25" customHeight="1" x14ac:dyDescent="0.3"/>
    <row r="8269" ht="74.25" customHeight="1" x14ac:dyDescent="0.3"/>
    <row r="8270" ht="74.25" customHeight="1" x14ac:dyDescent="0.3"/>
    <row r="8271" ht="74.25" customHeight="1" x14ac:dyDescent="0.3"/>
    <row r="8272" ht="74.25" customHeight="1" x14ac:dyDescent="0.3"/>
    <row r="8273" ht="74.25" customHeight="1" x14ac:dyDescent="0.3"/>
    <row r="8274" ht="74.25" customHeight="1" x14ac:dyDescent="0.3"/>
    <row r="8275" ht="74.25" customHeight="1" x14ac:dyDescent="0.3"/>
    <row r="8276" ht="74.25" customHeight="1" x14ac:dyDescent="0.3"/>
    <row r="8277" ht="74.25" customHeight="1" x14ac:dyDescent="0.3"/>
    <row r="8278" ht="74.25" customHeight="1" x14ac:dyDescent="0.3"/>
    <row r="8279" ht="74.25" customHeight="1" x14ac:dyDescent="0.3"/>
    <row r="8280" ht="74.25" customHeight="1" x14ac:dyDescent="0.3"/>
    <row r="8281" ht="74.25" customHeight="1" x14ac:dyDescent="0.3"/>
    <row r="8282" ht="74.25" customHeight="1" x14ac:dyDescent="0.3"/>
    <row r="8283" ht="74.25" customHeight="1" x14ac:dyDescent="0.3"/>
    <row r="8284" ht="74.25" customHeight="1" x14ac:dyDescent="0.3"/>
    <row r="8285" ht="74.25" customHeight="1" x14ac:dyDescent="0.3"/>
    <row r="8286" ht="74.25" customHeight="1" x14ac:dyDescent="0.3"/>
    <row r="8287" ht="74.25" customHeight="1" x14ac:dyDescent="0.3"/>
    <row r="8288" ht="74.25" customHeight="1" x14ac:dyDescent="0.3"/>
    <row r="8289" ht="74.25" customHeight="1" x14ac:dyDescent="0.3"/>
    <row r="8290" ht="74.25" customHeight="1" x14ac:dyDescent="0.3"/>
    <row r="8291" ht="74.25" customHeight="1" x14ac:dyDescent="0.3"/>
    <row r="8292" ht="74.25" customHeight="1" x14ac:dyDescent="0.3"/>
    <row r="8293" ht="74.25" customHeight="1" x14ac:dyDescent="0.3"/>
    <row r="8294" ht="74.25" customHeight="1" x14ac:dyDescent="0.3"/>
    <row r="8295" ht="74.25" customHeight="1" x14ac:dyDescent="0.3"/>
    <row r="8296" ht="74.25" customHeight="1" x14ac:dyDescent="0.3"/>
    <row r="8297" ht="74.25" customHeight="1" x14ac:dyDescent="0.3"/>
    <row r="8298" ht="74.25" customHeight="1" x14ac:dyDescent="0.3"/>
    <row r="8299" ht="74.25" customHeight="1" x14ac:dyDescent="0.3"/>
    <row r="8300" ht="74.25" customHeight="1" x14ac:dyDescent="0.3"/>
    <row r="8301" ht="74.25" customHeight="1" x14ac:dyDescent="0.3"/>
    <row r="8302" ht="74.25" customHeight="1" x14ac:dyDescent="0.3"/>
    <row r="8303" ht="74.25" customHeight="1" x14ac:dyDescent="0.3"/>
    <row r="8304" ht="74.25" customHeight="1" x14ac:dyDescent="0.3"/>
    <row r="8305" ht="74.25" customHeight="1" x14ac:dyDescent="0.3"/>
    <row r="8306" ht="74.25" customHeight="1" x14ac:dyDescent="0.3"/>
    <row r="8307" ht="74.25" customHeight="1" x14ac:dyDescent="0.3"/>
    <row r="8308" ht="74.25" customHeight="1" x14ac:dyDescent="0.3"/>
    <row r="8309" ht="74.25" customHeight="1" x14ac:dyDescent="0.3"/>
    <row r="8310" ht="74.25" customHeight="1" x14ac:dyDescent="0.3"/>
    <row r="8311" ht="74.25" customHeight="1" x14ac:dyDescent="0.3"/>
    <row r="8312" ht="74.25" customHeight="1" x14ac:dyDescent="0.3"/>
    <row r="8313" ht="74.25" customHeight="1" x14ac:dyDescent="0.3"/>
    <row r="8314" ht="74.25" customHeight="1" x14ac:dyDescent="0.3"/>
    <row r="8315" ht="74.25" customHeight="1" x14ac:dyDescent="0.3"/>
    <row r="8316" ht="74.25" customHeight="1" x14ac:dyDescent="0.3"/>
    <row r="8317" ht="74.25" customHeight="1" x14ac:dyDescent="0.3"/>
    <row r="8318" ht="74.25" customHeight="1" x14ac:dyDescent="0.3"/>
    <row r="8319" ht="74.25" customHeight="1" x14ac:dyDescent="0.3"/>
    <row r="8320" ht="74.25" customHeight="1" x14ac:dyDescent="0.3"/>
    <row r="8321" ht="74.25" customHeight="1" x14ac:dyDescent="0.3"/>
    <row r="8322" ht="74.25" customHeight="1" x14ac:dyDescent="0.3"/>
    <row r="8323" ht="74.25" customHeight="1" x14ac:dyDescent="0.3"/>
    <row r="8324" ht="74.25" customHeight="1" x14ac:dyDescent="0.3"/>
    <row r="8325" ht="74.25" customHeight="1" x14ac:dyDescent="0.3"/>
    <row r="8326" ht="74.25" customHeight="1" x14ac:dyDescent="0.3"/>
    <row r="8327" ht="74.25" customHeight="1" x14ac:dyDescent="0.3"/>
    <row r="8328" ht="74.25" customHeight="1" x14ac:dyDescent="0.3"/>
    <row r="8329" ht="74.25" customHeight="1" x14ac:dyDescent="0.3"/>
    <row r="8330" ht="74.25" customHeight="1" x14ac:dyDescent="0.3"/>
    <row r="8331" ht="74.25" customHeight="1" x14ac:dyDescent="0.3"/>
    <row r="8332" ht="74.25" customHeight="1" x14ac:dyDescent="0.3"/>
    <row r="8333" ht="74.25" customHeight="1" x14ac:dyDescent="0.3"/>
    <row r="8334" ht="74.25" customHeight="1" x14ac:dyDescent="0.3"/>
    <row r="8335" ht="74.25" customHeight="1" x14ac:dyDescent="0.3"/>
    <row r="8336" ht="74.25" customHeight="1" x14ac:dyDescent="0.3"/>
    <row r="8337" ht="74.25" customHeight="1" x14ac:dyDescent="0.3"/>
    <row r="8338" ht="74.25" customHeight="1" x14ac:dyDescent="0.3"/>
    <row r="8339" ht="74.25" customHeight="1" x14ac:dyDescent="0.3"/>
    <row r="8340" ht="74.25" customHeight="1" x14ac:dyDescent="0.3"/>
    <row r="8341" ht="74.25" customHeight="1" x14ac:dyDescent="0.3"/>
    <row r="8342" ht="74.25" customHeight="1" x14ac:dyDescent="0.3"/>
    <row r="8343" ht="74.25" customHeight="1" x14ac:dyDescent="0.3"/>
    <row r="8344" ht="74.25" customHeight="1" x14ac:dyDescent="0.3"/>
    <row r="8345" ht="74.25" customHeight="1" x14ac:dyDescent="0.3"/>
    <row r="8346" ht="74.25" customHeight="1" x14ac:dyDescent="0.3"/>
    <row r="8347" ht="74.25" customHeight="1" x14ac:dyDescent="0.3"/>
    <row r="8348" ht="74.25" customHeight="1" x14ac:dyDescent="0.3"/>
    <row r="8349" ht="74.25" customHeight="1" x14ac:dyDescent="0.3"/>
    <row r="8350" ht="74.25" customHeight="1" x14ac:dyDescent="0.3"/>
    <row r="8351" ht="74.25" customHeight="1" x14ac:dyDescent="0.3"/>
    <row r="8352" ht="74.25" customHeight="1" x14ac:dyDescent="0.3"/>
    <row r="8353" ht="74.25" customHeight="1" x14ac:dyDescent="0.3"/>
    <row r="8354" ht="74.25" customHeight="1" x14ac:dyDescent="0.3"/>
    <row r="8355" ht="74.25" customHeight="1" x14ac:dyDescent="0.3"/>
    <row r="8356" ht="74.25" customHeight="1" x14ac:dyDescent="0.3"/>
    <row r="8357" ht="74.25" customHeight="1" x14ac:dyDescent="0.3"/>
    <row r="8358" ht="74.25" customHeight="1" x14ac:dyDescent="0.3"/>
    <row r="8359" ht="74.25" customHeight="1" x14ac:dyDescent="0.3"/>
    <row r="8360" ht="74.25" customHeight="1" x14ac:dyDescent="0.3"/>
    <row r="8361" ht="74.25" customHeight="1" x14ac:dyDescent="0.3"/>
    <row r="8362" ht="74.25" customHeight="1" x14ac:dyDescent="0.3"/>
    <row r="8363" ht="74.25" customHeight="1" x14ac:dyDescent="0.3"/>
    <row r="8364" ht="74.25" customHeight="1" x14ac:dyDescent="0.3"/>
    <row r="8365" ht="74.25" customHeight="1" x14ac:dyDescent="0.3"/>
    <row r="8366" ht="74.25" customHeight="1" x14ac:dyDescent="0.3"/>
    <row r="8367" ht="74.25" customHeight="1" x14ac:dyDescent="0.3"/>
    <row r="8368" ht="74.25" customHeight="1" x14ac:dyDescent="0.3"/>
    <row r="8369" ht="74.25" customHeight="1" x14ac:dyDescent="0.3"/>
    <row r="8370" ht="74.25" customHeight="1" x14ac:dyDescent="0.3"/>
    <row r="8371" ht="74.25" customHeight="1" x14ac:dyDescent="0.3"/>
    <row r="8372" ht="74.25" customHeight="1" x14ac:dyDescent="0.3"/>
    <row r="8373" ht="74.25" customHeight="1" x14ac:dyDescent="0.3"/>
    <row r="8374" ht="74.25" customHeight="1" x14ac:dyDescent="0.3"/>
    <row r="8375" ht="74.25" customHeight="1" x14ac:dyDescent="0.3"/>
    <row r="8376" ht="74.25" customHeight="1" x14ac:dyDescent="0.3"/>
    <row r="8377" ht="74.25" customHeight="1" x14ac:dyDescent="0.3"/>
    <row r="8378" ht="74.25" customHeight="1" x14ac:dyDescent="0.3"/>
    <row r="8379" ht="74.25" customHeight="1" x14ac:dyDescent="0.3"/>
    <row r="8380" ht="74.25" customHeight="1" x14ac:dyDescent="0.3"/>
    <row r="8381" ht="74.25" customHeight="1" x14ac:dyDescent="0.3"/>
    <row r="8382" ht="74.25" customHeight="1" x14ac:dyDescent="0.3"/>
    <row r="8383" ht="74.25" customHeight="1" x14ac:dyDescent="0.3"/>
    <row r="8384" ht="74.25" customHeight="1" x14ac:dyDescent="0.3"/>
    <row r="8385" ht="74.25" customHeight="1" x14ac:dyDescent="0.3"/>
    <row r="8386" ht="74.25" customHeight="1" x14ac:dyDescent="0.3"/>
    <row r="8387" ht="74.25" customHeight="1" x14ac:dyDescent="0.3"/>
    <row r="8388" ht="74.25" customHeight="1" x14ac:dyDescent="0.3"/>
    <row r="8389" ht="74.25" customHeight="1" x14ac:dyDescent="0.3"/>
    <row r="8390" ht="74.25" customHeight="1" x14ac:dyDescent="0.3"/>
    <row r="8391" ht="74.25" customHeight="1" x14ac:dyDescent="0.3"/>
    <row r="8392" ht="74.25" customHeight="1" x14ac:dyDescent="0.3"/>
    <row r="8393" ht="74.25" customHeight="1" x14ac:dyDescent="0.3"/>
    <row r="8394" ht="74.25" customHeight="1" x14ac:dyDescent="0.3"/>
    <row r="8395" ht="74.25" customHeight="1" x14ac:dyDescent="0.3"/>
    <row r="8396" ht="74.25" customHeight="1" x14ac:dyDescent="0.3"/>
    <row r="8397" ht="74.25" customHeight="1" x14ac:dyDescent="0.3"/>
    <row r="8398" ht="74.25" customHeight="1" x14ac:dyDescent="0.3"/>
    <row r="8399" ht="74.25" customHeight="1" x14ac:dyDescent="0.3"/>
    <row r="8400" ht="74.25" customHeight="1" x14ac:dyDescent="0.3"/>
    <row r="8401" ht="74.25" customHeight="1" x14ac:dyDescent="0.3"/>
    <row r="8402" ht="74.25" customHeight="1" x14ac:dyDescent="0.3"/>
    <row r="8403" ht="74.25" customHeight="1" x14ac:dyDescent="0.3"/>
    <row r="8404" ht="74.25" customHeight="1" x14ac:dyDescent="0.3"/>
    <row r="8405" ht="74.25" customHeight="1" x14ac:dyDescent="0.3"/>
    <row r="8406" ht="74.25" customHeight="1" x14ac:dyDescent="0.3"/>
    <row r="8407" ht="74.25" customHeight="1" x14ac:dyDescent="0.3"/>
    <row r="8408" ht="74.25" customHeight="1" x14ac:dyDescent="0.3"/>
    <row r="8409" ht="74.25" customHeight="1" x14ac:dyDescent="0.3"/>
    <row r="8410" ht="74.25" customHeight="1" x14ac:dyDescent="0.3"/>
    <row r="8411" ht="74.25" customHeight="1" x14ac:dyDescent="0.3"/>
    <row r="8412" ht="74.25" customHeight="1" x14ac:dyDescent="0.3"/>
    <row r="8413" ht="74.25" customHeight="1" x14ac:dyDescent="0.3"/>
    <row r="8414" ht="74.25" customHeight="1" x14ac:dyDescent="0.3"/>
    <row r="8415" ht="74.25" customHeight="1" x14ac:dyDescent="0.3"/>
    <row r="8416" ht="74.25" customHeight="1" x14ac:dyDescent="0.3"/>
    <row r="8417" ht="74.25" customHeight="1" x14ac:dyDescent="0.3"/>
    <row r="8418" ht="74.25" customHeight="1" x14ac:dyDescent="0.3"/>
    <row r="8419" ht="74.25" customHeight="1" x14ac:dyDescent="0.3"/>
    <row r="8420" ht="74.25" customHeight="1" x14ac:dyDescent="0.3"/>
    <row r="8421" ht="74.25" customHeight="1" x14ac:dyDescent="0.3"/>
    <row r="8422" ht="74.25" customHeight="1" x14ac:dyDescent="0.3"/>
    <row r="8423" ht="74.25" customHeight="1" x14ac:dyDescent="0.3"/>
    <row r="8424" ht="74.25" customHeight="1" x14ac:dyDescent="0.3"/>
    <row r="8425" ht="74.25" customHeight="1" x14ac:dyDescent="0.3"/>
    <row r="8426" ht="74.25" customHeight="1" x14ac:dyDescent="0.3"/>
    <row r="8427" ht="74.25" customHeight="1" x14ac:dyDescent="0.3"/>
    <row r="8428" ht="74.25" customHeight="1" x14ac:dyDescent="0.3"/>
    <row r="8429" ht="74.25" customHeight="1" x14ac:dyDescent="0.3"/>
    <row r="8430" ht="74.25" customHeight="1" x14ac:dyDescent="0.3"/>
    <row r="8431" ht="74.25" customHeight="1" x14ac:dyDescent="0.3"/>
    <row r="8432" ht="74.25" customHeight="1" x14ac:dyDescent="0.3"/>
    <row r="8433" ht="74.25" customHeight="1" x14ac:dyDescent="0.3"/>
    <row r="8434" ht="74.25" customHeight="1" x14ac:dyDescent="0.3"/>
    <row r="8435" ht="74.25" customHeight="1" x14ac:dyDescent="0.3"/>
    <row r="8436" ht="74.25" customHeight="1" x14ac:dyDescent="0.3"/>
    <row r="8437" ht="74.25" customHeight="1" x14ac:dyDescent="0.3"/>
    <row r="8438" ht="74.25" customHeight="1" x14ac:dyDescent="0.3"/>
    <row r="8439" ht="74.25" customHeight="1" x14ac:dyDescent="0.3"/>
    <row r="8440" ht="74.25" customHeight="1" x14ac:dyDescent="0.3"/>
    <row r="8441" ht="74.25" customHeight="1" x14ac:dyDescent="0.3"/>
    <row r="8442" ht="74.25" customHeight="1" x14ac:dyDescent="0.3"/>
    <row r="8443" ht="74.25" customHeight="1" x14ac:dyDescent="0.3"/>
    <row r="8444" ht="74.25" customHeight="1" x14ac:dyDescent="0.3"/>
    <row r="8445" ht="74.25" customHeight="1" x14ac:dyDescent="0.3"/>
    <row r="8446" ht="74.25" customHeight="1" x14ac:dyDescent="0.3"/>
    <row r="8447" ht="74.25" customHeight="1" x14ac:dyDescent="0.3"/>
    <row r="8448" ht="74.25" customHeight="1" x14ac:dyDescent="0.3"/>
    <row r="8449" ht="74.25" customHeight="1" x14ac:dyDescent="0.3"/>
    <row r="8450" ht="74.25" customHeight="1" x14ac:dyDescent="0.3"/>
    <row r="8451" ht="74.25" customHeight="1" x14ac:dyDescent="0.3"/>
    <row r="8452" ht="74.25" customHeight="1" x14ac:dyDescent="0.3"/>
    <row r="8453" ht="74.25" customHeight="1" x14ac:dyDescent="0.3"/>
    <row r="8454" ht="74.25" customHeight="1" x14ac:dyDescent="0.3"/>
    <row r="8455" ht="74.25" customHeight="1" x14ac:dyDescent="0.3"/>
    <row r="8456" ht="74.25" customHeight="1" x14ac:dyDescent="0.3"/>
    <row r="8457" ht="74.25" customHeight="1" x14ac:dyDescent="0.3"/>
    <row r="8458" ht="74.25" customHeight="1" x14ac:dyDescent="0.3"/>
    <row r="8459" ht="74.25" customHeight="1" x14ac:dyDescent="0.3"/>
    <row r="8460" ht="74.25" customHeight="1" x14ac:dyDescent="0.3"/>
    <row r="8461" ht="74.25" customHeight="1" x14ac:dyDescent="0.3"/>
    <row r="8462" ht="74.25" customHeight="1" x14ac:dyDescent="0.3"/>
    <row r="8463" ht="74.25" customHeight="1" x14ac:dyDescent="0.3"/>
    <row r="8464" ht="74.25" customHeight="1" x14ac:dyDescent="0.3"/>
    <row r="8465" ht="74.25" customHeight="1" x14ac:dyDescent="0.3"/>
    <row r="8466" ht="74.25" customHeight="1" x14ac:dyDescent="0.3"/>
    <row r="8467" ht="74.25" customHeight="1" x14ac:dyDescent="0.3"/>
    <row r="8468" ht="74.25" customHeight="1" x14ac:dyDescent="0.3"/>
    <row r="8469" ht="74.25" customHeight="1" x14ac:dyDescent="0.3"/>
    <row r="8470" ht="74.25" customHeight="1" x14ac:dyDescent="0.3"/>
    <row r="8471" ht="74.25" customHeight="1" x14ac:dyDescent="0.3"/>
    <row r="8472" ht="74.25" customHeight="1" x14ac:dyDescent="0.3"/>
    <row r="8473" ht="74.25" customHeight="1" x14ac:dyDescent="0.3"/>
    <row r="8474" ht="74.25" customHeight="1" x14ac:dyDescent="0.3"/>
    <row r="8475" ht="74.25" customHeight="1" x14ac:dyDescent="0.3"/>
    <row r="8476" ht="74.25" customHeight="1" x14ac:dyDescent="0.3"/>
    <row r="8477" ht="74.25" customHeight="1" x14ac:dyDescent="0.3"/>
    <row r="8478" ht="74.25" customHeight="1" x14ac:dyDescent="0.3"/>
    <row r="8479" ht="74.25" customHeight="1" x14ac:dyDescent="0.3"/>
    <row r="8480" ht="74.25" customHeight="1" x14ac:dyDescent="0.3"/>
    <row r="8481" ht="74.25" customHeight="1" x14ac:dyDescent="0.3"/>
    <row r="8482" ht="74.25" customHeight="1" x14ac:dyDescent="0.3"/>
    <row r="8483" ht="74.25" customHeight="1" x14ac:dyDescent="0.3"/>
    <row r="8484" ht="74.25" customHeight="1" x14ac:dyDescent="0.3"/>
    <row r="8485" ht="74.25" customHeight="1" x14ac:dyDescent="0.3"/>
    <row r="8486" ht="74.25" customHeight="1" x14ac:dyDescent="0.3"/>
    <row r="8487" ht="74.25" customHeight="1" x14ac:dyDescent="0.3"/>
    <row r="8488" ht="74.25" customHeight="1" x14ac:dyDescent="0.3"/>
    <row r="8489" ht="74.25" customHeight="1" x14ac:dyDescent="0.3"/>
    <row r="8490" ht="74.25" customHeight="1" x14ac:dyDescent="0.3"/>
    <row r="8491" ht="74.25" customHeight="1" x14ac:dyDescent="0.3"/>
    <row r="8492" ht="74.25" customHeight="1" x14ac:dyDescent="0.3"/>
    <row r="8493" ht="74.25" customHeight="1" x14ac:dyDescent="0.3"/>
    <row r="8494" ht="74.25" customHeight="1" x14ac:dyDescent="0.3"/>
    <row r="8495" ht="74.25" customHeight="1" x14ac:dyDescent="0.3"/>
    <row r="8496" ht="74.25" customHeight="1" x14ac:dyDescent="0.3"/>
    <row r="8497" ht="74.25" customHeight="1" x14ac:dyDescent="0.3"/>
    <row r="8498" ht="74.25" customHeight="1" x14ac:dyDescent="0.3"/>
    <row r="8499" ht="74.25" customHeight="1" x14ac:dyDescent="0.3"/>
    <row r="8500" ht="74.25" customHeight="1" x14ac:dyDescent="0.3"/>
    <row r="8501" ht="74.25" customHeight="1" x14ac:dyDescent="0.3"/>
    <row r="8502" ht="74.25" customHeight="1" x14ac:dyDescent="0.3"/>
    <row r="8503" ht="74.25" customHeight="1" x14ac:dyDescent="0.3"/>
    <row r="8504" ht="74.25" customHeight="1" x14ac:dyDescent="0.3"/>
    <row r="8505" ht="74.25" customHeight="1" x14ac:dyDescent="0.3"/>
    <row r="8506" ht="74.25" customHeight="1" x14ac:dyDescent="0.3"/>
    <row r="8507" ht="74.25" customHeight="1" x14ac:dyDescent="0.3"/>
    <row r="8508" ht="74.25" customHeight="1" x14ac:dyDescent="0.3"/>
    <row r="8509" ht="74.25" customHeight="1" x14ac:dyDescent="0.3"/>
    <row r="8510" ht="74.25" customHeight="1" x14ac:dyDescent="0.3"/>
    <row r="8511" ht="74.25" customHeight="1" x14ac:dyDescent="0.3"/>
    <row r="8512" ht="74.25" customHeight="1" x14ac:dyDescent="0.3"/>
    <row r="8513" ht="74.25" customHeight="1" x14ac:dyDescent="0.3"/>
    <row r="8514" ht="74.25" customHeight="1" x14ac:dyDescent="0.3"/>
    <row r="8515" ht="74.25" customHeight="1" x14ac:dyDescent="0.3"/>
    <row r="8516" ht="74.25" customHeight="1" x14ac:dyDescent="0.3"/>
    <row r="8517" ht="74.25" customHeight="1" x14ac:dyDescent="0.3"/>
    <row r="8518" ht="74.25" customHeight="1" x14ac:dyDescent="0.3"/>
    <row r="8519" ht="74.25" customHeight="1" x14ac:dyDescent="0.3"/>
    <row r="8520" ht="74.25" customHeight="1" x14ac:dyDescent="0.3"/>
    <row r="8521" ht="74.25" customHeight="1" x14ac:dyDescent="0.3"/>
    <row r="8522" ht="74.25" customHeight="1" x14ac:dyDescent="0.3"/>
    <row r="8523" ht="74.25" customHeight="1" x14ac:dyDescent="0.3"/>
    <row r="8524" ht="74.25" customHeight="1" x14ac:dyDescent="0.3"/>
    <row r="8525" ht="74.25" customHeight="1" x14ac:dyDescent="0.3"/>
    <row r="8526" ht="74.25" customHeight="1" x14ac:dyDescent="0.3"/>
    <row r="8527" ht="74.25" customHeight="1" x14ac:dyDescent="0.3"/>
    <row r="8528" ht="74.25" customHeight="1" x14ac:dyDescent="0.3"/>
    <row r="8529" ht="74.25" customHeight="1" x14ac:dyDescent="0.3"/>
    <row r="8530" ht="74.25" customHeight="1" x14ac:dyDescent="0.3"/>
    <row r="8531" ht="74.25" customHeight="1" x14ac:dyDescent="0.3"/>
    <row r="8532" ht="74.25" customHeight="1" x14ac:dyDescent="0.3"/>
    <row r="8533" ht="74.25" customHeight="1" x14ac:dyDescent="0.3"/>
    <row r="8534" ht="74.25" customHeight="1" x14ac:dyDescent="0.3"/>
    <row r="8535" ht="74.25" customHeight="1" x14ac:dyDescent="0.3"/>
    <row r="8536" ht="74.25" customHeight="1" x14ac:dyDescent="0.3"/>
    <row r="8537" ht="74.25" customHeight="1" x14ac:dyDescent="0.3"/>
    <row r="8538" ht="74.25" customHeight="1" x14ac:dyDescent="0.3"/>
    <row r="8539" ht="74.25" customHeight="1" x14ac:dyDescent="0.3"/>
    <row r="8540" ht="74.25" customHeight="1" x14ac:dyDescent="0.3"/>
    <row r="8541" ht="74.25" customHeight="1" x14ac:dyDescent="0.3"/>
    <row r="8542" ht="74.25" customHeight="1" x14ac:dyDescent="0.3"/>
    <row r="8543" ht="74.25" customHeight="1" x14ac:dyDescent="0.3"/>
    <row r="8544" ht="74.25" customHeight="1" x14ac:dyDescent="0.3"/>
    <row r="8545" ht="74.25" customHeight="1" x14ac:dyDescent="0.3"/>
    <row r="8546" ht="74.25" customHeight="1" x14ac:dyDescent="0.3"/>
    <row r="8547" ht="74.25" customHeight="1" x14ac:dyDescent="0.3"/>
    <row r="8548" ht="74.25" customHeight="1" x14ac:dyDescent="0.3"/>
    <row r="8549" ht="74.25" customHeight="1" x14ac:dyDescent="0.3"/>
    <row r="8550" ht="74.25" customHeight="1" x14ac:dyDescent="0.3"/>
    <row r="8551" ht="74.25" customHeight="1" x14ac:dyDescent="0.3"/>
    <row r="8552" ht="74.25" customHeight="1" x14ac:dyDescent="0.3"/>
    <row r="8553" ht="74.25" customHeight="1" x14ac:dyDescent="0.3"/>
    <row r="8554" ht="74.25" customHeight="1" x14ac:dyDescent="0.3"/>
    <row r="8555" ht="74.25" customHeight="1" x14ac:dyDescent="0.3"/>
    <row r="8556" ht="74.25" customHeight="1" x14ac:dyDescent="0.3"/>
    <row r="8557" ht="74.25" customHeight="1" x14ac:dyDescent="0.3"/>
    <row r="8558" ht="74.25" customHeight="1" x14ac:dyDescent="0.3"/>
    <row r="8559" ht="74.25" customHeight="1" x14ac:dyDescent="0.3"/>
    <row r="8560" ht="74.25" customHeight="1" x14ac:dyDescent="0.3"/>
    <row r="8561" ht="74.25" customHeight="1" x14ac:dyDescent="0.3"/>
    <row r="8562" ht="74.25" customHeight="1" x14ac:dyDescent="0.3"/>
    <row r="8563" ht="74.25" customHeight="1" x14ac:dyDescent="0.3"/>
    <row r="8564" ht="74.25" customHeight="1" x14ac:dyDescent="0.3"/>
    <row r="8565" ht="74.25" customHeight="1" x14ac:dyDescent="0.3"/>
    <row r="8566" ht="74.25" customHeight="1" x14ac:dyDescent="0.3"/>
    <row r="8567" ht="74.25" customHeight="1" x14ac:dyDescent="0.3"/>
    <row r="8568" ht="74.25" customHeight="1" x14ac:dyDescent="0.3"/>
    <row r="8569" ht="74.25" customHeight="1" x14ac:dyDescent="0.3"/>
    <row r="8570" ht="74.25" customHeight="1" x14ac:dyDescent="0.3"/>
    <row r="8571" ht="74.25" customHeight="1" x14ac:dyDescent="0.3"/>
    <row r="8572" ht="74.25" customHeight="1" x14ac:dyDescent="0.3"/>
    <row r="8573" ht="74.25" customHeight="1" x14ac:dyDescent="0.3"/>
    <row r="8574" ht="74.25" customHeight="1" x14ac:dyDescent="0.3"/>
    <row r="8575" ht="74.25" customHeight="1" x14ac:dyDescent="0.3"/>
    <row r="8576" ht="74.25" customHeight="1" x14ac:dyDescent="0.3"/>
    <row r="8577" ht="74.25" customHeight="1" x14ac:dyDescent="0.3"/>
    <row r="8578" ht="74.25" customHeight="1" x14ac:dyDescent="0.3"/>
    <row r="8579" ht="74.25" customHeight="1" x14ac:dyDescent="0.3"/>
    <row r="8580" ht="74.25" customHeight="1" x14ac:dyDescent="0.3"/>
    <row r="8581" ht="74.25" customHeight="1" x14ac:dyDescent="0.3"/>
    <row r="8582" ht="74.25" customHeight="1" x14ac:dyDescent="0.3"/>
    <row r="8583" ht="74.25" customHeight="1" x14ac:dyDescent="0.3"/>
    <row r="8584" ht="74.25" customHeight="1" x14ac:dyDescent="0.3"/>
    <row r="8585" ht="74.25" customHeight="1" x14ac:dyDescent="0.3"/>
    <row r="8586" ht="74.25" customHeight="1" x14ac:dyDescent="0.3"/>
    <row r="8587" ht="74.25" customHeight="1" x14ac:dyDescent="0.3"/>
    <row r="8588" ht="74.25" customHeight="1" x14ac:dyDescent="0.3"/>
    <row r="8589" ht="74.25" customHeight="1" x14ac:dyDescent="0.3"/>
    <row r="8590" ht="74.25" customHeight="1" x14ac:dyDescent="0.3"/>
    <row r="8591" ht="74.25" customHeight="1" x14ac:dyDescent="0.3"/>
    <row r="8592" ht="74.25" customHeight="1" x14ac:dyDescent="0.3"/>
    <row r="8593" ht="74.25" customHeight="1" x14ac:dyDescent="0.3"/>
    <row r="8594" ht="74.25" customHeight="1" x14ac:dyDescent="0.3"/>
    <row r="8595" ht="74.25" customHeight="1" x14ac:dyDescent="0.3"/>
    <row r="8596" ht="74.25" customHeight="1" x14ac:dyDescent="0.3"/>
    <row r="8597" ht="74.25" customHeight="1" x14ac:dyDescent="0.3"/>
    <row r="8598" ht="74.25" customHeight="1" x14ac:dyDescent="0.3"/>
    <row r="8599" ht="74.25" customHeight="1" x14ac:dyDescent="0.3"/>
    <row r="8600" ht="74.25" customHeight="1" x14ac:dyDescent="0.3"/>
    <row r="8601" ht="74.25" customHeight="1" x14ac:dyDescent="0.3"/>
    <row r="8602" ht="74.25" customHeight="1" x14ac:dyDescent="0.3"/>
    <row r="8603" ht="74.25" customHeight="1" x14ac:dyDescent="0.3"/>
    <row r="8604" ht="74.25" customHeight="1" x14ac:dyDescent="0.3"/>
    <row r="8605" ht="74.25" customHeight="1" x14ac:dyDescent="0.3"/>
    <row r="8606" ht="74.25" customHeight="1" x14ac:dyDescent="0.3"/>
    <row r="8607" ht="74.25" customHeight="1" x14ac:dyDescent="0.3"/>
    <row r="8608" ht="74.25" customHeight="1" x14ac:dyDescent="0.3"/>
    <row r="8609" ht="74.25" customHeight="1" x14ac:dyDescent="0.3"/>
    <row r="8610" ht="74.25" customHeight="1" x14ac:dyDescent="0.3"/>
    <row r="8611" ht="74.25" customHeight="1" x14ac:dyDescent="0.3"/>
    <row r="8612" ht="74.25" customHeight="1" x14ac:dyDescent="0.3"/>
    <row r="8613" ht="74.25" customHeight="1" x14ac:dyDescent="0.3"/>
    <row r="8614" ht="74.25" customHeight="1" x14ac:dyDescent="0.3"/>
    <row r="8615" ht="74.25" customHeight="1" x14ac:dyDescent="0.3"/>
    <row r="8616" ht="74.25" customHeight="1" x14ac:dyDescent="0.3"/>
    <row r="8617" ht="74.25" customHeight="1" x14ac:dyDescent="0.3"/>
    <row r="8618" ht="74.25" customHeight="1" x14ac:dyDescent="0.3"/>
    <row r="8619" ht="74.25" customHeight="1" x14ac:dyDescent="0.3"/>
    <row r="8620" ht="74.25" customHeight="1" x14ac:dyDescent="0.3"/>
    <row r="8621" ht="74.25" customHeight="1" x14ac:dyDescent="0.3"/>
    <row r="8622" ht="74.25" customHeight="1" x14ac:dyDescent="0.3"/>
    <row r="8623" ht="74.25" customHeight="1" x14ac:dyDescent="0.3"/>
    <row r="8624" ht="74.25" customHeight="1" x14ac:dyDescent="0.3"/>
    <row r="8625" ht="74.25" customHeight="1" x14ac:dyDescent="0.3"/>
    <row r="8626" ht="74.25" customHeight="1" x14ac:dyDescent="0.3"/>
    <row r="8627" ht="74.25" customHeight="1" x14ac:dyDescent="0.3"/>
    <row r="8628" ht="74.25" customHeight="1" x14ac:dyDescent="0.3"/>
    <row r="8629" ht="74.25" customHeight="1" x14ac:dyDescent="0.3"/>
    <row r="8630" ht="74.25" customHeight="1" x14ac:dyDescent="0.3"/>
    <row r="8631" ht="74.25" customHeight="1" x14ac:dyDescent="0.3"/>
    <row r="8632" ht="74.25" customHeight="1" x14ac:dyDescent="0.3"/>
    <row r="8633" ht="74.25" customHeight="1" x14ac:dyDescent="0.3"/>
    <row r="8634" ht="74.25" customHeight="1" x14ac:dyDescent="0.3"/>
    <row r="8635" ht="74.25" customHeight="1" x14ac:dyDescent="0.3"/>
    <row r="8636" ht="74.25" customHeight="1" x14ac:dyDescent="0.3"/>
    <row r="8637" ht="74.25" customHeight="1" x14ac:dyDescent="0.3"/>
    <row r="8638" ht="74.25" customHeight="1" x14ac:dyDescent="0.3"/>
    <row r="8639" ht="74.25" customHeight="1" x14ac:dyDescent="0.3"/>
    <row r="8640" ht="74.25" customHeight="1" x14ac:dyDescent="0.3"/>
    <row r="8641" ht="74.25" customHeight="1" x14ac:dyDescent="0.3"/>
    <row r="8642" ht="74.25" customHeight="1" x14ac:dyDescent="0.3"/>
    <row r="8643" ht="74.25" customHeight="1" x14ac:dyDescent="0.3"/>
    <row r="8644" ht="74.25" customHeight="1" x14ac:dyDescent="0.3"/>
    <row r="8645" ht="74.25" customHeight="1" x14ac:dyDescent="0.3"/>
    <row r="8646" ht="74.25" customHeight="1" x14ac:dyDescent="0.3"/>
    <row r="8647" ht="74.25" customHeight="1" x14ac:dyDescent="0.3"/>
    <row r="8648" ht="74.25" customHeight="1" x14ac:dyDescent="0.3"/>
    <row r="8649" ht="74.25" customHeight="1" x14ac:dyDescent="0.3"/>
    <row r="8650" ht="74.25" customHeight="1" x14ac:dyDescent="0.3"/>
    <row r="8651" ht="74.25" customHeight="1" x14ac:dyDescent="0.3"/>
    <row r="8652" ht="74.25" customHeight="1" x14ac:dyDescent="0.3"/>
    <row r="8653" ht="74.25" customHeight="1" x14ac:dyDescent="0.3"/>
    <row r="8654" ht="74.25" customHeight="1" x14ac:dyDescent="0.3"/>
    <row r="8655" ht="74.25" customHeight="1" x14ac:dyDescent="0.3"/>
    <row r="8656" ht="74.25" customHeight="1" x14ac:dyDescent="0.3"/>
    <row r="8657" ht="74.25" customHeight="1" x14ac:dyDescent="0.3"/>
    <row r="8658" ht="74.25" customHeight="1" x14ac:dyDescent="0.3"/>
    <row r="8659" ht="74.25" customHeight="1" x14ac:dyDescent="0.3"/>
    <row r="8660" ht="74.25" customHeight="1" x14ac:dyDescent="0.3"/>
    <row r="8661" ht="74.25" customHeight="1" x14ac:dyDescent="0.3"/>
    <row r="8662" ht="74.25" customHeight="1" x14ac:dyDescent="0.3"/>
    <row r="8663" ht="74.25" customHeight="1" x14ac:dyDescent="0.3"/>
    <row r="8664" ht="74.25" customHeight="1" x14ac:dyDescent="0.3"/>
    <row r="8665" ht="74.25" customHeight="1" x14ac:dyDescent="0.3"/>
    <row r="8666" ht="74.25" customHeight="1" x14ac:dyDescent="0.3"/>
    <row r="8667" ht="74.25" customHeight="1" x14ac:dyDescent="0.3"/>
    <row r="8668" ht="74.25" customHeight="1" x14ac:dyDescent="0.3"/>
    <row r="8669" ht="74.25" customHeight="1" x14ac:dyDescent="0.3"/>
    <row r="8670" ht="74.25" customHeight="1" x14ac:dyDescent="0.3"/>
    <row r="8671" ht="74.25" customHeight="1" x14ac:dyDescent="0.3"/>
    <row r="8672" ht="74.25" customHeight="1" x14ac:dyDescent="0.3"/>
    <row r="8673" ht="74.25" customHeight="1" x14ac:dyDescent="0.3"/>
    <row r="8674" ht="74.25" customHeight="1" x14ac:dyDescent="0.3"/>
    <row r="8675" ht="74.25" customHeight="1" x14ac:dyDescent="0.3"/>
    <row r="8676" ht="74.25" customHeight="1" x14ac:dyDescent="0.3"/>
    <row r="8677" ht="74.25" customHeight="1" x14ac:dyDescent="0.3"/>
    <row r="8678" ht="74.25" customHeight="1" x14ac:dyDescent="0.3"/>
    <row r="8679" ht="74.25" customHeight="1" x14ac:dyDescent="0.3"/>
    <row r="8680" ht="74.25" customHeight="1" x14ac:dyDescent="0.3"/>
    <row r="8681" ht="74.25" customHeight="1" x14ac:dyDescent="0.3"/>
    <row r="8682" ht="74.25" customHeight="1" x14ac:dyDescent="0.3"/>
    <row r="8683" ht="74.25" customHeight="1" x14ac:dyDescent="0.3"/>
    <row r="8684" ht="74.25" customHeight="1" x14ac:dyDescent="0.3"/>
    <row r="8685" ht="74.25" customHeight="1" x14ac:dyDescent="0.3"/>
    <row r="8686" ht="74.25" customHeight="1" x14ac:dyDescent="0.3"/>
    <row r="8687" ht="74.25" customHeight="1" x14ac:dyDescent="0.3"/>
    <row r="8688" ht="74.25" customHeight="1" x14ac:dyDescent="0.3"/>
    <row r="8689" spans="1:31" s="304" customFormat="1" x14ac:dyDescent="0.3">
      <c r="A8689" s="303"/>
      <c r="B8689" s="303"/>
      <c r="C8689" s="170"/>
      <c r="D8689" s="15"/>
      <c r="E8689" s="303"/>
      <c r="F8689" s="14"/>
      <c r="G8689" s="316"/>
      <c r="J8689" s="305"/>
      <c r="K8689" s="14"/>
      <c r="L8689" s="14"/>
      <c r="M8689" s="14"/>
      <c r="N8689" s="306"/>
      <c r="O8689" s="44"/>
      <c r="P8689" s="44"/>
      <c r="Q8689" s="111"/>
      <c r="R8689" s="307"/>
      <c r="S8689" s="14"/>
      <c r="T8689" s="308"/>
      <c r="U8689" s="309"/>
      <c r="V8689" s="310"/>
      <c r="W8689" s="14"/>
      <c r="X8689" s="14"/>
      <c r="Y8689" s="14"/>
      <c r="Z8689" s="14"/>
      <c r="AB8689" s="333"/>
      <c r="AC8689" s="333"/>
      <c r="AD8689" s="333"/>
      <c r="AE8689" s="333"/>
    </row>
  </sheetData>
  <protectedRanges>
    <protectedRange algorithmName="SHA-512" hashValue="e1FOu1UlwA7reaiyQlEGzbU6dAFPyHPlKfgo6VzFBBobawyOfUsh2c/+wjC8bICpcXVPmRerMGA9+qKsw5p7Iw==" saltValue="UD2tVZrxqZTGI3vDzMBrHw==" spinCount="100000" sqref="A162 A185:A186 A191:A192" name="Range1_1_2_1_1_1_1_1_1_1_1_1_2_1_1_1_1_1_1_1_1_1_1_1_1_1_1_1_1_1_1_1_1_1_2_1_1_1_1_1_1_1_1_1_1_1_1_1_1_1_1_1_1_1_1_1_1_1_1_2_1_1_1_1_1_1_1_1_1_1_1_1_1_2_1_1_1_1_1_1_1_1_2_1_2_1_1_1_1_1_1_1_1_1_1_1_1_1_1_1_1_1_1_1_1_1_1_1_1_1_1_1_1_1_1_1_1_1_1_1_1_1_1_1_6"/>
    <protectedRange algorithmName="SHA-512" hashValue="e1FOu1UlwA7reaiyQlEGzbU6dAFPyHPlKfgo6VzFBBobawyOfUsh2c/+wjC8bICpcXVPmRerMGA9+qKsw5p7Iw==" saltValue="UD2tVZrxqZTGI3vDzMBrHw==" spinCount="100000" sqref="E162 E185:E186 E191:E192" name="Range1_4_4"/>
    <protectedRange algorithmName="SHA-512" hashValue="e1FOu1UlwA7reaiyQlEGzbU6dAFPyHPlKfgo6VzFBBobawyOfUsh2c/+wjC8bICpcXVPmRerMGA9+qKsw5p7Iw==" saltValue="UD2tVZrxqZTGI3vDzMBrHw==" spinCount="100000" sqref="A163 A11" name="Range1_1_2_1_1_1_1_1_1_1_1_1_2_1_1_1_1_1_1_1_1_1_1_1_1_1_1_1_1_1_1_1_1_1_2_1_1_1_1_1_1_1_1_1_1_1_1_1_1_1_1_1_1_1_1_1_1_1_1_2_1_1_1_1_1_1_1_1_1_1_1_1_1_2_1_1_1_1_1_1_1_1_2_1_2_1_1_1_1_1_1_1_1_1_1_1_1_1_1_1_1_1_1_1_1_1_1_1_1_1_1_1_1_1_1_1_1_1_1_1_1_1_1_1_7"/>
    <protectedRange algorithmName="SHA-512" hashValue="e1FOu1UlwA7reaiyQlEGzbU6dAFPyHPlKfgo6VzFBBobawyOfUsh2c/+wjC8bICpcXVPmRerMGA9+qKsw5p7Iw==" saltValue="UD2tVZrxqZTGI3vDzMBrHw==" spinCount="100000" sqref="E163 E11" name="Range1_1_3_1"/>
    <protectedRange algorithmName="SHA-512" hashValue="e1FOu1UlwA7reaiyQlEGzbU6dAFPyHPlKfgo6VzFBBobawyOfUsh2c/+wjC8bICpcXVPmRerMGA9+qKsw5p7Iw==" saltValue="UD2tVZrxqZTGI3vDzMBrHw==" spinCount="100000" sqref="A195:A196 A170:A172 A180:A181 A165:A168" name="Range1_1_2_1_1_1_1_1_1_1_1_1_2_1_1_1_1_1_1_1_1_1_1_1_1_1_1_1_1_1_1_1_1_1_2_1_1_1_1_1_1_1_1_1_1_1_1_1_1_1_1_1_1_1_1_1_1_1_1_2_1_1_1_1_1_1_1_1_1_1_1_1_1_2_1_1_1_1_1_1_1_1_2_1_2_1_1_1_1_1_1_1_1_1_1_1_1_1_1_1_1_1_1_1_1_1_1_1_1_1_1_1_1_1_1_1_1_1_1_1_1_1_1_1_4"/>
    <protectedRange algorithmName="SHA-512" hashValue="e1FOu1UlwA7reaiyQlEGzbU6dAFPyHPlKfgo6VzFBBobawyOfUsh2c/+wjC8bICpcXVPmRerMGA9+qKsw5p7Iw==" saltValue="UD2tVZrxqZTGI3vDzMBrHw==" spinCount="100000" sqref="E195:G196 E170:G172 E180:G181 E165:G168" name="Range1_5"/>
    <protectedRange algorithmName="SHA-512" hashValue="e1FOu1UlwA7reaiyQlEGzbU6dAFPyHPlKfgo6VzFBBobawyOfUsh2c/+wjC8bICpcXVPmRerMGA9+qKsw5p7Iw==" saltValue="UD2tVZrxqZTGI3vDzMBrHw==" spinCount="100000" sqref="H195:H196 H170:H172 H180:H181 H165:H168" name="Range1_6"/>
    <protectedRange algorithmName="SHA-512" hashValue="e1FOu1UlwA7reaiyQlEGzbU6dAFPyHPlKfgo6VzFBBobawyOfUsh2c/+wjC8bICpcXVPmRerMGA9+qKsw5p7Iw==" saltValue="UD2tVZrxqZTGI3vDzMBrHw==" spinCount="100000" sqref="M195:M196 K180:K181 K195:K196 K170:K172 M180:M181 M170:M172 K165:K168 M165:M168" name="Range1_7"/>
    <protectedRange algorithmName="SHA-512" hashValue="e1FOu1UlwA7reaiyQlEGzbU6dAFPyHPlKfgo6VzFBBobawyOfUsh2c/+wjC8bICpcXVPmRerMGA9+qKsw5p7Iw==" saltValue="UD2tVZrxqZTGI3vDzMBrHw==" spinCount="100000" sqref="A193:A194 A160:A161 A164 A182 A176:A177 A184 A197:A199" name="Range1_1_2_1_1_1_1_1_1_1_1_1_2_1_1_1_1_1_1_1_1_1_1_1_1_1_1_1_1_1_1_1_1_1_2_1_1_1_1_1_1_1_1_1_1_1_1_1_1_1_1_1_1_1_1_1_1_1_1_2_1_1_1_1_1_1_1_1_1_1_1_1_1_2_1_1_1_1_1_1_1_1_2_1_2_1_1_1_1_1_1_1_1_1_1_1_1_1_1_1_1_1_1_1_1_1_1_1_1_1_1_1_1_1_1_1_1_1_1_1_1_1_1_1_19"/>
    <protectedRange algorithmName="SHA-512" hashValue="e1FOu1UlwA7reaiyQlEGzbU6dAFPyHPlKfgo6VzFBBobawyOfUsh2c/+wjC8bICpcXVPmRerMGA9+qKsw5p7Iw==" saltValue="UD2tVZrxqZTGI3vDzMBrHw==" spinCount="100000" sqref="E193:E194 E160:E161 E164 E182 E176:E177 E184 E197:E199" name="Range1"/>
    <protectedRange algorithmName="SHA-512" hashValue="e1FOu1UlwA7reaiyQlEGzbU6dAFPyHPlKfgo6VzFBBobawyOfUsh2c/+wjC8bICpcXVPmRerMGA9+qKsw5p7Iw==" saltValue="UD2tVZrxqZTGI3vDzMBrHw==" spinCount="100000" sqref="A189:A190 A178:A179 A173:A175 A127" name="Range1_1_2_1_1_1_1_1_1_1_1_1_2_1_1_1_1_1_1_1_1_1_1_1_1_1_1_1_1_1_1_1_1_1_2_1_1_1_1_1_1_1_1_1_1_1_1_1_1_1_1_1_1_1_1_1_1_1_1_2_1_1_1_1_1_1_1_1_1_1_1_1_1_2_1_1_1_1_1_1_1_1_2_1_2_1_1_1_1_1_1_1_1_1_1_1_1_1_1_1_1_1_1_1_1_1_1_1_1_1_1_1_1_1_1_1_1_1_1_1_1_1_1_1_8"/>
    <protectedRange algorithmName="SHA-512" hashValue="e1FOu1UlwA7reaiyQlEGzbU6dAFPyHPlKfgo6VzFBBobawyOfUsh2c/+wjC8bICpcXVPmRerMGA9+qKsw5p7Iw==" saltValue="UD2tVZrxqZTGI3vDzMBrHw==" spinCount="100000" sqref="E189:E190 E178:E179 E173:E175 E127" name="Range1_4_5"/>
    <protectedRange algorithmName="SHA-512" hashValue="e1FOu1UlwA7reaiyQlEGzbU6dAFPyHPlKfgo6VzFBBobawyOfUsh2c/+wjC8bICpcXVPmRerMGA9+qKsw5p7Iw==" saltValue="UD2tVZrxqZTGI3vDzMBrHw==" spinCount="100000" sqref="A35:B36 B170:B182 B11 B134 B13 B24 B56:B62 B64:B82 B26:B32 B37:B54 B111:B131 B136:B140 B160:B168 B184:B199" name="Range1_1_2_1_1_1_1_1_1_1_1_1_2_1_1_1_1_1_1_1_1_1_1_1_1_1_1_1_1_1_1_1_1_1_2_1_1_1_1_1_1_1_1_1_1_1_1_1_1_1_1_1_1_1_1_1_1_1_1_2_1_1_1_1_1_1_1_1_1_1_1_1_1_2_1_1_1_1_1_1_1_1_2_1_2_1_1_1_1_1_1_1_1_1_1_1_1_1_1_1_1_1_1_1_1_1_1_1_1_1_1_1_1_1_1_1_1_1_1_1_1_1_1_1_22"/>
    <protectedRange algorithmName="SHA-512" hashValue="e1FOu1UlwA7reaiyQlEGzbU6dAFPyHPlKfgo6VzFBBobawyOfUsh2c/+wjC8bICpcXVPmRerMGA9+qKsw5p7Iw==" saltValue="UD2tVZrxqZTGI3vDzMBrHw==" spinCount="100000" sqref="E35:E36" name="Range1_1_1_2_1"/>
    <protectedRange algorithmName="SHA-512" hashValue="e1FOu1UlwA7reaiyQlEGzbU6dAFPyHPlKfgo6VzFBBobawyOfUsh2c/+wjC8bICpcXVPmRerMGA9+qKsw5p7Iw==" saltValue="UD2tVZrxqZTGI3vDzMBrHw==" spinCount="100000" sqref="A45" name="Range1_1_2_1_1_1_1_1_1_1_1_1_2_1_1_1_1_1_1_1_1_1_1_1_1_1_1_1_1_1_1_1_1_1_2_1_1_1_1_1_1_1_1_1_1_1_1_1_1_1_1_1_1_1_1_1_1_1_1_2_1_1_1_1_1_1_1_1_1_1_1_1_1_2_1_1_1_1_1_1_1_1_2_1_2_1_1_1_1_1_1_1_1_1_1_1_1_1_1_1_1_1_1_1_1_1_4_1_2"/>
    <protectedRange algorithmName="SHA-512" hashValue="e1FOu1UlwA7reaiyQlEGzbU6dAFPyHPlKfgo6VzFBBobawyOfUsh2c/+wjC8bICpcXVPmRerMGA9+qKsw5p7Iw==" saltValue="UD2tVZrxqZTGI3vDzMBrHw==" spinCount="100000" sqref="E45" name="Range1_3_2_1_1_1"/>
    <protectedRange algorithmName="SHA-512" hashValue="e1FOu1UlwA7reaiyQlEGzbU6dAFPyHPlKfgo6VzFBBobawyOfUsh2c/+wjC8bICpcXVPmRerMGA9+qKsw5p7Iw==" saltValue="UD2tVZrxqZTGI3vDzMBrHw==" spinCount="100000" sqref="A187:A188 A134 A46:A47 A129:A131 A124:A126 A111:A120 A136 A138:A140" name="Range1_1_2_1_1_1_1_1_1_1_1_1_2_1_1_1_1_1_1_1_1_1_1_1_1_1_1_1_1_1_1_1_1_1_2_1_1_1_1_1_1_1_1_1_1_1_1_1_1_1_1_1_1_1_1_1_1_1_1_2_1_1_1_1_1_1_1_1_1_1_1_1_1_2_1_1_1_1_1_1_1_1_2_1_2_1_1_1_1_1_1_1_1_1_1_1_1_1_1_1_1_1_1_1_1_1_1_1_1_1_1_1_1_1_1_1_1_1_1_1_1_1_1_1_21"/>
    <protectedRange algorithmName="SHA-512" hashValue="e1FOu1UlwA7reaiyQlEGzbU6dAFPyHPlKfgo6VzFBBobawyOfUsh2c/+wjC8bICpcXVPmRerMGA9+qKsw5p7Iw==" saltValue="UD2tVZrxqZTGI3vDzMBrHw==" spinCount="100000" sqref="E117:G118 E111:E116 E187:G188 E134 E46:E47 E129:E131 E124:E126 E119:E120 E136 E138:E140" name="Range1_4"/>
    <protectedRange algorithmName="SHA-512" hashValue="e1FOu1UlwA7reaiyQlEGzbU6dAFPyHPlKfgo6VzFBBobawyOfUsh2c/+wjC8bICpcXVPmRerMGA9+qKsw5p7Iw==" saltValue="UD2tVZrxqZTGI3vDzMBrHw==" spinCount="100000" sqref="H117:H118 H187:H188" name="Range1_1_1"/>
    <protectedRange algorithmName="SHA-512" hashValue="e1FOu1UlwA7reaiyQlEGzbU6dAFPyHPlKfgo6VzFBBobawyOfUsh2c/+wjC8bICpcXVPmRerMGA9+qKsw5p7Iw==" saltValue="UD2tVZrxqZTGI3vDzMBrHw==" spinCount="100000" sqref="M117:M118 K117:K118 K187:K188 M187:M188" name="Range1_2_1"/>
    <protectedRange algorithmName="SHA-512" hashValue="e1FOu1UlwA7reaiyQlEGzbU6dAFPyHPlKfgo6VzFBBobawyOfUsh2c/+wjC8bICpcXVPmRerMGA9+qKsw5p7Iw==" saltValue="UD2tVZrxqZTGI3vDzMBrHw==" spinCount="100000" sqref="A44 A64 A128 A137" name="Range1_1_2_1_1_1_1_1_1_1_1_1_2_1_1_1_1_1_1_1_1_1_1_1_1_1_1_1_1_1_1_1_1_1_2_1_1_1_1_1_1_1_1_1_1_1_1_1_1_1_1_1_1_1_1_1_1_1_1_2_1_1_1_1_1_1_1_1_1_1_1_1_1_2_1_1_1_1_1_1_1_1_2_1_2_1_1_1_1_1_1_1_1_1_1_1_1_1_1_1_1_1_1_1_1_1_1_1_1_1_1_1_1_1_1_1_1_1_1_1_1_1_1_1_9"/>
    <protectedRange algorithmName="SHA-512" hashValue="e1FOu1UlwA7reaiyQlEGzbU6dAFPyHPlKfgo6VzFBBobawyOfUsh2c/+wjC8bICpcXVPmRerMGA9+qKsw5p7Iw==" saltValue="UD2tVZrxqZTGI3vDzMBrHw==" spinCount="100000" sqref="E44:G44 E64:G64 E128:G128 E137:G137" name="Range1_9"/>
    <protectedRange algorithmName="SHA-512" hashValue="e1FOu1UlwA7reaiyQlEGzbU6dAFPyHPlKfgo6VzFBBobawyOfUsh2c/+wjC8bICpcXVPmRerMGA9+qKsw5p7Iw==" saltValue="UD2tVZrxqZTGI3vDzMBrHw==" spinCount="100000" sqref="H44 H64 H128 H137" name="Range1_1_2"/>
    <protectedRange algorithmName="SHA-512" hashValue="e1FOu1UlwA7reaiyQlEGzbU6dAFPyHPlKfgo6VzFBBobawyOfUsh2c/+wjC8bICpcXVPmRerMGA9+qKsw5p7Iw==" saltValue="UD2tVZrxqZTGI3vDzMBrHw==" spinCount="100000" sqref="K44 M44 K128 K64 M137 M64 M128 K137" name="Range1_2_2"/>
    <protectedRange algorithmName="SHA-512" hashValue="e1FOu1UlwA7reaiyQlEGzbU6dAFPyHPlKfgo6VzFBBobawyOfUsh2c/+wjC8bICpcXVPmRerMGA9+qKsw5p7Iw==" saltValue="UD2tVZrxqZTGI3vDzMBrHw==" spinCount="100000" sqref="A51:A52 A81 A121:A123" name="Range1_1_2_1_1_1_1_1_1_1_1_1_2_1_1_1_1_1_1_1_1_1_1_1_1_1_1_1_1_1_1_1_1_1_2_1_1_1_1_1_1_1_1_1_1_1_1_1_1_1_1_1_1_1_1_1_1_1_1_2_1_1_1_1_1_1_1_1_1_1_1_1_1_2_1_1_1_1_1_1_1_1_2_1_2_1_1_1_1_1_1_1_1_1_1_1_1_1_1_1_1_1_1_1_1_1_1_1_1_1_1_1_1_1_1_1_1_1_1_1_1_1_1_1_10"/>
    <protectedRange algorithmName="SHA-512" hashValue="e1FOu1UlwA7reaiyQlEGzbU6dAFPyHPlKfgo6VzFBBobawyOfUsh2c/+wjC8bICpcXVPmRerMGA9+qKsw5p7Iw==" saltValue="UD2tVZrxqZTGI3vDzMBrHw==" spinCount="100000" sqref="E51:E52 E81 E121:E123" name="Range1_4_1_3"/>
    <protectedRange algorithmName="SHA-512" hashValue="e1FOu1UlwA7reaiyQlEGzbU6dAFPyHPlKfgo6VzFBBobawyOfUsh2c/+wjC8bICpcXVPmRerMGA9+qKsw5p7Iw==" saltValue="UD2tVZrxqZTGI3vDzMBrHw==" spinCount="100000" sqref="A57:A58" name="Range1_1_2_1_1_1_1_1_1_1_1_1_2_1_1_1_1_1_1_1_1_1_1_1_1_1_1_1_1_1_1_1_1_1_2_1_1_1_1_1_1_1_1_1_1_1_1_1_1_1_1_1_1_1_1_1_1_1_1_2_1_1_1_1_1_1_1_1_1_1_1_1_1_2_1_1_1_1_1_1_1_1_2_1_2_1_1_1_1_1_1_1_1_1_1_1_1_1_1_1_1_1_1_1_1_2_1_1_3_1_1"/>
    <protectedRange algorithmName="SHA-512" hashValue="e1FOu1UlwA7reaiyQlEGzbU6dAFPyHPlKfgo6VzFBBobawyOfUsh2c/+wjC8bICpcXVPmRerMGA9+qKsw5p7Iw==" saltValue="UD2tVZrxqZTGI3vDzMBrHw==" spinCount="100000" sqref="E57:E58" name="Range1_1_2_2_1_3_1_1"/>
    <protectedRange algorithmName="SHA-512" hashValue="e1FOu1UlwA7reaiyQlEGzbU6dAFPyHPlKfgo6VzFBBobawyOfUsh2c/+wjC8bICpcXVPmRerMGA9+qKsw5p7Iw==" saltValue="UD2tVZrxqZTGI3vDzMBrHw==" spinCount="100000" sqref="A79:A80 A53:A54 A39:A40 A56 A29:A32 A82 A67:A74" name="Range1_1_2_1_1_1_1_1_1_1_1_1_2_1_1_1_1_1_1_1_1_1_1_1_1_1_1_1_1_1_1_1_1_1_2_1_1_1_1_1_1_1_1_1_1_1_1_1_1_1_1_1_1_1_1_1_1_1_1_2_1_1_1_1_1_1_1_1_1_1_1_1_1_2_1_1_1_1_1_1_1_1_2_1_2_1_1_1_1_1_1_1_1_1_1_1_1_1_1_1_1_1_1_1_1_1_1_1_1_1_1_1_1_1_1_1_1_1_1_1_1_1_1_1_11"/>
    <protectedRange algorithmName="SHA-512" hashValue="e1FOu1UlwA7reaiyQlEGzbU6dAFPyHPlKfgo6VzFBBobawyOfUsh2c/+wjC8bICpcXVPmRerMGA9+qKsw5p7Iw==" saltValue="UD2tVZrxqZTGI3vDzMBrHw==" spinCount="100000" sqref="E79:E80 E53:E54 E39:E40 E56 E29:E32 E82 E67:E74" name="Range1_6_2"/>
    <protectedRange algorithmName="SHA-512" hashValue="e1FOu1UlwA7reaiyQlEGzbU6dAFPyHPlKfgo6VzFBBobawyOfUsh2c/+wjC8bICpcXVPmRerMGA9+qKsw5p7Iw==" saltValue="UD2tVZrxqZTGI3vDzMBrHw==" spinCount="100000" sqref="A24 A26:A28 A13 A61:A62 A65:A66" name="Range1_1_2_1_1_1_1_1_1_1_1_1_2_1_1_1_1_1_1_1_1_1_1_1_1_1_1_1_1_1_1_1_1_1_2_1_1_1_1_1_1_1_1_1_1_1_1_1_1_1_1_1_1_1_1_1_1_1_1_2_1_1_1_1_1_1_1_1_1_1_1_1_1_2_1_1_1_1_1_1_1_1_2_1_2_1_1_1_1_1_1_1_1_1_1_1_1_1_1_1_1_1_1_1_1_1_1_1_1_1_1_1_1_1_1_1_1_1_1_1_1_1_1_1_16"/>
    <protectedRange algorithmName="SHA-512" hashValue="e1FOu1UlwA7reaiyQlEGzbU6dAFPyHPlKfgo6VzFBBobawyOfUsh2c/+wjC8bICpcXVPmRerMGA9+qKsw5p7Iw==" saltValue="UD2tVZrxqZTGI3vDzMBrHw==" spinCount="100000" sqref="E24 E26:E28 E13 E61:E62 E65:E66" name="Range1_1_3_2"/>
    <protectedRange algorithmName="SHA-512" hashValue="e1FOu1UlwA7reaiyQlEGzbU6dAFPyHPlKfgo6VzFBBobawyOfUsh2c/+wjC8bICpcXVPmRerMGA9+qKsw5p7Iw==" saltValue="UD2tVZrxqZTGI3vDzMBrHw==" spinCount="100000" sqref="A48" name="Range1_1_2_1_1_1_1_1_1_1_1_1_2_1_1_1_1_1_1_1_1_1_1_1_1_1_1_1_1_1_1_1_1_1_2_1_1_1_1_1_1_1_1_1_1_1_1_1_1_1_1_1_1_1_1_1_1_1_1_2_1_1_1_1_1_1_1_1_1_1_1_1_1_2_1_1_1_1_1_1_1_1_2_1_2_1_1_1_1_1_1_1_1_1_1_1_1_1_1_1_1_1_1_1_1_1_1_1_1_1_1_1_1_1_1_1_1_1_1"/>
    <protectedRange algorithmName="SHA-512" hashValue="e1FOu1UlwA7reaiyQlEGzbU6dAFPyHPlKfgo6VzFBBobawyOfUsh2c/+wjC8bICpcXVPmRerMGA9+qKsw5p7Iw==" saltValue="UD2tVZrxqZTGI3vDzMBrHw==" spinCount="100000" sqref="E48" name="Range1_6_1_1"/>
    <protectedRange algorithmName="SHA-512" hashValue="e1FOu1UlwA7reaiyQlEGzbU6dAFPyHPlKfgo6VzFBBobawyOfUsh2c/+wjC8bICpcXVPmRerMGA9+qKsw5p7Iw==" saltValue="UD2tVZrxqZTGI3vDzMBrHw==" spinCount="100000" sqref="A49:A50" name="Range1_1_2_1_1_1_1_1_1_1_1_1_2_1_1_1_1_1_1_1_1_1_1_1_1_1_1_1_1_1_1_1_1_1_2_1_1_1_1_1_1_1_1_1_1_1_1_1_1_1_1_1_1_1_1_1_1_1_1_2_1_1_1_1_1_1_1_1_1_1_1_1_1_2_1_1_1_1_1_1_1_1_2_1_2_1_1_1_1_1_1_1_1_1_1_1_1_1_1_1_1_1_1_1_1_1_1_1_1_1_1_1_1_1_1_1_1_1_1_1_1_1_1_1_17"/>
    <protectedRange algorithmName="SHA-512" hashValue="e1FOu1UlwA7reaiyQlEGzbU6dAFPyHPlKfgo6VzFBBobawyOfUsh2c/+wjC8bICpcXVPmRerMGA9+qKsw5p7Iw==" saltValue="UD2tVZrxqZTGI3vDzMBrHw==" spinCount="100000" sqref="E49:E50" name="Range1_4_2_1_2"/>
    <protectedRange algorithmName="SHA-512" hashValue="e1FOu1UlwA7reaiyQlEGzbU6dAFPyHPlKfgo6VzFBBobawyOfUsh2c/+wjC8bICpcXVPmRerMGA9+qKsw5p7Iw==" saltValue="UD2tVZrxqZTGI3vDzMBrHw==" spinCount="100000" sqref="A59:A60" name="Range1_1_2_1_1_1_1_1_1_1_1_1_2_1_1_1_1_1_1_1_1_1_1_1_1_1_1_1_1_1_1_1_1_1_2_1_1_1_1_1_1_1_1_1_1_1_1_1_1_1_1_1_1_1_1_1_1_1_1_2_1_1_1_1_1_1_1_1_1_1_1_1_1_2_1_1_1_1_1_1_1_1_2_1_2_1_1_1_1_1_1_1_1_1_1_1_1_1_1_1_1_1_1_1_1_1_1_1_1_1_1_1_1_1_1_1_1_1_1_1_1_1_1_1_18"/>
    <protectedRange algorithmName="SHA-512" hashValue="e1FOu1UlwA7reaiyQlEGzbU6dAFPyHPlKfgo6VzFBBobawyOfUsh2c/+wjC8bICpcXVPmRerMGA9+qKsw5p7Iw==" saltValue="UD2tVZrxqZTGI3vDzMBrHw==" spinCount="100000" sqref="E59:E60" name="Range1_1_3_1_1"/>
    <protectedRange algorithmName="SHA-512" hashValue="e1FOu1UlwA7reaiyQlEGzbU6dAFPyHPlKfgo6VzFBBobawyOfUsh2c/+wjC8bICpcXVPmRerMGA9+qKsw5p7Iw==" saltValue="UD2tVZrxqZTGI3vDzMBrHw==" spinCount="100000" sqref="A37:A38" name="Range1_1_2_1_1_1_1_1_1_1_1_1_2_1_1_1_1_1_1_1_1_1_1_1_1_1_1_1_1_1_1_1_1_1_2_1_1_1_1_1_1_1_1_1_1_1_1_1_1_1_1_1_1_1_1_1_1_1_1_2_1_1_1_1_1_1_1_1_1_1_1_1_1_2_1_1_1_1_1_1_1_1_2_1_2_1_1_1_1_1_1_1_1_1_1_1_1_1_1_1_1_1_1_1_2_1_1_1"/>
    <protectedRange algorithmName="SHA-512" hashValue="e1FOu1UlwA7reaiyQlEGzbU6dAFPyHPlKfgo6VzFBBobawyOfUsh2c/+wjC8bICpcXVPmRerMGA9+qKsw5p7Iw==" saltValue="UD2tVZrxqZTGI3vDzMBrHw==" spinCount="100000" sqref="E37:E38" name="Range1_3_1_3_1"/>
    <protectedRange algorithmName="SHA-512" hashValue="e1FOu1UlwA7reaiyQlEGzbU6dAFPyHPlKfgo6VzFBBobawyOfUsh2c/+wjC8bICpcXVPmRerMGA9+qKsw5p7Iw==" saltValue="UD2tVZrxqZTGI3vDzMBrHw==" spinCount="100000" sqref="A75:A76" name="Range1_1_2_1_1_1_1_1_1_1_1_1_2_1_1_1_1_1_1_1_1_1_1_1_1_1_1_1_1_1_1_1_1_1_2_1_1_1_1_1_1_1_1_1_1_1_1_1_1_1_1_1_1_1_1_1_1_1_1_2_1_1_1_1_1_1_1_1_1_1_1_1_1_2_1_1_1_1_1_1_1_1_2_1_2_1_1_1_1_1_1_1_1_1_2_1_1_2"/>
    <protectedRange algorithmName="SHA-512" hashValue="e1FOu1UlwA7reaiyQlEGzbU6dAFPyHPlKfgo6VzFBBobawyOfUsh2c/+wjC8bICpcXVPmRerMGA9+qKsw5p7Iw==" saltValue="UD2tVZrxqZTGI3vDzMBrHw==" spinCount="100000" sqref="E75:E76" name="Range1_5_1_1_1_1_2_1_1_2"/>
    <protectedRange algorithmName="SHA-512" hashValue="e1FOu1UlwA7reaiyQlEGzbU6dAFPyHPlKfgo6VzFBBobawyOfUsh2c/+wjC8bICpcXVPmRerMGA9+qKsw5p7Iw==" saltValue="UD2tVZrxqZTGI3vDzMBrHw==" spinCount="100000" sqref="A42:A43" name="Range1_1_2_1_1_1_1_1_1_1_1_1_2_1_1_1_1_1_1_1_1_1_1_1_1_1_1_1_1_1_1_1_1_1_2_1_1_1_1_1_1_1_1_1_1_1_1_1_1_1_1_1_1_1_1_1_1_1_1_2_1_1_1_1_1_1_1_1_1_1_1_1_1_2_1_1_1_1_1_1_1_1_2_1_2_1_1_1_1_1_1_2_1_1_1_1_1_1_1"/>
    <protectedRange algorithmName="SHA-512" hashValue="e1FOu1UlwA7reaiyQlEGzbU6dAFPyHPlKfgo6VzFBBobawyOfUsh2c/+wjC8bICpcXVPmRerMGA9+qKsw5p7Iw==" saltValue="UD2tVZrxqZTGI3vDzMBrHw==" spinCount="100000" sqref="E42:E43" name="Range1_3_2_2_1_1_1_1_1"/>
    <protectedRange algorithmName="SHA-512" hashValue="e1FOu1UlwA7reaiyQlEGzbU6dAFPyHPlKfgo6VzFBBobawyOfUsh2c/+wjC8bICpcXVPmRerMGA9+qKsw5p7Iw==" saltValue="UD2tVZrxqZTGI3vDzMBrHw==" spinCount="100000" sqref="A41" name="Range1_1_2_1_1_1_1_1_1_1_1_1_2_1_1_1_1_1_1_1_1_1_1_1_1_1_1_1_1_1_1_1_1_1_2_1_1_1_1_1_1_1_1_1_1_1_1_1_1_1_1_1_1_1_1_1_1_1_1_2_1_1_1_1_1_1_1_1_1_1_1_1_1_2_1_1_1_1_1_1_1_1_2_1_2_1_1_1_1_1_1_1_1_1_2_1_1_1_1_1"/>
    <protectedRange algorithmName="SHA-512" hashValue="e1FOu1UlwA7reaiyQlEGzbU6dAFPyHPlKfgo6VzFBBobawyOfUsh2c/+wjC8bICpcXVPmRerMGA9+qKsw5p7Iw==" saltValue="UD2tVZrxqZTGI3vDzMBrHw==" spinCount="100000" sqref="E41" name="Range1_5_1_1_1_1_2_1_1_1_1_1"/>
    <protectedRange algorithmName="SHA-512" hashValue="e1FOu1UlwA7reaiyQlEGzbU6dAFPyHPlKfgo6VzFBBobawyOfUsh2c/+wjC8bICpcXVPmRerMGA9+qKsw5p7Iw==" saltValue="UD2tVZrxqZTGI3vDzMBrHw==" spinCount="100000" sqref="A77:A78" name="Range1_1_2_1_1_1_1_1_1_1_1_1_2_1_1_1_1_1_1_1_1_1_1_1_1_1_1_1_1_1_1_1_1_1_2_1_1_1_1_1_1_1_1_1_1_1_1_1_1_1_1_1_1_1_1_1_1_1_1_2_1_1_1_1_1_1_1_1_1_1_1_1_1_2_1_1_1_1_1_1_1_1_2_1_2_1_1_1_1_1_1_1_1_1_2_1_2_2_1_1"/>
    <protectedRange algorithmName="SHA-512" hashValue="e1FOu1UlwA7reaiyQlEGzbU6dAFPyHPlKfgo6VzFBBobawyOfUsh2c/+wjC8bICpcXVPmRerMGA9+qKsw5p7Iw==" saltValue="UD2tVZrxqZTGI3vDzMBrHw==" spinCount="100000" sqref="E77:E78" name="Range1_5_1_1_1_1_2_1_2_2_1_1"/>
    <protectedRange algorithmName="SHA-512" hashValue="e1FOu1UlwA7reaiyQlEGzbU6dAFPyHPlKfgo6VzFBBobawyOfUsh2c/+wjC8bICpcXVPmRerMGA9+qKsw5p7Iw==" saltValue="UD2tVZrxqZTGI3vDzMBrHw==" spinCount="100000" sqref="A223:B223 A108:B108 A159:B159" name="Range1_20_1_1_1_1_1_1_1_2_1_1_2_4_2_1_1"/>
    <protectedRange algorithmName="SHA-512" hashValue="e1FOu1UlwA7reaiyQlEGzbU6dAFPyHPlKfgo6VzFBBobawyOfUsh2c/+wjC8bICpcXVPmRerMGA9+qKsw5p7Iw==" saltValue="UD2tVZrxqZTGI3vDzMBrHw==" spinCount="100000" sqref="E223 E108 E159" name="Range1_2_1_6_4_2_1_1"/>
    <protectedRange algorithmName="SHA-512" hashValue="e1FOu1UlwA7reaiyQlEGzbU6dAFPyHPlKfgo6VzFBBobawyOfUsh2c/+wjC8bICpcXVPmRerMGA9+qKsw5p7Iw==" saltValue="UD2tVZrxqZTGI3vDzMBrHw==" spinCount="100000" sqref="D83:F83 A83:B83 D142:F142 A142:B142 D200:F200 A200:B200" name="Range1_1_3_2_1_1_1_1_1_1_1"/>
    <protectedRange algorithmName="SHA-512" hashValue="e1FOu1UlwA7reaiyQlEGzbU6dAFPyHPlKfgo6VzFBBobawyOfUsh2c/+wjC8bICpcXVPmRerMGA9+qKsw5p7Iw==" saltValue="UD2tVZrxqZTGI3vDzMBrHw==" spinCount="100000" sqref="H83 H142 H200" name="Range1_1_1_1_2_2_1_2_1_1"/>
    <protectedRange algorithmName="SHA-512" hashValue="e1FOu1UlwA7reaiyQlEGzbU6dAFPyHPlKfgo6VzFBBobawyOfUsh2c/+wjC8bICpcXVPmRerMGA9+qKsw5p7Iw==" saltValue="UD2tVZrxqZTGI3vDzMBrHw==" spinCount="100000" sqref="K83:M83 K142:M142 K200:M200" name="Range1_2_4_1_3_1_1_1_1"/>
    <protectedRange algorithmName="SHA-512" hashValue="e1FOu1UlwA7reaiyQlEGzbU6dAFPyHPlKfgo6VzFBBobawyOfUsh2c/+wjC8bICpcXVPmRerMGA9+qKsw5p7Iw==" saltValue="UD2tVZrxqZTGI3vDzMBrHw==" spinCount="100000" sqref="A141:B141" name="Range1_1_2_1_1_1_1_1_1_1_1_1_2_1_1_1_1_1_1_1_1_1_1_1_1_1_1_1_1_1_1_1_1_1_2_1_1_1_1_1_1_1_1_1_1_1_1_1_1_1_1_1_1_1_1_1_1_1_1_2_1_1_1_1_1_1_1_1_1_1_1_1_1_2_1_1_1_1_1_1_1_1_2_1_2_1_1_1_1_1_1_1_1_1_1_1_1_1_1_1_1_1_1_1_1_1_1_1_1_1_1_1_1_1_1_1_1_1_2"/>
    <protectedRange algorithmName="SHA-512" hashValue="e1FOu1UlwA7reaiyQlEGzbU6dAFPyHPlKfgo6VzFBBobawyOfUsh2c/+wjC8bICpcXVPmRerMGA9+qKsw5p7Iw==" saltValue="UD2tVZrxqZTGI3vDzMBrHw==" spinCount="100000" sqref="E141" name="Range1_6_3"/>
    <protectedRange algorithmName="SHA-512" hashValue="e1FOu1UlwA7reaiyQlEGzbU6dAFPyHPlKfgo6VzFBBobawyOfUsh2c/+wjC8bICpcXVPmRerMGA9+qKsw5p7Iw==" saltValue="UD2tVZrxqZTGI3vDzMBrHw==" spinCount="100000" sqref="A132:A133 A135" name="Range1_1_2_1_1_1_1_1_1_1_1_1_2_1_1_1_1_1_1_1_1_1_1_1_1_1_1_1_1_1_1_1_1_1_2_1_1_1_1_1_1_1_1_1_1_1_1_1_1_1_1_1_1_1_1_1_1_1_1_2_1_1_1_1_1_1_1_1_1_1_1_1_1_2_1_1_1_1_1_1_1_1_2_1_2_1_1_1_1_1_1_1_1_1_1_1_1_1_1_1_1_1_1_1_1_1_1_1_1_1_1_1_1_1_1_1_1_1_1_1_1_1_1_1_2"/>
    <protectedRange algorithmName="SHA-512" hashValue="e1FOu1UlwA7reaiyQlEGzbU6dAFPyHPlKfgo6VzFBBobawyOfUsh2c/+wjC8bICpcXVPmRerMGA9+qKsw5p7Iw==" saltValue="UD2tVZrxqZTGI3vDzMBrHw==" spinCount="100000" sqref="E132:G133 E135:G135" name="Range1_4_5_2"/>
    <protectedRange algorithmName="SHA-512" hashValue="e1FOu1UlwA7reaiyQlEGzbU6dAFPyHPlKfgo6VzFBBobawyOfUsh2c/+wjC8bICpcXVPmRerMGA9+qKsw5p7Iw==" saltValue="UD2tVZrxqZTGI3vDzMBrHw==" spinCount="100000" sqref="H132:H133 H135" name="Range1_5_1_1"/>
    <protectedRange algorithmName="SHA-512" hashValue="e1FOu1UlwA7reaiyQlEGzbU6dAFPyHPlKfgo6VzFBBobawyOfUsh2c/+wjC8bICpcXVPmRerMGA9+qKsw5p7Iw==" saltValue="UD2tVZrxqZTGI3vDzMBrHw==" spinCount="100000" sqref="K135 K132:K133 M132:M133 M135" name="Range1_6_1_2"/>
    <protectedRange algorithmName="SHA-512" hashValue="e1FOu1UlwA7reaiyQlEGzbU6dAFPyHPlKfgo6VzFBBobawyOfUsh2c/+wjC8bICpcXVPmRerMGA9+qKsw5p7Iw==" saltValue="UD2tVZrxqZTGI3vDzMBrHw==" spinCount="100000" sqref="B132:B133 B135" name="Range1_1_2_1_1_1_1_1_1_1_1_1_2_1_1_1_1_1_1_1_1_1_1_1_1_1_1_1_1_1_1_1_1_1_2_1_1_1_1_1_1_1_1_1_1_1_1_1_1_1_1_1_1_1_1_1_1_1_1_2_1_1_1_1_1_1_1_1_1_1_1_1_1_2_1_1_1_1_1_1_1_1_2_1_2_1_1_1_1_1_1_1_1_1_1_1_1_1_1_1_1_1_1_1_1_1_1_1_1_1_1_1_1_1_1_1_1_1_2_2"/>
    <protectedRange algorithmName="SHA-512" hashValue="e1FOu1UlwA7reaiyQlEGzbU6dAFPyHPlKfgo6VzFBBobawyOfUsh2c/+wjC8bICpcXVPmRerMGA9+qKsw5p7Iw==" saltValue="UD2tVZrxqZTGI3vDzMBrHw==" spinCount="100000" sqref="A63" name="Range1_1_2_1_1_1_1_1_1_1_1_1_2_1_1_1_1_1_1_1_1_1_1_1_1_1_1_1_1_1_1_1_1_1_2_1_1_1_1_1_1_1_1_1_1_1_1_1_1_1_1_1_1_1_1_1_1_1_1_2_1_1_1_1_1_1_1_1_1_1_1_1_1_2_1_1_1_1_1_1_1_1_2_1_2_1_1_1_1_1_1_1_1_1_1_1_1_1_1_1_1_1_1_1_1_1_1_1_1_1_1_1_1_1_1_1_1_1_1_1_1_1_1_1_3"/>
    <protectedRange algorithmName="SHA-512" hashValue="e1FOu1UlwA7reaiyQlEGzbU6dAFPyHPlKfgo6VzFBBobawyOfUsh2c/+wjC8bICpcXVPmRerMGA9+qKsw5p7Iw==" saltValue="UD2tVZrxqZTGI3vDzMBrHw==" spinCount="100000" sqref="E63:G63" name="Range1_4_5_3"/>
    <protectedRange algorithmName="SHA-512" hashValue="e1FOu1UlwA7reaiyQlEGzbU6dAFPyHPlKfgo6VzFBBobawyOfUsh2c/+wjC8bICpcXVPmRerMGA9+qKsw5p7Iw==" saltValue="UD2tVZrxqZTGI3vDzMBrHw==" spinCount="100000" sqref="H63" name="Range1_5_1_2"/>
    <protectedRange algorithmName="SHA-512" hashValue="e1FOu1UlwA7reaiyQlEGzbU6dAFPyHPlKfgo6VzFBBobawyOfUsh2c/+wjC8bICpcXVPmRerMGA9+qKsw5p7Iw==" saltValue="UD2tVZrxqZTGI3vDzMBrHw==" spinCount="100000" sqref="K63 M63" name="Range1_6_1_3"/>
    <protectedRange algorithmName="SHA-512" hashValue="e1FOu1UlwA7reaiyQlEGzbU6dAFPyHPlKfgo6VzFBBobawyOfUsh2c/+wjC8bICpcXVPmRerMGA9+qKsw5p7Iw==" saltValue="UD2tVZrxqZTGI3vDzMBrHw==" spinCount="100000" sqref="B63" name="Range1_1_2_1_1_1_1_1_1_1_1_1_2_1_1_1_1_1_1_1_1_1_1_1_1_1_1_1_1_1_1_1_1_1_2_1_1_1_1_1_1_1_1_1_1_1_1_1_1_1_1_1_1_1_1_1_1_1_1_2_1_1_1_1_1_1_1_1_1_1_1_1_1_2_1_1_1_1_1_1_1_1_2_1_2_1_1_1_1_1_1_1_1_1_1_1_1_1_1_1_1_1_1_1_1_1_1_1_1_1_1_1_1_1_1_1_1_1_2_3"/>
    <protectedRange algorithmName="SHA-512" hashValue="e1FOu1UlwA7reaiyQlEGzbU6dAFPyHPlKfgo6VzFBBobawyOfUsh2c/+wjC8bICpcXVPmRerMGA9+qKsw5p7Iw==" saltValue="UD2tVZrxqZTGI3vDzMBrHw==" spinCount="100000" sqref="A183" name="Range1_1_2_1_1_1_1_1_1_1_1_1_2_1_1_1_1_1_1_1_1_1_1_1_1_1_1_1_1_1_1_1_1_1_2_1_1_1_1_1_1_1_1_1_1_1_1_1_1_1_1_1_1_1_1_1_1_1_1_2_1_1_1_1_1_1_1_1_1_1_1_1_1_2_1_1_1_1_1_1_1_1_2_1_2_1_1_1_1_1_1_1_1_1_1_1_1_1_1_1_1_1_1_1_1_1_1_1_1_1_1_1_1_1_1_1_1_1_1_1_1_1_1_1_5"/>
    <protectedRange algorithmName="SHA-512" hashValue="e1FOu1UlwA7reaiyQlEGzbU6dAFPyHPlKfgo6VzFBBobawyOfUsh2c/+wjC8bICpcXVPmRerMGA9+qKsw5p7Iw==" saltValue="UD2tVZrxqZTGI3vDzMBrHw==" spinCount="100000" sqref="E183" name="Range1_1"/>
    <protectedRange algorithmName="SHA-512" hashValue="e1FOu1UlwA7reaiyQlEGzbU6dAFPyHPlKfgo6VzFBBobawyOfUsh2c/+wjC8bICpcXVPmRerMGA9+qKsw5p7Iw==" saltValue="UD2tVZrxqZTGI3vDzMBrHw==" spinCount="100000" sqref="B183" name="Range1_1_2_1_1_1_1_1_1_1_1_1_2_1_1_1_1_1_1_1_1_1_1_1_1_1_1_1_1_1_1_1_1_1_2_1_1_1_1_1_1_1_1_1_1_1_1_1_1_1_1_1_1_1_1_1_1_1_1_2_1_1_1_1_1_1_1_1_1_1_1_1_1_2_1_1_1_1_1_1_1_1_2_1_2_1_1_1_1_1_1_1_1_1_1_1_1_1_1_1_1_1_1_1_1_1_1_1_1_1_1_1_1_1_1_1_1_1_2_4"/>
    <protectedRange algorithmName="SHA-512" hashValue="e1FOu1UlwA7reaiyQlEGzbU6dAFPyHPlKfgo6VzFBBobawyOfUsh2c/+wjC8bICpcXVPmRerMGA9+qKsw5p7Iw==" saltValue="UD2tVZrxqZTGI3vDzMBrHw==" spinCount="100000" sqref="A25:B25" name="Range1_1_2_1_1_1_1_1_1_1_1_1_2_1_1_1_1_1_1_1_1_1_1_1_1_1_1_1_1_1_1_1_1_1_2_1_1_1_1_1_1_1_1_1_1_1_1_1_1_1_1_1_1_1_1_1_1_1_1_2_1_1_1_1_1_1_1_1_1_1_1_1_1_2_1_1_1_1_1_1_1_1_2_1_2_1_1_1_1_1_1_1_1_1_1_1_1_1_1_1_1_1_1_1_1_1_1_1_1_1_1_1_1_1_1_1_1_1_1_1_1_1_1_1_1"/>
    <protectedRange algorithmName="SHA-512" hashValue="e1FOu1UlwA7reaiyQlEGzbU6dAFPyHPlKfgo6VzFBBobawyOfUsh2c/+wjC8bICpcXVPmRerMGA9+qKsw5p7Iw==" saltValue="UD2tVZrxqZTGI3vDzMBrHw==" spinCount="100000" sqref="H25 E25" name="Range1_4_3"/>
    <protectedRange algorithmName="SHA-512" hashValue="e1FOu1UlwA7reaiyQlEGzbU6dAFPyHPlKfgo6VzFBBobawyOfUsh2c/+wjC8bICpcXVPmRerMGA9+qKsw5p7Iw==" saltValue="UD2tVZrxqZTGI3vDzMBrHw==" spinCount="100000" sqref="K25 M25" name="Range1_5_1_1_1"/>
    <protectedRange algorithmName="SHA-512" hashValue="e1FOu1UlwA7reaiyQlEGzbU6dAFPyHPlKfgo6VzFBBobawyOfUsh2c/+wjC8bICpcXVPmRerMGA9+qKsw5p7Iw==" saltValue="UD2tVZrxqZTGI3vDzMBrHw==" spinCount="100000" sqref="R25" name="Range1_6_4"/>
    <protectedRange algorithmName="SHA-512" hashValue="e1FOu1UlwA7reaiyQlEGzbU6dAFPyHPlKfgo6VzFBBobawyOfUsh2c/+wjC8bICpcXVPmRerMGA9+qKsw5p7Iw==" saltValue="UD2tVZrxqZTGI3vDzMBrHw==" spinCount="100000" sqref="A55:B55" name="Range1_1_2_1_1_1_1_1_1_1_1_1_2_1_1_1_1_1_1_1_1_1_1_1_1_1_1_1_1_1_1_1_1_1_2_1_1_1_1_1_1_1_1_1_1_1_1_1_1_1_1_1_1_1_1_1_1_1_1_2_1_1_1_1_1_1_1_1_1_1_1_1_1_2_1_1_1_1_1_1_1_1_2_1_2_1_1_1_1_1_1_1_1_1_1_1_1_1_1_1_1_1_1_1_1_1_1_1_1_1_1_1_1_1_1_1_1_1_1_1_1_1_1_1_12"/>
    <protectedRange algorithmName="SHA-512" hashValue="e1FOu1UlwA7reaiyQlEGzbU6dAFPyHPlKfgo6VzFBBobawyOfUsh2c/+wjC8bICpcXVPmRerMGA9+qKsw5p7Iw==" saltValue="UD2tVZrxqZTGI3vDzMBrHw==" spinCount="100000" sqref="H55 E55" name="Range1_4_3_1"/>
    <protectedRange algorithmName="SHA-512" hashValue="e1FOu1UlwA7reaiyQlEGzbU6dAFPyHPlKfgo6VzFBBobawyOfUsh2c/+wjC8bICpcXVPmRerMGA9+qKsw5p7Iw==" saltValue="UD2tVZrxqZTGI3vDzMBrHw==" spinCount="100000" sqref="K55 M55" name="Range1_5_1_1_2"/>
    <protectedRange algorithmName="SHA-512" hashValue="e1FOu1UlwA7reaiyQlEGzbU6dAFPyHPlKfgo6VzFBBobawyOfUsh2c/+wjC8bICpcXVPmRerMGA9+qKsw5p7Iw==" saltValue="UD2tVZrxqZTGI3vDzMBrHw==" spinCount="100000" sqref="R55" name="Range1_6_4_1"/>
    <protectedRange algorithmName="SHA-512" hashValue="e1FOu1UlwA7reaiyQlEGzbU6dAFPyHPlKfgo6VzFBBobawyOfUsh2c/+wjC8bICpcXVPmRerMGA9+qKsw5p7Iw==" saltValue="UD2tVZrxqZTGI3vDzMBrHw==" spinCount="100000" sqref="B12" name="Range1_1_2_1_1_1_1_1_1_1_1_1_2_1_1_1_1_1_1_1_1_1_1_1_1_1_1_1_1_1_1_1_1_1_2_1_1_1_1_1_1_1_1_1_1_1_1_1_1_1_1_1_1_1_1_1_1_1_1_2_1_1_1_1_1_1_1_1_1_1_1_1_1_2_1_1_1_1_1_1_1_1_2_1_2_1_1_1_1_1_1_1_1_1_1_1_1_1_1_1_1_1_1_1_1_1_1_1_1_1_1_1_1_1_1_1_1_1_1_1_1_1_1_1_14"/>
    <protectedRange algorithmName="SHA-512" hashValue="e1FOu1UlwA7reaiyQlEGzbU6dAFPyHPlKfgo6VzFBBobawyOfUsh2c/+wjC8bICpcXVPmRerMGA9+qKsw5p7Iw==" saltValue="UD2tVZrxqZTGI3vDzMBrHw==" spinCount="100000" sqref="A12" name="Range1_1_2_1_1_1_1_1_1_1_1_1_2_1_1_1_1_1_1_1_1_1_1_1_1_1_1_1_1_1_1_1_1_1_2_1_1_1_1_1_1_1_1_1_1_1_1_1_1_1_1_1_1_1_1_1_1_1_1_2_1_1_1_1_1_1_1_1_1_1_1_1_1_2_1_1_1_1_1_1_1_1_2_1_2_1_1_1_1_1_1_1_1_1_1_1_1_1_1_1_1_1_1_1_1_1_1_1_1_1_1_1_1_1_1_1_1_1_1_1_1_1_1_1_13"/>
    <protectedRange algorithmName="SHA-512" hashValue="e1FOu1UlwA7reaiyQlEGzbU6dAFPyHPlKfgo6VzFBBobawyOfUsh2c/+wjC8bICpcXVPmRerMGA9+qKsw5p7Iw==" saltValue="UD2tVZrxqZTGI3vDzMBrHw==" spinCount="100000" sqref="E12" name="Range1_4_1"/>
    <protectedRange algorithmName="SHA-512" hashValue="e1FOu1UlwA7reaiyQlEGzbU6dAFPyHPlKfgo6VzFBBobawyOfUsh2c/+wjC8bICpcXVPmRerMGA9+qKsw5p7Iw==" saltValue="UD2tVZrxqZTGI3vDzMBrHw==" spinCount="100000" sqref="B14:B15" name="Range1_1_2_1_1_1_1_1_1_1_1_1_2_1_1_1_1_1_1_1_1_1_1_1_1_1_1_1_1_1_1_1_1_1_2_1_1_1_1_1_1_1_1_1_1_1_1_1_1_1_1_1_1_1_1_1_1_1_1_2_1_1_1_1_1_1_1_1_1_1_1_1_1_2_1_1_1_1_1_1_1_1_2_1_2_1_1_1_1_1_1_1_1_1_1_1_1_1_1_1_1_1_1_1_1_1_1_1_1_1_1_1_1_1_1_1_1_1_1_1_1_1_1_1_24"/>
    <protectedRange algorithmName="SHA-512" hashValue="e1FOu1UlwA7reaiyQlEGzbU6dAFPyHPlKfgo6VzFBBobawyOfUsh2c/+wjC8bICpcXVPmRerMGA9+qKsw5p7Iw==" saltValue="UD2tVZrxqZTGI3vDzMBrHw==" spinCount="100000" sqref="R14:R15" name="Range1_4_1_1"/>
    <protectedRange algorithmName="SHA-512" hashValue="e1FOu1UlwA7reaiyQlEGzbU6dAFPyHPlKfgo6VzFBBobawyOfUsh2c/+wjC8bICpcXVPmRerMGA9+qKsw5p7Iw==" saltValue="UD2tVZrxqZTGI3vDzMBrHw==" spinCount="100000" sqref="A14:A15" name="Range1_1_2_1_1_1_1_1_1_1_1_1_2_1_1_1_1_1_1_1_1_1_1_1_1_1_1_1_1_1_1_1_1_1_2_1_1_1_1_1_1_1_1_1_1_1_1_1_1_1_1_1_1_1_1_1_1_1_1_2_1_1_1_1_1_1_1_1_1_1_1_1_1_2_1_1_1_1_1_1_1_1_2_1_2_1_1_1_1_1_1_1_1_1_1_1_1_1_1_1_1_1_1_1_1_1_1_1_1_1_1_1_1_1_1_1_1_1_1_1_1_1_1_1_25"/>
    <protectedRange algorithmName="SHA-512" hashValue="e1FOu1UlwA7reaiyQlEGzbU6dAFPyHPlKfgo6VzFBBobawyOfUsh2c/+wjC8bICpcXVPmRerMGA9+qKsw5p7Iw==" saltValue="UD2tVZrxqZTGI3vDzMBrHw==" spinCount="100000" sqref="E14:E15" name="Range1_1_1_2_1_2"/>
    <protectedRange algorithmName="SHA-512" hashValue="e1FOu1UlwA7reaiyQlEGzbU6dAFPyHPlKfgo6VzFBBobawyOfUsh2c/+wjC8bICpcXVPmRerMGA9+qKsw5p7Iw==" saltValue="UD2tVZrxqZTGI3vDzMBrHw==" spinCount="100000" sqref="A16:B17" name="Range1_1_2_1_1_1_1_1_1_1_1_1_2_1_1_1_1_1_1_1_1_1_1_1_1_1_1_1_1_1_1_1_1_1_2_1_1_1_1_1_1_1_1_1_1_1_1_1_1_1_1_1_1_1_1_1_1_1_1_2_1_1_1_1_1_1_1_1_1_1_1_1_1_2_1_1_1_1_1_1_1_1_2_1_2_1_1_1_1_1_1_1_1_1_1_1_1_1_1_1_1_1_1_1_1_1_1_1_1_1_1_1_1_1_1_1_1_1_1_1_1_1_1_1_15"/>
    <protectedRange algorithmName="SHA-512" hashValue="e1FOu1UlwA7reaiyQlEGzbU6dAFPyHPlKfgo6VzFBBobawyOfUsh2c/+wjC8bICpcXVPmRerMGA9+qKsw5p7Iw==" saltValue="UD2tVZrxqZTGI3vDzMBrHw==" spinCount="100000" sqref="E16:G17" name="Range1_1_5_3"/>
    <protectedRange algorithmName="SHA-512" hashValue="e1FOu1UlwA7reaiyQlEGzbU6dAFPyHPlKfgo6VzFBBobawyOfUsh2c/+wjC8bICpcXVPmRerMGA9+qKsw5p7Iw==" saltValue="UD2tVZrxqZTGI3vDzMBrHw==" spinCount="100000" sqref="H16:H17" name="Range1_2_1_3"/>
    <protectedRange algorithmName="SHA-512" hashValue="e1FOu1UlwA7reaiyQlEGzbU6dAFPyHPlKfgo6VzFBBobawyOfUsh2c/+wjC8bICpcXVPmRerMGA9+qKsw5p7Iw==" saltValue="UD2tVZrxqZTGI3vDzMBrHw==" spinCount="100000" sqref="K16:K17 M16:M17" name="Range1_3_1_1"/>
    <protectedRange algorithmName="SHA-512" hashValue="e1FOu1UlwA7reaiyQlEGzbU6dAFPyHPlKfgo6VzFBBobawyOfUsh2c/+wjC8bICpcXVPmRerMGA9+qKsw5p7Iw==" saltValue="UD2tVZrxqZTGI3vDzMBrHw==" spinCount="100000" sqref="R16:R17" name="Range1_4_1_2"/>
    <protectedRange algorithmName="SHA-512" hashValue="e1FOu1UlwA7reaiyQlEGzbU6dAFPyHPlKfgo6VzFBBobawyOfUsh2c/+wjC8bICpcXVPmRerMGA9+qKsw5p7Iw==" saltValue="UD2tVZrxqZTGI3vDzMBrHw==" spinCount="100000" sqref="B18:B20" name="Range1_1_2_1_1_1_1_1_1_1_1_1_2_1_1_1_1_1_1_1_1_1_1_1_1_1_1_1_1_1_1_1_1_1_2_1_1_1_1_1_1_1_1_1_1_1_1_1_1_1_1_1_1_1_1_1_1_1_1_2_1_1_1_1_1_1_1_1_1_1_1_1_1_2_1_1_1_1_1_1_1_1_2_1_2_1_1_1_1_1_1_1_1_1_1_1_1_1_1_1_1_1_1_1_1_1_1_1_1_1_1_1_1_1_1_1_1_1_1_1_1_1_1_1_20"/>
    <protectedRange algorithmName="SHA-512" hashValue="e1FOu1UlwA7reaiyQlEGzbU6dAFPyHPlKfgo6VzFBBobawyOfUsh2c/+wjC8bICpcXVPmRerMGA9+qKsw5p7Iw==" saltValue="UD2tVZrxqZTGI3vDzMBrHw==" spinCount="100000" sqref="R18:R20" name="Range1_4_1_4"/>
    <protectedRange algorithmName="SHA-512" hashValue="e1FOu1UlwA7reaiyQlEGzbU6dAFPyHPlKfgo6VzFBBobawyOfUsh2c/+wjC8bICpcXVPmRerMGA9+qKsw5p7Iw==" saltValue="UD2tVZrxqZTGI3vDzMBrHw==" spinCount="100000" sqref="A20" name="Range1_1_2_1_1_1_1_1_1_1_1_1_2_1_1_1_1_1_1_1_1_1_1_1_1_1_1_1_1_1_1_1_1_1_2_1_1_1_1_1_1_1_1_1_1_1_1_1_1_1_1_1_1_1_1_1_1_1_1_2_1_1_1_1_1_1_1_1_1_1_1_1_1_2_1_1_1_1_1_1_1_1_2_1_2_1_1_1_1_1_1_1_1_1_1_1_1_1_1_1_1_1_1_1_1_1_1_1_1_1_1_1_1_1_1_1_1_1_1_1_1_1_1_1_26"/>
    <protectedRange algorithmName="SHA-512" hashValue="e1FOu1UlwA7reaiyQlEGzbU6dAFPyHPlKfgo6VzFBBobawyOfUsh2c/+wjC8bICpcXVPmRerMGA9+qKsw5p7Iw==" saltValue="UD2tVZrxqZTGI3vDzMBrHw==" spinCount="100000" sqref="E20" name="Range1_9_1"/>
    <protectedRange algorithmName="SHA-512" hashValue="e1FOu1UlwA7reaiyQlEGzbU6dAFPyHPlKfgo6VzFBBobawyOfUsh2c/+wjC8bICpcXVPmRerMGA9+qKsw5p7Iw==" saltValue="UD2tVZrxqZTGI3vDzMBrHw==" spinCount="100000" sqref="A18:A19" name="Range1_1_2_1_1_1_1_1_1_1_1_1_2_1_1_1_1_1_1_1_1_1_1_1_1_1_1_1_1_1_1_1_1_1_2_1_1_1_1_1_1_1_1_1_1_1_1_1_1_1_1_1_1_1_1_1_1_1_1_2_1_1_1_1_1_1_1_1_1_1_1_1_1_2_1_1_1_1_1_1_1_1_2_1_2_1_1_1_1_1_1_1_1_1_1_1_1_1_1_1_1_1_1_1_1_1_1_1_1_1_1_1_1_1_1_1_1_1_1_1_1_1_1_1_43"/>
    <protectedRange algorithmName="SHA-512" hashValue="e1FOu1UlwA7reaiyQlEGzbU6dAFPyHPlKfgo6VzFBBobawyOfUsh2c/+wjC8bICpcXVPmRerMGA9+qKsw5p7Iw==" saltValue="UD2tVZrxqZTGI3vDzMBrHw==" spinCount="100000" sqref="E18:E19" name="Range1_10"/>
    <protectedRange algorithmName="SHA-512" hashValue="e1FOu1UlwA7reaiyQlEGzbU6dAFPyHPlKfgo6VzFBBobawyOfUsh2c/+wjC8bICpcXVPmRerMGA9+qKsw5p7Iw==" saltValue="UD2tVZrxqZTGI3vDzMBrHw==" spinCount="100000" sqref="B21" name="Range1_1_2_1_1_1_1_1_1_1_1_1_2_1_1_1_1_1_1_1_1_1_1_1_1_1_1_1_1_1_1_1_1_1_2_1_1_1_1_1_1_1_1_1_1_1_1_1_1_1_1_1_1_1_1_1_1_1_1_2_1_1_1_1_1_1_1_1_1_1_1_1_1_2_1_1_1_1_1_1_1_1_2_1_2_1_1_1_1_1_1_1_1_1_1_1_1_1_1_1_1_1_1_1_1_1_1_1_1_1_1_1_1_1_1_1_1_1_1_1_1_1_1_1_44"/>
    <protectedRange algorithmName="SHA-512" hashValue="e1FOu1UlwA7reaiyQlEGzbU6dAFPyHPlKfgo6VzFBBobawyOfUsh2c/+wjC8bICpcXVPmRerMGA9+qKsw5p7Iw==" saltValue="UD2tVZrxqZTGI3vDzMBrHw==" spinCount="100000" sqref="R21" name="Range1_4_1_1_1"/>
    <protectedRange algorithmName="SHA-512" hashValue="e1FOu1UlwA7reaiyQlEGzbU6dAFPyHPlKfgo6VzFBBobawyOfUsh2c/+wjC8bICpcXVPmRerMGA9+qKsw5p7Iw==" saltValue="UD2tVZrxqZTGI3vDzMBrHw==" spinCount="100000" sqref="A21" name="Range1_1_2_1_1_1_1_1_1_1_1_1_2_1_1_1_1_1_1_1_1_1_1_1_1_1_1_1_1_1_1_1_1_1_2_1_1_1_1_1_1_1_1_1_1_1_1_1_1_1_1_1_1_1_1_1_1_1_1_2_1_1_1_1_1_1_1_1_1_1_1_1_1_2_1_1_1_1_1_1_1_1_2_1_2_1_1_1_1_1_1_1_1_1_1_1_1_1_1_1_1_1_1_1_1_1_1_1_1_1_1_1_1_1_1_1_1_1_1_1_1_1_1_1_45"/>
    <protectedRange algorithmName="SHA-512" hashValue="e1FOu1UlwA7reaiyQlEGzbU6dAFPyHPlKfgo6VzFBBobawyOfUsh2c/+wjC8bICpcXVPmRerMGA9+qKsw5p7Iw==" saltValue="UD2tVZrxqZTGI3vDzMBrHw==" spinCount="100000" sqref="E21" name="Range1_1_4_1_1_1"/>
    <protectedRange algorithmName="SHA-512" hashValue="e1FOu1UlwA7reaiyQlEGzbU6dAFPyHPlKfgo6VzFBBobawyOfUsh2c/+wjC8bICpcXVPmRerMGA9+qKsw5p7Iw==" saltValue="UD2tVZrxqZTGI3vDzMBrHw==" spinCount="100000" sqref="B23" name="Range1_1_2_1_1_1_1_1_1_1_1_1_2_1_1_1_1_1_1_1_1_1_1_1_1_1_1_1_1_1_1_1_1_1_2_1_1_1_1_1_1_1_1_1_1_1_1_1_1_1_1_1_1_1_1_1_1_1_1_2_1_1_1_1_1_1_1_1_1_1_1_1_1_2_1_1_1_1_1_1_1_1_2_1_2_1_1_1_1_1_1_1_1_1_1_1_1_1_1_1_1_1_1_1_1_1_1_1_1_1_1_1_1_1_1_1_1_1_1_1_1_1_1_1_23"/>
    <protectedRange algorithmName="SHA-512" hashValue="e1FOu1UlwA7reaiyQlEGzbU6dAFPyHPlKfgo6VzFBBobawyOfUsh2c/+wjC8bICpcXVPmRerMGA9+qKsw5p7Iw==" saltValue="UD2tVZrxqZTGI3vDzMBrHw==" spinCount="100000" sqref="R23" name="Range1_4_1_1_2"/>
    <protectedRange algorithmName="SHA-512" hashValue="e1FOu1UlwA7reaiyQlEGzbU6dAFPyHPlKfgo6VzFBBobawyOfUsh2c/+wjC8bICpcXVPmRerMGA9+qKsw5p7Iw==" saltValue="UD2tVZrxqZTGI3vDzMBrHw==" spinCount="100000" sqref="A23" name="Range1_1_2_1_1_1_1_1_1_1_1_1_2_1_1_1_1_1_1_1_1_1_1_1_1_1_1_1_1_1_1_1_1_1_2_1_1_1_1_1_1_1_1_1_1_1_1_1_1_1_1_1_1_1_1_1_1_1_1_2_1_1_1_1_1_1_1_1_1_1_1_1_1_2_1_1_1_1_1_1_1_1_2_1_2_1_1_1_1_1_1_1_1_1_1_1_1_1_1_1_1_1_1_1_1_1_1_1_1_1_1_1_1_1_1_1_1_1_1_1_1_1_1_1_27"/>
    <protectedRange algorithmName="SHA-512" hashValue="e1FOu1UlwA7reaiyQlEGzbU6dAFPyHPlKfgo6VzFBBobawyOfUsh2c/+wjC8bICpcXVPmRerMGA9+qKsw5p7Iw==" saltValue="UD2tVZrxqZTGI3vDzMBrHw==" spinCount="100000" sqref="E23" name="Range1_1_4_1_1_1_1"/>
    <protectedRange algorithmName="SHA-512" hashValue="e1FOu1UlwA7reaiyQlEGzbU6dAFPyHPlKfgo6VzFBBobawyOfUsh2c/+wjC8bICpcXVPmRerMGA9+qKsw5p7Iw==" saltValue="UD2tVZrxqZTGI3vDzMBrHw==" spinCount="100000" sqref="A109:B110" name="Range1_1_2_1_1_1_1_1_1_1_1_1_2_1_1_1_1_1_1_1_1_1_1_1_1_1_1_1_1_1_1_1_1_1_2_1_1_1_1_1_1_1_1_1_1_1_1_1_1_1_1_1_1_1_1_1_1_1_1_2_1_1_1_1_1_1_1_1_1_1_1_1_1_2_1_1_1_1_1_1_1_1_2_1_2_1_1_1_1_1_1_1_1_1_1_1_1_1_1_1_1_1_1_1_1_1_1_1_1_1_1_1_1_1_1_1_1_1_1_1_1_1_1_1_28"/>
    <protectedRange algorithmName="SHA-512" hashValue="e1FOu1UlwA7reaiyQlEGzbU6dAFPyHPlKfgo6VzFBBobawyOfUsh2c/+wjC8bICpcXVPmRerMGA9+qKsw5p7Iw==" saltValue="UD2tVZrxqZTGI3vDzMBrHw==" spinCount="100000" sqref="E109:G110" name="Range1_1_5_4"/>
    <protectedRange algorithmName="SHA-512" hashValue="e1FOu1UlwA7reaiyQlEGzbU6dAFPyHPlKfgo6VzFBBobawyOfUsh2c/+wjC8bICpcXVPmRerMGA9+qKsw5p7Iw==" saltValue="UD2tVZrxqZTGI3vDzMBrHw==" spinCount="100000" sqref="H109:H110" name="Range1_2_1_4"/>
    <protectedRange algorithmName="SHA-512" hashValue="e1FOu1UlwA7reaiyQlEGzbU6dAFPyHPlKfgo6VzFBBobawyOfUsh2c/+wjC8bICpcXVPmRerMGA9+qKsw5p7Iw==" saltValue="UD2tVZrxqZTGI3vDzMBrHw==" spinCount="100000" sqref="M109:M110 K109:K110" name="Range1_3_1_3"/>
    <protectedRange algorithmName="SHA-512" hashValue="e1FOu1UlwA7reaiyQlEGzbU6dAFPyHPlKfgo6VzFBBobawyOfUsh2c/+wjC8bICpcXVPmRerMGA9+qKsw5p7Iw==" saltValue="UD2tVZrxqZTGI3vDzMBrHw==" spinCount="100000" sqref="R109:R110" name="Range1_4_1_1_3"/>
    <protectedRange algorithmName="SHA-512" hashValue="e1FOu1UlwA7reaiyQlEGzbU6dAFPyHPlKfgo6VzFBBobawyOfUsh2c/+wjC8bICpcXVPmRerMGA9+qKsw5p7Iw==" saltValue="UD2tVZrxqZTGI3vDzMBrHw==" spinCount="100000" sqref="B22" name="Range1_1_2_1_1_1_1_1_1_1_1_1_2_1_1_1_1_1_1_1_1_1_1_1_1_1_1_1_1_1_1_1_1_1_2_1_1_1_1_1_1_1_1_1_1_1_1_1_1_1_1_1_1_1_1_1_1_1_1_2_1_1_1_1_1_1_1_1_1_1_1_1_1_2_1_1_1_1_1_1_1_1_2_1_2_1_1_1_1_1_1_1_1_1_1_1_1_1_1_1_1_1_1_1_1_1_1_1_1_1_1_1_1_1_1_1_1_1_1_1_1_1_1_1_29"/>
    <protectedRange algorithmName="SHA-512" hashValue="e1FOu1UlwA7reaiyQlEGzbU6dAFPyHPlKfgo6VzFBBobawyOfUsh2c/+wjC8bICpcXVPmRerMGA9+qKsw5p7Iw==" saltValue="UD2tVZrxqZTGI3vDzMBrHw==" spinCount="100000" sqref="R22" name="Range1_4_1_1_4"/>
    <protectedRange algorithmName="SHA-512" hashValue="e1FOu1UlwA7reaiyQlEGzbU6dAFPyHPlKfgo6VzFBBobawyOfUsh2c/+wjC8bICpcXVPmRerMGA9+qKsw5p7Iw==" saltValue="UD2tVZrxqZTGI3vDzMBrHw==" spinCount="100000" sqref="A22" name="Range1_1_2_1_1_1_1_1_1_1_1_1_2_1_1_1_1_1_1_1_1_1_1_1_1_1_1_1_1_1_1_1_1_1_2_1_1_1_1_1_1_1_1_1_1_1_1_1_1_1_1_1_1_1_1_1_1_1_1_2_1_1_1_1_1_1_1_1_1_1_1_1_1_2_1_1_1_1_1_1_1_1_2_1_2_1_1_1_1_1_1_1_1_1_1_1_1_1_1_1_1_1_1_1_1_1_1_1_1_1_1_1_1_1_1_1_1_1_1_1_1_1_1_1_46"/>
    <protectedRange algorithmName="SHA-512" hashValue="e1FOu1UlwA7reaiyQlEGzbU6dAFPyHPlKfgo6VzFBBobawyOfUsh2c/+wjC8bICpcXVPmRerMGA9+qKsw5p7Iw==" saltValue="UD2tVZrxqZTGI3vDzMBrHw==" spinCount="100000" sqref="E22:G22" name="Range1_1_1_1_1"/>
    <protectedRange algorithmName="SHA-512" hashValue="e1FOu1UlwA7reaiyQlEGzbU6dAFPyHPlKfgo6VzFBBobawyOfUsh2c/+wjC8bICpcXVPmRerMGA9+qKsw5p7Iw==" saltValue="UD2tVZrxqZTGI3vDzMBrHw==" spinCount="100000" sqref="H22" name="Range1_2_1_1_2"/>
    <protectedRange algorithmName="SHA-512" hashValue="e1FOu1UlwA7reaiyQlEGzbU6dAFPyHPlKfgo6VzFBBobawyOfUsh2c/+wjC8bICpcXVPmRerMGA9+qKsw5p7Iw==" saltValue="UD2tVZrxqZTGI3vDzMBrHw==" spinCount="100000" sqref="M22 K22" name="Range1_3_1_1_1"/>
    <protectedRange algorithmName="SHA-512" hashValue="e1FOu1UlwA7reaiyQlEGzbU6dAFPyHPlKfgo6VzFBBobawyOfUsh2c/+wjC8bICpcXVPmRerMGA9+qKsw5p7Iw==" saltValue="UD2tVZrxqZTGI3vDzMBrHw==" spinCount="100000" sqref="A169:B169" name="Range1_1_2_1_1_1_1_1_1_1_1_1_2_1_1_1_1_1_1_1_1_1_1_1_1_1_1_1_1_1_1_1_1_1_2_1_1_1_1_1_1_1_1_1_1_1_1_1_1_1_1_1_1_1_1_1_1_1_1_2_1_1_1_1_1_1_1_1_1_1_1_1_1_2_1_1_1_1_1_1_1_1_2_1_2_1_1_1_1_1_1_1_1_1_1_1_1_1_1_1_1_1_1_1_1_1_1_1_1_1_1_1_1_1_1_1_1_1_1_1_1_1_1_1_30"/>
    <protectedRange algorithmName="SHA-512" hashValue="e1FOu1UlwA7reaiyQlEGzbU6dAFPyHPlKfgo6VzFBBobawyOfUsh2c/+wjC8bICpcXVPmRerMGA9+qKsw5p7Iw==" saltValue="UD2tVZrxqZTGI3vDzMBrHw==" spinCount="100000" sqref="E169" name="Range1_1_3_2_1"/>
    <protectedRange algorithmName="SHA-512" hashValue="e1FOu1UlwA7reaiyQlEGzbU6dAFPyHPlKfgo6VzFBBobawyOfUsh2c/+wjC8bICpcXVPmRerMGA9+qKsw5p7Iw==" saltValue="UD2tVZrxqZTGI3vDzMBrHw==" spinCount="100000" sqref="A96" name="Range1_1_2_1_1_1_1_1_1_1_1_1_2_1_1_1_1_1_1_1_1_1_1_1_1_1_1_1_1_1_1_1_1_1_2_1_1_1_1_1_1_1_1_1_1_1_1_1_1_1_1_1_1_1_1_1_1_1_1_2_1_1_1_1_1_1_1_1_1_1_1_1_1_2_1_1_1_1_1_1_1_1_2_1_2_1_1_1_1_1_1_1_1_1_1_1_1_1_1_1_1_1_1_1_1_1_1_1_1_1_1_1_1_1_1_1_1_1_1_1_1_1_1_1_31"/>
    <protectedRange algorithmName="SHA-512" hashValue="e1FOu1UlwA7reaiyQlEGzbU6dAFPyHPlKfgo6VzFBBobawyOfUsh2c/+wjC8bICpcXVPmRerMGA9+qKsw5p7Iw==" saltValue="UD2tVZrxqZTGI3vDzMBrHw==" spinCount="100000" sqref="F96:G96" name="Range1_5_1"/>
    <protectedRange algorithmName="SHA-512" hashValue="e1FOu1UlwA7reaiyQlEGzbU6dAFPyHPlKfgo6VzFBBobawyOfUsh2c/+wjC8bICpcXVPmRerMGA9+qKsw5p7Iw==" saltValue="UD2tVZrxqZTGI3vDzMBrHw==" spinCount="100000" sqref="H96" name="Range1_6_1"/>
    <protectedRange algorithmName="SHA-512" hashValue="e1FOu1UlwA7reaiyQlEGzbU6dAFPyHPlKfgo6VzFBBobawyOfUsh2c/+wjC8bICpcXVPmRerMGA9+qKsw5p7Iw==" saltValue="UD2tVZrxqZTGI3vDzMBrHw==" spinCount="100000" sqref="M96 K96" name="Range1_7_1"/>
    <protectedRange algorithmName="SHA-512" hashValue="e1FOu1UlwA7reaiyQlEGzbU6dAFPyHPlKfgo6VzFBBobawyOfUsh2c/+wjC8bICpcXVPmRerMGA9+qKsw5p7Iw==" saltValue="UD2tVZrxqZTGI3vDzMBrHw==" spinCount="100000" sqref="A88:A91 A84 A94:A95 A103 A105:A106 A97:A99" name="Range1_1_2_1_1_1_1_1_1_1_1_1_2_1_1_1_1_1_1_1_1_1_1_1_1_1_1_1_1_1_1_1_1_1_2_1_1_1_1_1_1_1_1_1_1_1_1_1_1_1_1_1_1_1_1_1_1_1_1_2_1_1_1_1_1_1_1_1_1_1_1_1_1_2_1_1_1_1_1_1_1_1_2_1_2_1_1_1_1_1_1_1_1_1_1_1_1_1_1_1_1_1_1_1_1_1_1_1_1_1_1_1_1_1_1_1_1_1_1_1_1_1_1_1_32"/>
    <protectedRange algorithmName="SHA-512" hashValue="e1FOu1UlwA7reaiyQlEGzbU6dAFPyHPlKfgo6VzFBBobawyOfUsh2c/+wjC8bICpcXVPmRerMGA9+qKsw5p7Iw==" saltValue="UD2tVZrxqZTGI3vDzMBrHw==" spinCount="100000" sqref="E84 E86 E88:E92 E94:E106 E143 E145 E147 E149 E151:E153 E155 E157 E201 E203 E205 E207 E209 E211 E213 E215 E217 E219 E221" name="Range1_2"/>
    <protectedRange algorithmName="SHA-512" hashValue="e1FOu1UlwA7reaiyQlEGzbU6dAFPyHPlKfgo6VzFBBobawyOfUsh2c/+wjC8bICpcXVPmRerMGA9+qKsw5p7Iw==" saltValue="UD2tVZrxqZTGI3vDzMBrHw==" spinCount="100000" sqref="B84 A104:B104 B88:B91 B103 B105:B106 B94:B99" name="Range1_1_2_1_1_1_1_1_1_1_1_1_2_1_1_1_1_1_1_1_1_1_1_1_1_1_1_1_1_1_1_1_1_1_2_1_1_1_1_1_1_1_1_1_1_1_1_1_1_1_1_1_1_1_1_1_1_1_1_2_1_1_1_1_1_1_1_1_1_1_1_1_1_2_1_1_1_1_1_1_1_1_2_1_2_1_1_1_1_1_1_1_1_1_1_1_1_1_1_1_1_1_1_1_1_1_1_1_1_1_1_1_1_1_1_1_1_1_1_1_1_1_1_1_33"/>
    <protectedRange algorithmName="SHA-512" hashValue="e1FOu1UlwA7reaiyQlEGzbU6dAFPyHPlKfgo6VzFBBobawyOfUsh2c/+wjC8bICpcXVPmRerMGA9+qKsw5p7Iw==" saltValue="UD2tVZrxqZTGI3vDzMBrHw==" spinCount="100000" sqref="D107:F107 A107:B107" name="Range1_1_3_2_1_1_1_1_1_1_1_1"/>
    <protectedRange algorithmName="SHA-512" hashValue="e1FOu1UlwA7reaiyQlEGzbU6dAFPyHPlKfgo6VzFBBobawyOfUsh2c/+wjC8bICpcXVPmRerMGA9+qKsw5p7Iw==" saltValue="UD2tVZrxqZTGI3vDzMBrHw==" spinCount="100000" sqref="H107" name="Range1_1_1_1_2_2_1_2_1_1_1"/>
    <protectedRange algorithmName="SHA-512" hashValue="e1FOu1UlwA7reaiyQlEGzbU6dAFPyHPlKfgo6VzFBBobawyOfUsh2c/+wjC8bICpcXVPmRerMGA9+qKsw5p7Iw==" saltValue="UD2tVZrxqZTGI3vDzMBrHw==" spinCount="100000" sqref="K107:M107" name="Range1_2_4_1_3_1_1_1_1_1"/>
    <protectedRange algorithmName="SHA-512" hashValue="e1FOu1UlwA7reaiyQlEGzbU6dAFPyHPlKfgo6VzFBBobawyOfUsh2c/+wjC8bICpcXVPmRerMGA9+qKsw5p7Iw==" saltValue="UD2tVZrxqZTGI3vDzMBrHw==" spinCount="100000" sqref="A145" name="Range1_1_2_1_1_1_1_1_1_1_1_1_2_1_1_1_1_1_1_1_1_1_1_1_1_1_1_1_1_1_1_1_1_1_2_1_1_1_1_1_1_1_1_1_1_1_1_1_1_1_1_1_1_1_1_1_1_1_1_2_1_1_1_1_1_1_1_1_1_1_1_1_1_2_1_1_1_1_1_1_1_1_2_1_2_1_1_1_1_1_1_1_1_1_1_1_1_1_1_1_1_1_1_1_1_1_1_1_1_1_1_1_1_1_1_1_1_1_1_1_1_1_1_1_34"/>
    <protectedRange algorithmName="SHA-512" hashValue="e1FOu1UlwA7reaiyQlEGzbU6dAFPyHPlKfgo6VzFBBobawyOfUsh2c/+wjC8bICpcXVPmRerMGA9+qKsw5p7Iw==" saltValue="UD2tVZrxqZTGI3vDzMBrHw==" spinCount="100000" sqref="A149:A150" name="Range1_1_2_1_1_1_1_1_1_1_1_1_2_1_1_1_1_1_1_1_1_1_1_1_1_1_1_1_1_1_1_1_1_1_2_1_1_1_1_1_1_1_1_1_1_1_1_1_1_1_1_1_1_1_1_1_1_1_1_2_1_1_1_1_1_1_1_1_1_1_1_1_1_2_1_1_1_1_1_1_1_1_2_1_2_1_1_1_1_1_1_1_1_1_1_1_1_1_1_1_1_1_1_1_1_1_1_1_1_1_1_1_1_1_1_1_1_1_1_1_1_1_1_1_35"/>
    <protectedRange algorithmName="SHA-512" hashValue="e1FOu1UlwA7reaiyQlEGzbU6dAFPyHPlKfgo6VzFBBobawyOfUsh2c/+wjC8bICpcXVPmRerMGA9+qKsw5p7Iw==" saltValue="UD2tVZrxqZTGI3vDzMBrHw==" spinCount="100000" sqref="E150" name="Range1_1_3"/>
    <protectedRange algorithmName="SHA-512" hashValue="e1FOu1UlwA7reaiyQlEGzbU6dAFPyHPlKfgo6VzFBBobawyOfUsh2c/+wjC8bICpcXVPmRerMGA9+qKsw5p7Iw==" saltValue="UD2tVZrxqZTGI3vDzMBrHw==" spinCount="100000" sqref="A151:A157 A146:A148 A100:A102" name="Range1_1_2_1_1_1_1_1_1_1_1_1_2_1_1_1_1_1_1_1_1_1_1_1_1_1_1_1_1_1_1_1_1_1_2_1_1_1_1_1_1_1_1_1_1_1_1_1_1_1_1_1_1_1_1_1_1_1_1_2_1_1_1_1_1_1_1_1_1_1_1_1_1_2_1_1_1_1_1_1_1_1_2_1_2_1_1_1_1_1_1_1_1_1_1_1_1_1_1_1_1_1_1_1_1_1_1_1_1_1_1_1_1_1_1_1_1_1_1_1_1_1_1_1_36"/>
    <protectedRange algorithmName="SHA-512" hashValue="e1FOu1UlwA7reaiyQlEGzbU6dAFPyHPlKfgo6VzFBBobawyOfUsh2c/+wjC8bICpcXVPmRerMGA9+qKsw5p7Iw==" saltValue="UD2tVZrxqZTGI3vDzMBrHw==" spinCount="100000" sqref="E154 E146 E148 E156" name="Range1_3"/>
    <protectedRange algorithmName="SHA-512" hashValue="e1FOu1UlwA7reaiyQlEGzbU6dAFPyHPlKfgo6VzFBBobawyOfUsh2c/+wjC8bICpcXVPmRerMGA9+qKsw5p7Iw==" saltValue="UD2tVZrxqZTGI3vDzMBrHw==" spinCount="100000" sqref="B143:B157 B100:B102" name="Range1_1_2_1_1_1_1_1_1_1_1_1_2_1_1_1_1_1_1_1_1_1_1_1_1_1_1_1_1_1_1_1_1_1_2_1_1_1_1_1_1_1_1_1_1_1_1_1_1_1_1_1_1_1_1_1_1_1_1_2_1_1_1_1_1_1_1_1_1_1_1_1_1_2_1_1_1_1_1_1_1_1_2_1_2_1_1_1_1_1_1_1_1_1_1_1_1_1_1_1_1_1_1_1_1_1_1_1_1_1_1_1_1_1_1_1_1_1_1_1_1_1_1_1_37"/>
    <protectedRange algorithmName="SHA-512" hashValue="e1FOu1UlwA7reaiyQlEGzbU6dAFPyHPlKfgo6VzFBBobawyOfUsh2c/+wjC8bICpcXVPmRerMGA9+qKsw5p7Iw==" saltValue="UD2tVZrxqZTGI3vDzMBrHw==" spinCount="100000" sqref="A143:A144" name="Range1_21_1_1_4_1_1_1_1_3_2_5_1_1_1_1_1_1_2_1_1_2_1"/>
    <protectedRange algorithmName="SHA-512" hashValue="e1FOu1UlwA7reaiyQlEGzbU6dAFPyHPlKfgo6VzFBBobawyOfUsh2c/+wjC8bICpcXVPmRerMGA9+qKsw5p7Iw==" saltValue="UD2tVZrxqZTGI3vDzMBrHw==" spinCount="100000" sqref="G143:H144 D143:D144" name="Range1_10_1"/>
    <protectedRange algorithmName="SHA-512" hashValue="e1FOu1UlwA7reaiyQlEGzbU6dAFPyHPlKfgo6VzFBBobawyOfUsh2c/+wjC8bICpcXVPmRerMGA9+qKsw5p7Iw==" saltValue="UD2tVZrxqZTGI3vDzMBrHw==" spinCount="100000" sqref="E144" name="Range1_1_3_3"/>
    <protectedRange algorithmName="SHA-512" hashValue="e1FOu1UlwA7reaiyQlEGzbU6dAFPyHPlKfgo6VzFBBobawyOfUsh2c/+wjC8bICpcXVPmRerMGA9+qKsw5p7Iw==" saltValue="UD2tVZrxqZTGI3vDzMBrHw==" spinCount="100000" sqref="K143:M144" name="Range1_2_3"/>
    <protectedRange algorithmName="SHA-512" hashValue="e1FOu1UlwA7reaiyQlEGzbU6dAFPyHPlKfgo6VzFBBobawyOfUsh2c/+wjC8bICpcXVPmRerMGA9+qKsw5p7Iw==" saltValue="UD2tVZrxqZTGI3vDzMBrHw==" spinCount="100000" sqref="A158:B158 D158:F158" name="Range1_1_3_2_1_1_1_1_1_1_1_2"/>
    <protectedRange algorithmName="SHA-512" hashValue="e1FOu1UlwA7reaiyQlEGzbU6dAFPyHPlKfgo6VzFBBobawyOfUsh2c/+wjC8bICpcXVPmRerMGA9+qKsw5p7Iw==" saltValue="UD2tVZrxqZTGI3vDzMBrHw==" spinCount="100000" sqref="H158" name="Range1_1_1_1_2_2_1_2_1_1_2"/>
    <protectedRange algorithmName="SHA-512" hashValue="e1FOu1UlwA7reaiyQlEGzbU6dAFPyHPlKfgo6VzFBBobawyOfUsh2c/+wjC8bICpcXVPmRerMGA9+qKsw5p7Iw==" saltValue="UD2tVZrxqZTGI3vDzMBrHw==" spinCount="100000" sqref="K158:M158" name="Range1_2_4_1_3_1_1_1_1_2"/>
    <protectedRange algorithmName="SHA-512" hashValue="e1FOu1UlwA7reaiyQlEGzbU6dAFPyHPlKfgo6VzFBBobawyOfUsh2c/+wjC8bICpcXVPmRerMGA9+qKsw5p7Iw==" saltValue="UD2tVZrxqZTGI3vDzMBrHw==" spinCount="100000" sqref="A205:A206 A209:A210 A219:A221" name="Range1_1_2_1_1_1_1_1_1_1_1_1_2_1_1_1_1_1_1_1_1_1_1_1_1_1_1_1_1_1_1_1_1_1_2_1_1_1_1_1_1_1_1_1_1_1_1_1_1_1_1_1_1_1_1_1_1_1_1_2_1_1_1_1_1_1_1_1_1_1_1_1_1_2_1_1_1_1_1_1_1_1_2_1_2_1_1_1_1_1_1_1_1_1_1_1_1_1_1_1_1_1_1_1_1_1_1_1_1_1_1_1_1_1_1_1_1_1_1_1_1_1_1_1_38"/>
    <protectedRange algorithmName="SHA-512" hashValue="e1FOu1UlwA7reaiyQlEGzbU6dAFPyHPlKfgo6VzFBBobawyOfUsh2c/+wjC8bICpcXVPmRerMGA9+qKsw5p7Iw==" saltValue="UD2tVZrxqZTGI3vDzMBrHw==" spinCount="100000" sqref="E206:G206 E210:G210 E220:G220 F205:G205 F209:G209 F219:G219 F221:G221" name="Range1_5_2"/>
    <protectedRange algorithmName="SHA-512" hashValue="e1FOu1UlwA7reaiyQlEGzbU6dAFPyHPlKfgo6VzFBBobawyOfUsh2c/+wjC8bICpcXVPmRerMGA9+qKsw5p7Iw==" saltValue="UD2tVZrxqZTGI3vDzMBrHw==" spinCount="100000" sqref="H205:H206 H209:H210 H219:H221" name="Range1_6_5"/>
    <protectedRange algorithmName="SHA-512" hashValue="e1FOu1UlwA7reaiyQlEGzbU6dAFPyHPlKfgo6VzFBBobawyOfUsh2c/+wjC8bICpcXVPmRerMGA9+qKsw5p7Iw==" saltValue="UD2tVZrxqZTGI3vDzMBrHw==" spinCount="100000" sqref="M205:M206 M209:M210 K205:K206 K209:K210 M219:M221 K219:K221" name="Range1_7_2"/>
    <protectedRange algorithmName="SHA-512" hashValue="e1FOu1UlwA7reaiyQlEGzbU6dAFPyHPlKfgo6VzFBBobawyOfUsh2c/+wjC8bICpcXVPmRerMGA9+qKsw5p7Iw==" saltValue="UD2tVZrxqZTGI3vDzMBrHw==" spinCount="100000" sqref="A201:A204" name="Range1_1_2_1_1_1_1_1_1_1_1_1_2_1_1_1_1_1_1_1_1_1_1_1_1_1_1_1_1_1_1_1_1_1_2_1_1_1_1_1_1_1_1_1_1_1_1_1_1_1_1_1_1_1_1_1_1_1_1_2_1_1_1_1_1_1_1_1_1_1_1_1_1_2_1_1_1_1_1_1_1_1_2_1_2_1_1_1_1_1_1_1_1_1_1_1_1_1_1_1_1_1_1_1_1_1_1_1_1_1_1_1_1_1_1_1_1_1_1_1_1_1_1_1_39"/>
    <protectedRange algorithmName="SHA-512" hashValue="e1FOu1UlwA7reaiyQlEGzbU6dAFPyHPlKfgo6VzFBBobawyOfUsh2c/+wjC8bICpcXVPmRerMGA9+qKsw5p7Iw==" saltValue="UD2tVZrxqZTGI3vDzMBrHw==" spinCount="100000" sqref="E202 E204" name="Range1_1_2_1"/>
    <protectedRange algorithmName="SHA-512" hashValue="e1FOu1UlwA7reaiyQlEGzbU6dAFPyHPlKfgo6VzFBBobawyOfUsh2c/+wjC8bICpcXVPmRerMGA9+qKsw5p7Iw==" saltValue="UD2tVZrxqZTGI3vDzMBrHw==" spinCount="100000" sqref="A215:A216" name="Range1_1_2_1_1_1_1_1_1_1_1_1_2_1_1_1_1_1_1_1_1_1_1_1_1_1_1_1_1_1_1_1_1_1_2_1_1_1_1_1_1_1_1_1_1_1_1_1_1_1_1_1_1_1_1_1_1_1_1_2_1_1_1_1_1_1_1_1_1_1_1_1_1_2_1_1_1_1_1_1_1_1_2_1_2_1_1_1_1_1_1_1_1_1_1_1_1_1_1_1_1_1_1_1_1_1_1_1_1_1_1_1_1_1_1_1_1_1_1_1_1_1_1_1_40"/>
    <protectedRange algorithmName="SHA-512" hashValue="e1FOu1UlwA7reaiyQlEGzbU6dAFPyHPlKfgo6VzFBBobawyOfUsh2c/+wjC8bICpcXVPmRerMGA9+qKsw5p7Iw==" saltValue="UD2tVZrxqZTGI3vDzMBrHw==" spinCount="100000" sqref="E216" name="Range1_8"/>
    <protectedRange algorithmName="SHA-512" hashValue="e1FOu1UlwA7reaiyQlEGzbU6dAFPyHPlKfgo6VzFBBobawyOfUsh2c/+wjC8bICpcXVPmRerMGA9+qKsw5p7Iw==" saltValue="UD2tVZrxqZTGI3vDzMBrHw==" spinCount="100000" sqref="B201:B221" name="Range1_1_2_1_1_1_1_1_1_1_1_1_2_1_1_1_1_1_1_1_1_1_1_1_1_1_1_1_1_1_1_1_1_1_2_1_1_1_1_1_1_1_1_1_1_1_1_1_1_1_1_1_1_1_1_1_1_1_1_2_1_1_1_1_1_1_1_1_1_1_1_1_1_2_1_1_1_1_1_1_1_1_2_1_2_1_1_1_1_1_1_1_1_1_1_1_1_1_1_1_1_1_1_1_1_1_1_1_1_1_1_1_1_1_1_1_1_1_1_1_1_1_1_1_41"/>
    <protectedRange algorithmName="SHA-512" hashValue="e1FOu1UlwA7reaiyQlEGzbU6dAFPyHPlKfgo6VzFBBobawyOfUsh2c/+wjC8bICpcXVPmRerMGA9+qKsw5p7Iw==" saltValue="UD2tVZrxqZTGI3vDzMBrHw==" spinCount="100000" sqref="A213:A214" name="Range1_1_2_1_1_1_1_1_1_1_1_1_2_1_1_1_1_1_1_1_1_1_1_1_1_1_1_1_1_1_1_1_1_1_2_1_1_1_1_1_1_1_1_1_1_1_1_1_1_1_1_1_1_1_1_1_1_1_1_2_1_1_1_1_1_1_1_1_1_1_1_1_1_2_1_1_1_1_1_1_1_1_2_1_2_1_1_1_1_1_1_1_1_1_1_1_1_1_1_1_1_1_1_1_1_1_1_1_1_1_1_1_1_1_1_1_1_1_1_1_1_1_1_1_42"/>
    <protectedRange algorithmName="SHA-512" hashValue="e1FOu1UlwA7reaiyQlEGzbU6dAFPyHPlKfgo6VzFBBobawyOfUsh2c/+wjC8bICpcXVPmRerMGA9+qKsw5p7Iw==" saltValue="UD2tVZrxqZTGI3vDzMBrHw==" spinCount="100000" sqref="E214" name="Range1_4_1_5"/>
    <protectedRange algorithmName="SHA-512" hashValue="e1FOu1UlwA7reaiyQlEGzbU6dAFPyHPlKfgo6VzFBBobawyOfUsh2c/+wjC8bICpcXVPmRerMGA9+qKsw5p7Iw==" saltValue="UD2tVZrxqZTGI3vDzMBrHw==" spinCount="100000" sqref="A207:A208" name="Range1_1_2_1_1_1_1_1_1_1_1_1_2_1_1_1_1_1_1_1_1_1_1_1_1_1_1_1_1_1_1_1_1_1_2_1_1_1_1_1_1_1_1_1_1_1_1_1_1_1_1_1_1_1_1_1_1_1_1_2_1_1_1_1_1_1_1_1_1_1_1_1_1_2_1_1_1_1_1_1_1_1_2_1_2_1_1_1_1_1_1_1_1_1_1_1_1_1_1_1_1_1_1_1_1_1_1_1_1_1_1_1_1_1_1_1_1_1_1_1_1_1_1_1_47"/>
    <protectedRange algorithmName="SHA-512" hashValue="e1FOu1UlwA7reaiyQlEGzbU6dAFPyHPlKfgo6VzFBBobawyOfUsh2c/+wjC8bICpcXVPmRerMGA9+qKsw5p7Iw==" saltValue="UD2tVZrxqZTGI3vDzMBrHw==" spinCount="100000" sqref="E208" name="Range1_3_3"/>
    <protectedRange algorithmName="SHA-512" hashValue="e1FOu1UlwA7reaiyQlEGzbU6dAFPyHPlKfgo6VzFBBobawyOfUsh2c/+wjC8bICpcXVPmRerMGA9+qKsw5p7Iw==" saltValue="UD2tVZrxqZTGI3vDzMBrHw==" spinCount="100000" sqref="A217:A218" name="Range1_1_2_1_1_1_1_1_1_1_1_1_2_1_1_1_1_1_1_1_1_1_1_1_1_1_1_1_1_1_1_1_1_1_2_1_1_1_1_1_1_1_1_1_1_1_1_1_1_1_1_1_1_1_1_1_1_1_1_2_1_1_1_1_1_1_1_1_1_1_1_1_1_2_1_1_1_1_1_1_1_1_2_1_2_1_1_1_1_1_1_1_1_1_1_1_1_1_1_1_1_1_1_1_1_3_1_1_1"/>
    <protectedRange algorithmName="SHA-512" hashValue="e1FOu1UlwA7reaiyQlEGzbU6dAFPyHPlKfgo6VzFBBobawyOfUsh2c/+wjC8bICpcXVPmRerMGA9+qKsw5p7Iw==" saltValue="UD2tVZrxqZTGI3vDzMBrHw==" spinCount="100000" sqref="E218" name="Range1_1_4_1_1_1_1_1"/>
    <protectedRange algorithmName="SHA-512" hashValue="e1FOu1UlwA7reaiyQlEGzbU6dAFPyHPlKfgo6VzFBBobawyOfUsh2c/+wjC8bICpcXVPmRerMGA9+qKsw5p7Iw==" saltValue="UD2tVZrxqZTGI3vDzMBrHw==" spinCount="100000" sqref="A211:A212" name="Range1_1_2_1_1_1_1_1_1_1_1_1_2_1_1_1_1_1_1_1_1_1_1_1_1_1_1_1_1_1_1_1_1_1_2_1_1_1_1_1_1_1_1_1_1_1_1_1_1_1_1_1_1_1_1_1_1_1_1_2_1_1_1_1_1_1_1_1_1_1_1_1_1_2_1_1_1_1_1_1_1_1_2_1_2_1_1_1_1_1_1_1_1_1_1_1_1_1_1_1_1_1_1_1_1_1_1_1_1_1_1_1_1_1_1_1_1_1_1_1_1_1_1_1_48"/>
    <protectedRange algorithmName="SHA-512" hashValue="e1FOu1UlwA7reaiyQlEGzbU6dAFPyHPlKfgo6VzFBBobawyOfUsh2c/+wjC8bICpcXVPmRerMGA9+qKsw5p7Iw==" saltValue="UD2tVZrxqZTGI3vDzMBrHw==" spinCount="100000" sqref="E212:G212 F211:G211" name="Range1_6_5_1"/>
    <protectedRange algorithmName="SHA-512" hashValue="e1FOu1UlwA7reaiyQlEGzbU6dAFPyHPlKfgo6VzFBBobawyOfUsh2c/+wjC8bICpcXVPmRerMGA9+qKsw5p7Iw==" saltValue="UD2tVZrxqZTGI3vDzMBrHw==" spinCount="100000" sqref="H211:H212" name="Range1_1_4_2"/>
    <protectedRange algorithmName="SHA-512" hashValue="e1FOu1UlwA7reaiyQlEGzbU6dAFPyHPlKfgo6VzFBBobawyOfUsh2c/+wjC8bICpcXVPmRerMGA9+qKsw5p7Iw==" saltValue="UD2tVZrxqZTGI3vDzMBrHw==" spinCount="100000" sqref="M211:M212 K211:K212" name="Range1_2_1_1"/>
    <protectedRange algorithmName="SHA-512" hashValue="e1FOu1UlwA7reaiyQlEGzbU6dAFPyHPlKfgo6VzFBBobawyOfUsh2c/+wjC8bICpcXVPmRerMGA9+qKsw5p7Iw==" saltValue="UD2tVZrxqZTGI3vDzMBrHw==" spinCount="100000" sqref="A222:B222 D222:F222" name="Range1_1_3_2_1_1_1_1_1_1_1_3"/>
    <protectedRange algorithmName="SHA-512" hashValue="e1FOu1UlwA7reaiyQlEGzbU6dAFPyHPlKfgo6VzFBBobawyOfUsh2c/+wjC8bICpcXVPmRerMGA9+qKsw5p7Iw==" saltValue="UD2tVZrxqZTGI3vDzMBrHw==" spinCount="100000" sqref="H222" name="Range1_1_1_1_2_2_1_2_1_1_3"/>
    <protectedRange algorithmName="SHA-512" hashValue="e1FOu1UlwA7reaiyQlEGzbU6dAFPyHPlKfgo6VzFBBobawyOfUsh2c/+wjC8bICpcXVPmRerMGA9+qKsw5p7Iw==" saltValue="UD2tVZrxqZTGI3vDzMBrHw==" spinCount="100000" sqref="K222:M222" name="Range1_2_4_1_3_1_1_1_1_3"/>
  </protectedRanges>
  <autoFilter ref="A1:AF223" xr:uid="{6F67640D-FD0C-4850-BC22-B87E3E534D8C}"/>
  <conditionalFormatting sqref="A12">
    <cfRule type="duplicateValues" dxfId="202" priority="106"/>
    <cfRule type="duplicateValues" dxfId="201" priority="104"/>
  </conditionalFormatting>
  <conditionalFormatting sqref="A13">
    <cfRule type="duplicateValues" dxfId="200" priority="99"/>
    <cfRule type="duplicateValues" dxfId="199" priority="100"/>
  </conditionalFormatting>
  <conditionalFormatting sqref="A14:A15">
    <cfRule type="duplicateValues" dxfId="198" priority="98"/>
    <cfRule type="duplicateValues" dxfId="197" priority="96"/>
  </conditionalFormatting>
  <conditionalFormatting sqref="A16:A17">
    <cfRule type="duplicateValues" dxfId="196" priority="95"/>
  </conditionalFormatting>
  <conditionalFormatting sqref="A18:A19">
    <cfRule type="duplicateValues" dxfId="195" priority="86"/>
  </conditionalFormatting>
  <conditionalFormatting sqref="A18:A20">
    <cfRule type="duplicateValues" dxfId="194" priority="90"/>
  </conditionalFormatting>
  <conditionalFormatting sqref="A20">
    <cfRule type="duplicateValues" dxfId="193" priority="87"/>
  </conditionalFormatting>
  <conditionalFormatting sqref="A21">
    <cfRule type="duplicateValues" dxfId="192" priority="85"/>
    <cfRule type="duplicateValues" dxfId="191" priority="89"/>
  </conditionalFormatting>
  <conditionalFormatting sqref="A22:A23">
    <cfRule type="duplicateValues" dxfId="190" priority="82"/>
    <cfRule type="duplicateValues" dxfId="189" priority="84"/>
  </conditionalFormatting>
  <conditionalFormatting sqref="A24">
    <cfRule type="duplicateValues" dxfId="188" priority="78"/>
    <cfRule type="duplicateValues" dxfId="187" priority="77"/>
  </conditionalFormatting>
  <conditionalFormatting sqref="A37:A38">
    <cfRule type="duplicateValues" dxfId="186" priority="160"/>
  </conditionalFormatting>
  <conditionalFormatting sqref="A41">
    <cfRule type="duplicateValues" dxfId="185" priority="157"/>
  </conditionalFormatting>
  <conditionalFormatting sqref="A42:A43">
    <cfRule type="duplicateValues" dxfId="184" priority="158"/>
  </conditionalFormatting>
  <conditionalFormatting sqref="A45">
    <cfRule type="duplicateValues" dxfId="183" priority="167"/>
  </conditionalFormatting>
  <conditionalFormatting sqref="A48">
    <cfRule type="duplicateValues" dxfId="182" priority="163"/>
  </conditionalFormatting>
  <conditionalFormatting sqref="A49:A50">
    <cfRule type="duplicateValues" dxfId="181" priority="162"/>
  </conditionalFormatting>
  <conditionalFormatting sqref="A54">
    <cfRule type="duplicateValues" dxfId="180" priority="119"/>
  </conditionalFormatting>
  <conditionalFormatting sqref="A56">
    <cfRule type="duplicateValues" dxfId="179" priority="107"/>
  </conditionalFormatting>
  <conditionalFormatting sqref="A57:A58">
    <cfRule type="duplicateValues" dxfId="178" priority="164"/>
  </conditionalFormatting>
  <conditionalFormatting sqref="A59:A60">
    <cfRule type="duplicateValues" dxfId="177" priority="161"/>
  </conditionalFormatting>
  <conditionalFormatting sqref="A61:A62 A65:A66 A26:A28">
    <cfRule type="duplicateValues" dxfId="176" priority="187"/>
  </conditionalFormatting>
  <conditionalFormatting sqref="A63">
    <cfRule type="duplicateValues" dxfId="175" priority="115"/>
  </conditionalFormatting>
  <conditionalFormatting sqref="A75:A76">
    <cfRule type="duplicateValues" dxfId="174" priority="159"/>
  </conditionalFormatting>
  <conditionalFormatting sqref="A77:A78">
    <cfRule type="duplicateValues" dxfId="173" priority="156"/>
  </conditionalFormatting>
  <conditionalFormatting sqref="A82 A53 A79:A80 A39:A40 A29:A32 A67:A74">
    <cfRule type="duplicateValues" dxfId="172" priority="188"/>
  </conditionalFormatting>
  <conditionalFormatting sqref="A83">
    <cfRule type="duplicateValues" dxfId="171" priority="147"/>
  </conditionalFormatting>
  <conditionalFormatting sqref="A84:A99 A103:A106">
    <cfRule type="duplicateValues" dxfId="170" priority="65"/>
  </conditionalFormatting>
  <conditionalFormatting sqref="A85">
    <cfRule type="duplicateValues" dxfId="169" priority="42"/>
  </conditionalFormatting>
  <conditionalFormatting sqref="A86:A87">
    <cfRule type="duplicateValues" dxfId="168" priority="59"/>
  </conditionalFormatting>
  <conditionalFormatting sqref="A92:A93">
    <cfRule type="duplicateValues" dxfId="167" priority="55"/>
  </conditionalFormatting>
  <conditionalFormatting sqref="A96">
    <cfRule type="duplicateValues" dxfId="166" priority="67"/>
  </conditionalFormatting>
  <conditionalFormatting sqref="A97">
    <cfRule type="duplicateValues" dxfId="165" priority="41"/>
  </conditionalFormatting>
  <conditionalFormatting sqref="A103 A106 A84 A88:A91 A94:A95 A98:A99">
    <cfRule type="duplicateValues" dxfId="164" priority="203"/>
  </conditionalFormatting>
  <conditionalFormatting sqref="A104">
    <cfRule type="duplicateValues" dxfId="163" priority="66"/>
  </conditionalFormatting>
  <conditionalFormatting sqref="A105">
    <cfRule type="duplicateValues" dxfId="162" priority="1"/>
  </conditionalFormatting>
  <conditionalFormatting sqref="A107">
    <cfRule type="duplicateValues" dxfId="161" priority="45"/>
    <cfRule type="duplicateValues" dxfId="160" priority="64"/>
    <cfRule type="duplicateValues" dxfId="159" priority="63"/>
    <cfRule type="duplicateValues" dxfId="158" priority="62"/>
  </conditionalFormatting>
  <conditionalFormatting sqref="A108 A83">
    <cfRule type="duplicateValues" dxfId="157" priority="144"/>
    <cfRule type="duplicateValues" dxfId="156" priority="155"/>
    <cfRule type="duplicateValues" dxfId="155" priority="154"/>
  </conditionalFormatting>
  <conditionalFormatting sqref="A108">
    <cfRule type="duplicateValues" dxfId="154" priority="151"/>
    <cfRule type="duplicateValues" dxfId="153" priority="150"/>
    <cfRule type="duplicateValues" dxfId="152" priority="152"/>
  </conditionalFormatting>
  <conditionalFormatting sqref="A109:A110">
    <cfRule type="duplicateValues" dxfId="151" priority="75"/>
  </conditionalFormatting>
  <conditionalFormatting sqref="A121:A123 A81 A51:A52">
    <cfRule type="duplicateValues" dxfId="150" priority="165"/>
  </conditionalFormatting>
  <conditionalFormatting sqref="A132:A133 A135">
    <cfRule type="duplicateValues" dxfId="149" priority="192"/>
  </conditionalFormatting>
  <conditionalFormatting sqref="A137 A44 A64 A128">
    <cfRule type="duplicateValues" dxfId="148" priority="166"/>
  </conditionalFormatting>
  <conditionalFormatting sqref="A142">
    <cfRule type="duplicateValues" dxfId="147" priority="134"/>
  </conditionalFormatting>
  <conditionalFormatting sqref="A143:A144">
    <cfRule type="duplicateValues" dxfId="146" priority="37"/>
  </conditionalFormatting>
  <conditionalFormatting sqref="A143:A157 A100:A102">
    <cfRule type="duplicateValues" dxfId="145" priority="200"/>
  </conditionalFormatting>
  <conditionalFormatting sqref="A145">
    <cfRule type="duplicateValues" dxfId="144" priority="40"/>
  </conditionalFormatting>
  <conditionalFormatting sqref="A146">
    <cfRule type="duplicateValues" dxfId="143" priority="26"/>
  </conditionalFormatting>
  <conditionalFormatting sqref="A149:A150">
    <cfRule type="duplicateValues" dxfId="142" priority="39"/>
  </conditionalFormatting>
  <conditionalFormatting sqref="A151:A157 A147:A148 A100:A102">
    <cfRule type="duplicateValues" dxfId="141" priority="202"/>
  </conditionalFormatting>
  <conditionalFormatting sqref="A158">
    <cfRule type="duplicateValues" dxfId="140" priority="34"/>
    <cfRule type="duplicateValues" dxfId="139" priority="33"/>
    <cfRule type="duplicateValues" dxfId="138" priority="32"/>
    <cfRule type="duplicateValues" dxfId="137" priority="30"/>
  </conditionalFormatting>
  <conditionalFormatting sqref="A159 A142">
    <cfRule type="duplicateValues" dxfId="136" priority="133"/>
    <cfRule type="duplicateValues" dxfId="135" priority="142"/>
    <cfRule type="duplicateValues" dxfId="134" priority="141"/>
  </conditionalFormatting>
  <conditionalFormatting sqref="A159">
    <cfRule type="duplicateValues" dxfId="133" priority="139"/>
    <cfRule type="duplicateValues" dxfId="132" priority="137"/>
    <cfRule type="duplicateValues" dxfId="131" priority="138"/>
  </conditionalFormatting>
  <conditionalFormatting sqref="A163 A11">
    <cfRule type="duplicateValues" dxfId="130" priority="168"/>
  </conditionalFormatting>
  <conditionalFormatting sqref="A164">
    <cfRule type="duplicateValues" dxfId="129" priority="117"/>
  </conditionalFormatting>
  <conditionalFormatting sqref="A178:A179 A173:A175 A127 A189:A190">
    <cfRule type="duplicateValues" dxfId="128" priority="186"/>
  </conditionalFormatting>
  <conditionalFormatting sqref="A183">
    <cfRule type="duplicateValues" dxfId="127" priority="113"/>
  </conditionalFormatting>
  <conditionalFormatting sqref="A185:A186 A191:A192 A162">
    <cfRule type="duplicateValues" dxfId="126" priority="190"/>
  </conditionalFormatting>
  <conditionalFormatting sqref="A187:A188 A46:A47 A134 A111:A120 A124:A126 A129:A131 A138:A140 A136">
    <cfRule type="duplicateValues" dxfId="125" priority="194"/>
  </conditionalFormatting>
  <conditionalFormatting sqref="A195:A196 A180:A181 A165:A168 A170:A172">
    <cfRule type="duplicateValues" dxfId="124" priority="189"/>
  </conditionalFormatting>
  <conditionalFormatting sqref="A197:A199 A193:A194 A176:A177 A160:A161 A182 A184">
    <cfRule type="duplicateValues" dxfId="123" priority="191"/>
  </conditionalFormatting>
  <conditionalFormatting sqref="A200 A223">
    <cfRule type="duplicateValues" dxfId="122" priority="131"/>
    <cfRule type="duplicateValues" dxfId="121" priority="122"/>
    <cfRule type="duplicateValues" dxfId="120" priority="130"/>
  </conditionalFormatting>
  <conditionalFormatting sqref="A200">
    <cfRule type="duplicateValues" dxfId="119" priority="123"/>
  </conditionalFormatting>
  <conditionalFormatting sqref="A201:A204">
    <cfRule type="duplicateValues" dxfId="118" priority="18"/>
  </conditionalFormatting>
  <conditionalFormatting sqref="A201:A221">
    <cfRule type="duplicateValues" dxfId="117" priority="24"/>
  </conditionalFormatting>
  <conditionalFormatting sqref="A207:A208">
    <cfRule type="duplicateValues" dxfId="116" priority="22"/>
  </conditionalFormatting>
  <conditionalFormatting sqref="A209:A210 A219:A221 A205:A206">
    <cfRule type="duplicateValues" dxfId="115" priority="25"/>
  </conditionalFormatting>
  <conditionalFormatting sqref="A211:A212">
    <cfRule type="duplicateValues" dxfId="114" priority="14"/>
  </conditionalFormatting>
  <conditionalFormatting sqref="A213:A214">
    <cfRule type="duplicateValues" dxfId="113" priority="16"/>
  </conditionalFormatting>
  <conditionalFormatting sqref="A215:A216">
    <cfRule type="duplicateValues" dxfId="112" priority="23"/>
  </conditionalFormatting>
  <conditionalFormatting sqref="A217:A218">
    <cfRule type="duplicateValues" dxfId="111" priority="15"/>
  </conditionalFormatting>
  <conditionalFormatting sqref="A222">
    <cfRule type="duplicateValues" dxfId="110" priority="10"/>
    <cfRule type="duplicateValues" dxfId="109" priority="9"/>
    <cfRule type="duplicateValues" dxfId="108" priority="8"/>
    <cfRule type="duplicateValues" dxfId="107" priority="6"/>
  </conditionalFormatting>
  <conditionalFormatting sqref="A223">
    <cfRule type="duplicateValues" dxfId="106" priority="126"/>
    <cfRule type="duplicateValues" dxfId="105" priority="128"/>
    <cfRule type="duplicateValues" dxfId="104" priority="127"/>
  </conditionalFormatting>
  <conditionalFormatting sqref="A223:A1048576 A56:A83 A1:A11 A26:A54 A111:A142 A108 A159:A168 A170:A200">
    <cfRule type="duplicateValues" dxfId="103" priority="111"/>
  </conditionalFormatting>
  <conditionalFormatting sqref="A10:B10">
    <cfRule type="duplicateValues" dxfId="102" priority="182"/>
  </conditionalFormatting>
  <conditionalFormatting sqref="A16:B17">
    <cfRule type="duplicateValues" dxfId="101" priority="94"/>
  </conditionalFormatting>
  <conditionalFormatting sqref="A25:B25">
    <cfRule type="duplicateValues" dxfId="100" priority="110"/>
  </conditionalFormatting>
  <conditionalFormatting sqref="A33:B34">
    <cfRule type="duplicateValues" dxfId="99" priority="176"/>
  </conditionalFormatting>
  <conditionalFormatting sqref="A55:B55">
    <cfRule type="duplicateValues" dxfId="98" priority="109"/>
  </conditionalFormatting>
  <conditionalFormatting sqref="A109:B110">
    <cfRule type="duplicateValues" dxfId="97" priority="76"/>
  </conditionalFormatting>
  <conditionalFormatting sqref="A141:B141">
    <cfRule type="duplicateValues" dxfId="96" priority="116"/>
  </conditionalFormatting>
  <conditionalFormatting sqref="A169:B169">
    <cfRule type="duplicateValues" dxfId="95" priority="68"/>
    <cfRule type="duplicateValues" dxfId="94" priority="70"/>
  </conditionalFormatting>
  <conditionalFormatting sqref="A3097:B1048576">
    <cfRule type="duplicateValues" dxfId="93" priority="185"/>
  </conditionalFormatting>
  <conditionalFormatting sqref="B12">
    <cfRule type="duplicateValues" dxfId="92" priority="105"/>
  </conditionalFormatting>
  <conditionalFormatting sqref="B13">
    <cfRule type="duplicateValues" dxfId="91" priority="102"/>
    <cfRule type="duplicateValues" dxfId="90" priority="103"/>
    <cfRule type="duplicateValues" dxfId="89" priority="101"/>
  </conditionalFormatting>
  <conditionalFormatting sqref="B14:B15">
    <cfRule type="duplicateValues" dxfId="88" priority="97"/>
  </conditionalFormatting>
  <conditionalFormatting sqref="B18:B20">
    <cfRule type="duplicateValues" dxfId="87" priority="88"/>
  </conditionalFormatting>
  <conditionalFormatting sqref="B21">
    <cfRule type="duplicateValues" dxfId="86" priority="91"/>
  </conditionalFormatting>
  <conditionalFormatting sqref="B22">
    <cfRule type="duplicateValues" dxfId="85" priority="74"/>
  </conditionalFormatting>
  <conditionalFormatting sqref="B23">
    <cfRule type="duplicateValues" dxfId="84" priority="83"/>
  </conditionalFormatting>
  <conditionalFormatting sqref="B24">
    <cfRule type="duplicateValues" dxfId="83" priority="81"/>
    <cfRule type="duplicateValues" dxfId="82" priority="80"/>
    <cfRule type="duplicateValues" dxfId="81" priority="79"/>
  </conditionalFormatting>
  <conditionalFormatting sqref="B54">
    <cfRule type="duplicateValues" dxfId="80" priority="120"/>
  </conditionalFormatting>
  <conditionalFormatting sqref="B56">
    <cfRule type="duplicateValues" dxfId="79" priority="108"/>
  </conditionalFormatting>
  <conditionalFormatting sqref="B63">
    <cfRule type="duplicateValues" dxfId="78" priority="114"/>
  </conditionalFormatting>
  <conditionalFormatting sqref="B83">
    <cfRule type="duplicateValues" dxfId="77" priority="148"/>
  </conditionalFormatting>
  <conditionalFormatting sqref="B84:B99 B103:B107">
    <cfRule type="duplicateValues" dxfId="76" priority="198"/>
  </conditionalFormatting>
  <conditionalFormatting sqref="B108 B83">
    <cfRule type="duplicateValues" dxfId="75" priority="143"/>
  </conditionalFormatting>
  <conditionalFormatting sqref="B108">
    <cfRule type="duplicateValues" dxfId="74" priority="153"/>
  </conditionalFormatting>
  <conditionalFormatting sqref="B132:B133 B135">
    <cfRule type="duplicateValues" dxfId="73" priority="193"/>
  </conditionalFormatting>
  <conditionalFormatting sqref="B142">
    <cfRule type="duplicateValues" dxfId="72" priority="135"/>
  </conditionalFormatting>
  <conditionalFormatting sqref="B143:B158 B100:B102">
    <cfRule type="duplicateValues" dxfId="71" priority="201"/>
  </conditionalFormatting>
  <conditionalFormatting sqref="B159 B142">
    <cfRule type="duplicateValues" dxfId="70" priority="132"/>
  </conditionalFormatting>
  <conditionalFormatting sqref="B159">
    <cfRule type="duplicateValues" dxfId="69" priority="140"/>
  </conditionalFormatting>
  <conditionalFormatting sqref="B160:B163 A35:B36 B57:B62 B11 B165:B168 B134 B64:B82 B26:B32 B111:B131 B37:B53 B136:B140 B184:B199 B170:B182">
    <cfRule type="duplicateValues" dxfId="68" priority="197"/>
  </conditionalFormatting>
  <conditionalFormatting sqref="B164">
    <cfRule type="duplicateValues" dxfId="67" priority="118"/>
  </conditionalFormatting>
  <conditionalFormatting sqref="B183">
    <cfRule type="duplicateValues" dxfId="66" priority="112"/>
  </conditionalFormatting>
  <conditionalFormatting sqref="B200 B223">
    <cfRule type="duplicateValues" dxfId="65" priority="121"/>
  </conditionalFormatting>
  <conditionalFormatting sqref="B200">
    <cfRule type="duplicateValues" dxfId="64" priority="124"/>
  </conditionalFormatting>
  <conditionalFormatting sqref="B201:B222">
    <cfRule type="duplicateValues" dxfId="63" priority="2"/>
  </conditionalFormatting>
  <conditionalFormatting sqref="B223">
    <cfRule type="duplicateValues" dxfId="62" priority="129"/>
  </conditionalFormatting>
  <conditionalFormatting sqref="B223:B1048576 B184:B200 B134 B1:B11 B142 B56:B62 B64:B83 B111:B131 B26:B54 B136:B140 B108 B159:B168 B170:B182">
    <cfRule type="duplicateValues" dxfId="61" priority="195"/>
    <cfRule type="duplicateValues" dxfId="60" priority="196"/>
  </conditionalFormatting>
  <conditionalFormatting sqref="E83">
    <cfRule type="duplicateValues" dxfId="59" priority="149"/>
  </conditionalFormatting>
  <conditionalFormatting sqref="E107">
    <cfRule type="duplicateValues" dxfId="58" priority="46"/>
  </conditionalFormatting>
  <conditionalFormatting sqref="E142">
    <cfRule type="duplicateValues" dxfId="57" priority="136"/>
  </conditionalFormatting>
  <conditionalFormatting sqref="E158">
    <cfRule type="duplicateValues" dxfId="56" priority="31"/>
  </conditionalFormatting>
  <conditionalFormatting sqref="E200">
    <cfRule type="duplicateValues" dxfId="55" priority="125"/>
  </conditionalFormatting>
  <conditionalFormatting sqref="E222">
    <cfRule type="duplicateValues" dxfId="54" priority="7"/>
  </conditionalFormatting>
  <conditionalFormatting sqref="K14:K17">
    <cfRule type="containsText" dxfId="53" priority="93" operator="containsText" text="ASI">
      <formula>NOT(ISERROR(SEARCH("ASI",K14)))</formula>
    </cfRule>
    <cfRule type="containsText" dxfId="52" priority="92" operator="containsText" text="asics">
      <formula>NOT(ISERROR(SEARCH("asics",K14)))</formula>
    </cfRule>
  </conditionalFormatting>
  <conditionalFormatting sqref="K21:K23">
    <cfRule type="containsText" dxfId="51" priority="72" operator="containsText" text="asics">
      <formula>NOT(ISERROR(SEARCH("asics",K21)))</formula>
    </cfRule>
    <cfRule type="containsText" dxfId="50" priority="73" operator="containsText" text="ASI">
      <formula>NOT(ISERROR(SEARCH("ASI",K21)))</formula>
    </cfRule>
  </conditionalFormatting>
  <conditionalFormatting sqref="K83">
    <cfRule type="containsText" dxfId="49" priority="145" operator="containsText" text="asics">
      <formula>NOT(ISERROR(SEARCH("asics",K83)))</formula>
    </cfRule>
    <cfRule type="containsText" dxfId="48" priority="146" operator="containsText" text="ASI">
      <formula>NOT(ISERROR(SEARCH("ASI",K83)))</formula>
    </cfRule>
  </conditionalFormatting>
  <conditionalFormatting sqref="K107:K108">
    <cfRule type="containsText" dxfId="47" priority="44" operator="containsText" text="ASI">
      <formula>NOT(ISERROR(SEARCH("ASI",K107)))</formula>
    </cfRule>
    <cfRule type="containsText" dxfId="46" priority="43" operator="containsText" text="asics">
      <formula>NOT(ISERROR(SEARCH("asics",K107)))</formula>
    </cfRule>
  </conditionalFormatting>
  <conditionalFormatting sqref="K142:K150">
    <cfRule type="containsText" dxfId="45" priority="36" operator="containsText" text="ASI">
      <formula>NOT(ISERROR(SEARCH("ASI",K142)))</formula>
    </cfRule>
    <cfRule type="containsText" dxfId="44" priority="35" operator="containsText" text="asics">
      <formula>NOT(ISERROR(SEARCH("asics",K142)))</formula>
    </cfRule>
  </conditionalFormatting>
  <conditionalFormatting sqref="K158:K159">
    <cfRule type="containsText" dxfId="43" priority="28" operator="containsText" text="asics">
      <formula>NOT(ISERROR(SEARCH("asics",K158)))</formula>
    </cfRule>
    <cfRule type="containsText" dxfId="42" priority="29" operator="containsText" text="ASI">
      <formula>NOT(ISERROR(SEARCH("ASI",K158)))</formula>
    </cfRule>
  </conditionalFormatting>
  <conditionalFormatting sqref="K200:K218">
    <cfRule type="containsText" dxfId="41" priority="13" operator="containsText" text="ASI">
      <formula>NOT(ISERROR(SEARCH("ASI",K200)))</formula>
    </cfRule>
    <cfRule type="containsText" dxfId="40" priority="12" operator="containsText" text="asics">
      <formula>NOT(ISERROR(SEARCH("asics",K200)))</formula>
    </cfRule>
  </conditionalFormatting>
  <conditionalFormatting sqref="K222:K223">
    <cfRule type="containsText" dxfId="39" priority="4" operator="containsText" text="asics">
      <formula>NOT(ISERROR(SEARCH("asics",K222)))</formula>
    </cfRule>
    <cfRule type="containsText" dxfId="38" priority="5" operator="containsText" text="ASI">
      <formula>NOT(ISERROR(SEARCH("ASI",K222)))</formula>
    </cfRule>
  </conditionalFormatting>
  <conditionalFormatting sqref="K10:M10 O10">
    <cfRule type="duplicateValues" dxfId="37" priority="181"/>
  </conditionalFormatting>
  <conditionalFormatting sqref="K33:M34 O33:O34 T33:T34">
    <cfRule type="duplicateValues" dxfId="36" priority="184"/>
  </conditionalFormatting>
  <conditionalFormatting sqref="K85:M87 O85:O87">
    <cfRule type="duplicateValues" dxfId="35" priority="58"/>
  </conditionalFormatting>
  <conditionalFormatting sqref="K92:M93 O92:O93 T93">
    <cfRule type="duplicateValues" dxfId="34" priority="61"/>
  </conditionalFormatting>
  <conditionalFormatting sqref="N10">
    <cfRule type="duplicateValues" dxfId="33" priority="177"/>
  </conditionalFormatting>
  <conditionalFormatting sqref="N33:N34">
    <cfRule type="duplicateValues" dxfId="32" priority="175"/>
  </conditionalFormatting>
  <conditionalFormatting sqref="N85:N87">
    <cfRule type="duplicateValues" dxfId="31" priority="56"/>
  </conditionalFormatting>
  <conditionalFormatting sqref="N92:N93">
    <cfRule type="duplicateValues" dxfId="30" priority="54"/>
  </conditionalFormatting>
  <conditionalFormatting sqref="P10 R10 T10">
    <cfRule type="duplicateValues" dxfId="29" priority="178"/>
  </conditionalFormatting>
  <conditionalFormatting sqref="P34 R33:S34">
    <cfRule type="duplicateValues" dxfId="28" priority="183"/>
  </conditionalFormatting>
  <conditionalFormatting sqref="P92:P93 R92:S93">
    <cfRule type="duplicateValues" dxfId="27" priority="60"/>
  </conditionalFormatting>
  <conditionalFormatting sqref="Q9">
    <cfRule type="duplicateValues" dxfId="26" priority="171"/>
  </conditionalFormatting>
  <conditionalFormatting sqref="Q33:Q34">
    <cfRule type="duplicateValues" dxfId="25" priority="170"/>
  </conditionalFormatting>
  <conditionalFormatting sqref="Q92:Q93">
    <cfRule type="duplicateValues" dxfId="24" priority="49"/>
  </conditionalFormatting>
  <conditionalFormatting sqref="S10">
    <cfRule type="duplicateValues" dxfId="23" priority="169"/>
  </conditionalFormatting>
  <conditionalFormatting sqref="S85:S87">
    <cfRule type="duplicateValues" dxfId="22" priority="48"/>
  </conditionalFormatting>
  <conditionalFormatting sqref="T11:T32 T94:T107 T109:T150">
    <cfRule type="cellIs" dxfId="21" priority="71" operator="greaterThan">
      <formula>0</formula>
    </cfRule>
  </conditionalFormatting>
  <conditionalFormatting sqref="T35:T84 T89:T91">
    <cfRule type="cellIs" dxfId="20" priority="47" operator="greaterThan">
      <formula>0</formula>
    </cfRule>
  </conditionalFormatting>
  <conditionalFormatting sqref="T104 T106 T96 T94 P85:P87 R85:R87 T84:T88 T90 T92 T98">
    <cfRule type="duplicateValues" dxfId="19" priority="57"/>
  </conditionalFormatting>
  <conditionalFormatting sqref="T154:T156">
    <cfRule type="cellIs" dxfId="18" priority="38" operator="greaterThan">
      <formula>0</formula>
    </cfRule>
  </conditionalFormatting>
  <conditionalFormatting sqref="T155 T100:T102 T149 T145 T143 T147 T151:T153 T157">
    <cfRule type="duplicateValues" dxfId="17" priority="199"/>
  </conditionalFormatting>
  <conditionalFormatting sqref="T158">
    <cfRule type="cellIs" dxfId="16" priority="27" operator="greaterThan">
      <formula>0</formula>
    </cfRule>
  </conditionalFormatting>
  <conditionalFormatting sqref="T160:T218">
    <cfRule type="cellIs" dxfId="15" priority="11" operator="greaterThan">
      <formula>0</formula>
    </cfRule>
  </conditionalFormatting>
  <conditionalFormatting sqref="T220">
    <cfRule type="cellIs" dxfId="14" priority="17" operator="greaterThan">
      <formula>0</formula>
    </cfRule>
  </conditionalFormatting>
  <conditionalFormatting sqref="T221 T217 T211 T213 T207 T219 T201 T215 T203 T205 T209">
    <cfRule type="duplicateValues" dxfId="13" priority="21"/>
  </conditionalFormatting>
  <conditionalFormatting sqref="T222">
    <cfRule type="cellIs" dxfId="12" priority="3" operator="greaterThan">
      <formula>0</formula>
    </cfRule>
  </conditionalFormatting>
  <conditionalFormatting sqref="W9:X10 W3097:X1048576">
    <cfRule type="cellIs" dxfId="11" priority="172" operator="equal">
      <formula>0</formula>
    </cfRule>
  </conditionalFormatting>
  <conditionalFormatting sqref="W11:Y83">
    <cfRule type="cellIs" dxfId="10" priority="69" operator="equal">
      <formula>0</formula>
    </cfRule>
  </conditionalFormatting>
  <conditionalFormatting sqref="W94:Y223">
    <cfRule type="cellIs" dxfId="9" priority="19" operator="equal">
      <formula>0</formula>
    </cfRule>
  </conditionalFormatting>
  <conditionalFormatting sqref="X9:X10">
    <cfRule type="cellIs" dxfId="8" priority="173" operator="lessThan">
      <formula>0</formula>
    </cfRule>
  </conditionalFormatting>
  <conditionalFormatting sqref="X84:X91 Y85:Y91">
    <cfRule type="cellIs" dxfId="7" priority="51" operator="equal">
      <formula>0</formula>
    </cfRule>
    <cfRule type="cellIs" dxfId="6" priority="52" operator="lessThan">
      <formula>0</formula>
    </cfRule>
  </conditionalFormatting>
  <conditionalFormatting sqref="X3097:X1048576">
    <cfRule type="cellIs" dxfId="5" priority="174" operator="lessThan">
      <formula>0</formula>
    </cfRule>
  </conditionalFormatting>
  <conditionalFormatting sqref="X11:Y84">
    <cfRule type="cellIs" dxfId="4" priority="53" operator="lessThan">
      <formula>0</formula>
    </cfRule>
  </conditionalFormatting>
  <conditionalFormatting sqref="X84:Y84 W84:W93 X88:Y106">
    <cfRule type="cellIs" dxfId="3" priority="50" operator="equal">
      <formula>0</formula>
    </cfRule>
  </conditionalFormatting>
  <conditionalFormatting sqref="X88:Y223">
    <cfRule type="cellIs" dxfId="2" priority="20" operator="lessThan">
      <formula>0</formula>
    </cfRule>
  </conditionalFormatting>
  <conditionalFormatting sqref="Y10">
    <cfRule type="cellIs" dxfId="1" priority="179" operator="equal">
      <formula>0</formula>
    </cfRule>
    <cfRule type="cellIs" dxfId="0" priority="180" operator="lessThan">
      <formula>0</formula>
    </cfRule>
  </conditionalFormatting>
  <printOptions horizontalCentered="1"/>
  <pageMargins left="0.18" right="0.17" top="0.24" bottom="0.17" header="0.17" footer="0.17"/>
  <pageSetup paperSize="9" scale="1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1" ma:contentTypeDescription="Create a new document." ma:contentTypeScope="" ma:versionID="ca0a34949405af18a2a1038fedd5973f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56f3efbd08470b89beac8b88620aafc3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_Flow_SignoffStatus xmlns="b65cb79d-c821-4d3d-aab2-5ef15e9cc85e" xsi:nil="true"/>
    <TaxCatchAll xmlns="71b44b8b-5734-40bc-bcd6-983774da7c1c" xsi:nil="true"/>
  </documentManagement>
</p:properties>
</file>

<file path=customXml/itemProps1.xml><?xml version="1.0" encoding="utf-8"?>
<ds:datastoreItem xmlns:ds="http://schemas.openxmlformats.org/officeDocument/2006/customXml" ds:itemID="{730AE220-C9F9-42E9-A609-23D72EFE5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45034C-A70E-4FCF-A137-1CDBE2A2D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cb79d-c821-4d3d-aab2-5ef15e9cc85e"/>
    <ds:schemaRef ds:uri="71b44b8b-5734-40bc-bcd6-983774da7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BF60A-8598-4D9C-B564-249E4C497F3C}">
  <ds:schemaRefs>
    <ds:schemaRef ds:uri="http://schemas.microsoft.com/office/2006/metadata/properties"/>
    <ds:schemaRef ds:uri="http://schemas.microsoft.com/office/infopath/2007/PartnerControls"/>
    <ds:schemaRef ds:uri="b65cb79d-c821-4d3d-aab2-5ef15e9cc85e"/>
    <ds:schemaRef ds:uri="71b44b8b-5734-40bc-bcd6-983774da7c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W16-2026</vt:lpstr>
      <vt:lpstr>'W16-2026'!Print_Titles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 Le - Foaming</dc:creator>
  <cp:lastModifiedBy>Lam Duong - Production</cp:lastModifiedBy>
  <dcterms:created xsi:type="dcterms:W3CDTF">2026-04-22T06:17:40Z</dcterms:created>
  <dcterms:modified xsi:type="dcterms:W3CDTF">2026-04-25T04:02:07Z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0x010100ABA881C598A1DC4096D4B66B961FB704</vt:lpwstr>
  </property>
</Properties>
</file>