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4" documentId="8_{C12FF075-160F-4BB4-977C-4D56BABB08BC}" xr6:coauthVersionLast="47" xr6:coauthVersionMax="47" xr10:uidLastSave="{D762CD4A-EFE7-44D7-9ED4-B9E5074D5C65}"/>
  <bookViews>
    <workbookView xWindow="-110" yWindow="-110" windowWidth="19420" windowHeight="11500" activeTab="1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</sheets>
  <externalReferences>
    <externalReference r:id="rId6"/>
    <externalReference r:id="rId7"/>
  </externalReferences>
  <definedNames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3" hidden="1">'20.5'!$A$2:$N$26</definedName>
    <definedName name="_xlnm._FilterDatabase" localSheetId="4" hidden="1">'21.5'!$A$2:$N$19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3">'[1]Molding-báo cáo BUn'!#REF!</definedName>
    <definedName name="AE" localSheetId="4">'[1]Molding-báo cáo BUn'!#REF!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3">'20.5'!$A$1:$N$26</definedName>
    <definedName name="_xlnm.Print_Area" localSheetId="4">'21.5'!$A$1:$N$19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3">'20.5'!$1:$2</definedName>
    <definedName name="_xlnm.Print_Titles" localSheetId="4">'21.5'!$1:$2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5" l="1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K13" i="5"/>
  <c r="J13" i="5"/>
  <c r="I13" i="5"/>
  <c r="H13" i="5"/>
  <c r="G13" i="5"/>
  <c r="F13" i="5"/>
  <c r="E13" i="5"/>
  <c r="D13" i="5"/>
  <c r="C13" i="5"/>
  <c r="B13" i="5"/>
  <c r="N12" i="5"/>
  <c r="K12" i="5"/>
  <c r="J12" i="5"/>
  <c r="I12" i="5"/>
  <c r="H12" i="5"/>
  <c r="G12" i="5"/>
  <c r="F12" i="5"/>
  <c r="E12" i="5"/>
  <c r="D12" i="5"/>
  <c r="C12" i="5"/>
  <c r="B12" i="5"/>
  <c r="N11" i="5"/>
  <c r="K11" i="5"/>
  <c r="J11" i="5"/>
  <c r="I11" i="5"/>
  <c r="H11" i="5"/>
  <c r="G11" i="5"/>
  <c r="F11" i="5"/>
  <c r="E11" i="5"/>
  <c r="D11" i="5"/>
  <c r="C11" i="5"/>
  <c r="B11" i="5"/>
  <c r="N10" i="5"/>
  <c r="K10" i="5"/>
  <c r="J10" i="5"/>
  <c r="I10" i="5"/>
  <c r="H10" i="5"/>
  <c r="G10" i="5"/>
  <c r="F10" i="5"/>
  <c r="E10" i="5"/>
  <c r="D10" i="5"/>
  <c r="C10" i="5"/>
  <c r="B10" i="5"/>
  <c r="N9" i="5"/>
  <c r="K9" i="5"/>
  <c r="J9" i="5"/>
  <c r="I9" i="5"/>
  <c r="H9" i="5"/>
  <c r="G9" i="5"/>
  <c r="F9" i="5"/>
  <c r="E9" i="5"/>
  <c r="D9" i="5"/>
  <c r="C9" i="5"/>
  <c r="B9" i="5"/>
  <c r="N8" i="5"/>
  <c r="K8" i="5"/>
  <c r="J8" i="5"/>
  <c r="I8" i="5"/>
  <c r="H8" i="5"/>
  <c r="G8" i="5"/>
  <c r="F8" i="5"/>
  <c r="E8" i="5"/>
  <c r="D8" i="5"/>
  <c r="C8" i="5"/>
  <c r="B8" i="5"/>
  <c r="N7" i="5"/>
  <c r="K7" i="5"/>
  <c r="J7" i="5"/>
  <c r="I7" i="5"/>
  <c r="H7" i="5"/>
  <c r="G7" i="5"/>
  <c r="F7" i="5"/>
  <c r="E7" i="5"/>
  <c r="D7" i="5"/>
  <c r="C7" i="5"/>
  <c r="B7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<sst xmlns="http://schemas.openxmlformats.org/spreadsheetml/2006/main" count="446" uniqueCount="247">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</sst>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8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Sheet1"/>
      <sheetName val="master plan"/>
      <sheetName val="Sheet5"/>
      <sheetName val="Sheet4"/>
      <sheetName val="Sheet3"/>
      <sheetName val="Sheet2"/>
      <sheetName val="MỚI (2)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form 2 (7)"/>
      <sheetName val="In đơn"/>
      <sheetName val="Production BOM"/>
      <sheetName val="Items"/>
      <sheetName val="mm Pu"/>
      <sheetName val="master plan (2)"/>
      <sheetName val="15.5"/>
      <sheetName val="form 2 (8)"/>
      <sheetName val="18.5"/>
      <sheetName val="20.5"/>
      <sheetName val="form 2 (10)"/>
      <sheetName val="21.5"/>
      <sheetName val="form 2 (11)"/>
    </sheetNames>
    <sheetDataSet>
      <sheetData sheetId="0" refreshError="1"/>
      <sheetData sheetId="1" refreshError="1"/>
      <sheetData sheetId="2">
        <row r="1">
          <cell r="C1" t="str">
            <v>TẠM THỜI NGƯNG NHẬN LAZY</v>
          </cell>
          <cell r="G1" t="str">
            <v>ASICS 12MM DÙNG BOM 132 (roundup(12/132),5)</v>
          </cell>
        </row>
        <row r="2">
          <cell r="G2" t="str">
            <v>SAMPLE</v>
          </cell>
          <cell r="H2">
            <v>22635</v>
          </cell>
          <cell r="I2">
            <v>22635</v>
          </cell>
          <cell r="J2">
            <v>20947</v>
          </cell>
          <cell r="K2">
            <v>1688</v>
          </cell>
          <cell r="L2" t="str">
            <v>ASICS</v>
          </cell>
          <cell r="Q2" t="str">
            <v>ETD hệ thống+1ngay</v>
          </cell>
          <cell r="R2" t="e">
            <v>#VALUE!</v>
          </cell>
          <cell r="U2">
            <v>12</v>
          </cell>
          <cell r="W2">
            <v>1144</v>
          </cell>
        </row>
        <row r="3">
          <cell r="A3" t="str">
            <v>NO.Order</v>
          </cell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M263" t="str">
            <v xml:space="preserve">Lab test </v>
          </cell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0</v>
          </cell>
          <cell r="K404">
            <v>1</v>
          </cell>
          <cell r="L404" t="str">
            <v>TBS</v>
          </cell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 t="str">
            <v>chua rl</v>
          </cell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0</v>
          </cell>
          <cell r="K407">
            <v>40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 t="str">
            <v>chua rl</v>
          </cell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0</v>
          </cell>
          <cell r="K408">
            <v>50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 t="str">
            <v>chua rl</v>
          </cell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 t="str">
            <v xml:space="preserve">chờ xác nhận </v>
          </cell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0</v>
          </cell>
          <cell r="K410">
            <v>10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0</v>
          </cell>
          <cell r="K411">
            <v>20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 t="str">
            <v>chua rl</v>
          </cell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0</v>
          </cell>
          <cell r="K413">
            <v>20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0</v>
          </cell>
          <cell r="K414">
            <v>15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0</v>
          </cell>
          <cell r="K415">
            <v>50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0</v>
          </cell>
          <cell r="K416">
            <v>20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0</v>
          </cell>
          <cell r="K417">
            <v>10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0</v>
          </cell>
          <cell r="K419">
            <v>50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0</v>
          </cell>
          <cell r="K420">
            <v>50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0</v>
          </cell>
          <cell r="K421">
            <v>50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0</v>
          </cell>
          <cell r="K422">
            <v>40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0</v>
          </cell>
          <cell r="K423">
            <v>30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0</v>
          </cell>
          <cell r="K424">
            <v>30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0</v>
          </cell>
          <cell r="K425">
            <v>30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0</v>
          </cell>
          <cell r="K428">
            <v>5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0</v>
          </cell>
          <cell r="K429">
            <v>150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0</v>
          </cell>
          <cell r="K430">
            <v>150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0</v>
          </cell>
          <cell r="K431">
            <v>50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0</v>
          </cell>
          <cell r="K432">
            <v>50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0</v>
          </cell>
          <cell r="K433">
            <v>40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0</v>
          </cell>
          <cell r="K434">
            <v>40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0</v>
          </cell>
          <cell r="K435">
            <v>40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 t="str">
            <v>chua rl</v>
          </cell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0</v>
          </cell>
          <cell r="K436">
            <v>70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 t="str">
            <v>chua rl</v>
          </cell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0</v>
          </cell>
          <cell r="K437">
            <v>40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 t="str">
            <v>chua rl</v>
          </cell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0</v>
          </cell>
          <cell r="K438">
            <v>40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 t="str">
            <v>chua rl</v>
          </cell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0</v>
          </cell>
          <cell r="K439">
            <v>40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 t="str">
            <v>chua rl</v>
          </cell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0</v>
          </cell>
          <cell r="K440">
            <v>30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 t="str">
            <v>chua rl</v>
          </cell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0</v>
          </cell>
          <cell r="K441">
            <v>50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 t="str">
            <v>chua rl</v>
          </cell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0</v>
          </cell>
          <cell r="K442">
            <v>30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 t="str">
            <v>chua rl</v>
          </cell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0</v>
          </cell>
          <cell r="K443">
            <v>80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 t="str">
            <v>chua rl</v>
          </cell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0</v>
          </cell>
          <cell r="K444">
            <v>20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 t="str">
            <v>chua rl</v>
          </cell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0</v>
          </cell>
          <cell r="K445">
            <v>30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 t="str">
            <v>chua rl</v>
          </cell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0</v>
          </cell>
          <cell r="K446">
            <v>20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0</v>
          </cell>
          <cell r="K447">
            <v>50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0</v>
          </cell>
          <cell r="K448">
            <v>30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E449" t="str">
            <v/>
          </cell>
          <cell r="J449">
            <v>0</v>
          </cell>
          <cell r="K449">
            <v>0</v>
          </cell>
          <cell r="U449" t="str">
            <v/>
          </cell>
          <cell r="V449">
            <v>0</v>
          </cell>
          <cell r="W449">
            <v>0</v>
          </cell>
        </row>
        <row r="450">
          <cell r="E450" t="str">
            <v/>
          </cell>
          <cell r="J450">
            <v>0</v>
          </cell>
          <cell r="K450">
            <v>0</v>
          </cell>
          <cell r="U450" t="str">
            <v/>
          </cell>
          <cell r="V450">
            <v>0</v>
          </cell>
          <cell r="W450">
            <v>0</v>
          </cell>
        </row>
        <row r="451">
          <cell r="E451" t="str">
            <v/>
          </cell>
          <cell r="J451">
            <v>0</v>
          </cell>
          <cell r="K451">
            <v>0</v>
          </cell>
          <cell r="U451" t="str">
            <v/>
          </cell>
          <cell r="V451">
            <v>0</v>
          </cell>
          <cell r="W451">
            <v>0</v>
          </cell>
        </row>
        <row r="452">
          <cell r="E452" t="str">
            <v/>
          </cell>
          <cell r="J452">
            <v>0</v>
          </cell>
          <cell r="K452">
            <v>0</v>
          </cell>
          <cell r="U452" t="str">
            <v/>
          </cell>
          <cell r="V452">
            <v>0</v>
          </cell>
          <cell r="W452">
            <v>0</v>
          </cell>
        </row>
        <row r="453">
          <cell r="E453" t="str">
            <v/>
          </cell>
          <cell r="J453">
            <v>0</v>
          </cell>
          <cell r="K453">
            <v>0</v>
          </cell>
          <cell r="U453" t="str">
            <v/>
          </cell>
          <cell r="V453">
            <v>0</v>
          </cell>
          <cell r="W453">
            <v>0</v>
          </cell>
        </row>
        <row r="454">
          <cell r="E454" t="str">
            <v/>
          </cell>
          <cell r="J454">
            <v>0</v>
          </cell>
          <cell r="K454">
            <v>0</v>
          </cell>
          <cell r="U454" t="str">
            <v/>
          </cell>
          <cell r="V454">
            <v>0</v>
          </cell>
          <cell r="W454">
            <v>0</v>
          </cell>
        </row>
        <row r="455">
          <cell r="E455" t="str">
            <v/>
          </cell>
          <cell r="J455">
            <v>0</v>
          </cell>
          <cell r="K455">
            <v>0</v>
          </cell>
          <cell r="U455" t="str">
            <v/>
          </cell>
          <cell r="V455">
            <v>0</v>
          </cell>
          <cell r="W455">
            <v>0</v>
          </cell>
        </row>
        <row r="456">
          <cell r="E456" t="str">
            <v/>
          </cell>
          <cell r="J456">
            <v>0</v>
          </cell>
          <cell r="K456">
            <v>0</v>
          </cell>
          <cell r="U456" t="str">
            <v/>
          </cell>
          <cell r="V456">
            <v>0</v>
          </cell>
          <cell r="W456">
            <v>0</v>
          </cell>
        </row>
        <row r="457">
          <cell r="E457" t="str">
            <v/>
          </cell>
          <cell r="J457">
            <v>0</v>
          </cell>
          <cell r="K457">
            <v>0</v>
          </cell>
          <cell r="U457" t="str">
            <v/>
          </cell>
          <cell r="V457">
            <v>0</v>
          </cell>
          <cell r="W457">
            <v>0</v>
          </cell>
        </row>
        <row r="458">
          <cell r="E458" t="str">
            <v/>
          </cell>
          <cell r="J458">
            <v>0</v>
          </cell>
          <cell r="K458">
            <v>0</v>
          </cell>
          <cell r="U458" t="str">
            <v/>
          </cell>
          <cell r="V458">
            <v>0</v>
          </cell>
          <cell r="W458">
            <v>0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/>
      <sheetData sheetId="90" refreshError="1"/>
      <sheetData sheetId="91">
        <row r="1">
          <cell r="F1" t="str">
            <v>No_Item</v>
          </cell>
        </row>
      </sheetData>
      <sheetData sheetId="92" refreshError="1"/>
      <sheetData sheetId="93" refreshError="1"/>
      <sheetData sheetId="94" refreshError="1"/>
      <sheetData sheetId="95" refreshError="1"/>
      <sheetData sheetId="96"/>
      <sheetData sheetId="97" refreshError="1"/>
      <sheetData sheetId="98" refreshError="1"/>
      <sheetData sheetId="99"/>
      <sheetData sheetId="100" refreshError="1"/>
      <sheetData sheetId="101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1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34" priority="8"/>
  </conditionalFormatting>
  <conditionalFormatting sqref="A3:A20">
    <cfRule type="duplicateValues" dxfId="33" priority="11"/>
  </conditionalFormatting>
  <conditionalFormatting sqref="A23:A1048576">
    <cfRule type="duplicateValues" dxfId="32" priority="9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7"/>
  </conditionalFormatting>
  <conditionalFormatting sqref="N1">
    <cfRule type="duplicateValues" dxfId="28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tabSelected="1"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46164.418156597225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27" priority="5"/>
  </conditionalFormatting>
  <conditionalFormatting sqref="A3:A23">
    <cfRule type="duplicateValues" dxfId="26" priority="7"/>
  </conditionalFormatting>
  <conditionalFormatting sqref="A26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46164.418156597225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20" priority="5"/>
  </conditionalFormatting>
  <conditionalFormatting sqref="A3:A28">
    <cfRule type="duplicateValues" dxfId="19" priority="7"/>
  </conditionalFormatting>
  <conditionalFormatting sqref="A31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I2:M2">
    <cfRule type="duplicateValues" dxfId="15" priority="4"/>
  </conditionalFormatting>
  <conditionalFormatting sqref="N1">
    <cfRule type="duplicateValues" dxfId="1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12" activePane="bottomRight" state="frozen"/>
      <selection activeCell="E27" sqref="E27"/>
      <selection pane="topRight" activeCell="E27" sqref="E27"/>
      <selection pane="bottomLeft" activeCell="E27" sqref="E27"/>
      <selection pane="bottomRight" activeCell="A7" sqref="A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46164.418156481479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5">
    <cfRule type="duplicateValues" dxfId="12" priority="7"/>
  </conditionalFormatting>
  <conditionalFormatting sqref="A28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I2:M2">
    <cfRule type="duplicateValues" dxfId="8" priority="4"/>
  </conditionalFormatting>
  <conditionalFormatting sqref="N1">
    <cfRule type="duplicateValues" dxfId="7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46164.418156250002</v>
      </c>
      <c r="D1" s="77" t="s">
        <v>1</v>
      </c>
      <c r="E1" s="77"/>
      <c r="F1" s="77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70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  <c r="N7" s="28" t="str">
        <f>_xlfn.IFNA(VLOOKUP(A7,'[2]master plan'!A:R,18,0),"")</f>
        <v/>
      </c>
    </row>
    <row r="8" spans="1:14" s="3" customFormat="1" ht="70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  <c r="N8" s="28" t="str">
        <f>_xlfn.IFNA(VLOOKUP(A8,'[2]master plan'!A:R,18,0),"")</f>
        <v/>
      </c>
    </row>
    <row r="9" spans="1:14" s="3" customFormat="1" ht="70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27"/>
      <c r="N9" s="28" t="str">
        <f>_xlfn.IFNA(VLOOKUP(A9,'[2]master plan'!A:R,18,0),"")</f>
        <v/>
      </c>
    </row>
    <row r="10" spans="1:14" s="3" customFormat="1" ht="70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40"/>
      <c r="N10" s="28" t="str">
        <f>_xlfn.IFNA(VLOOKUP(A10,'[2]master plan'!A:R,18,0),"")</f>
        <v/>
      </c>
    </row>
    <row r="11" spans="1:14" s="3" customFormat="1" ht="70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27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18" name="Range1_1"/>
  </protectedRanges>
  <autoFilter ref="A2:N19" xr:uid="{E2BC4C4A-3703-4A99-A30B-53817C3A378F}"/>
  <mergeCells count="1">
    <mergeCell ref="D1:F1"/>
  </mergeCells>
  <conditionalFormatting sqref="A2">
    <cfRule type="duplicateValues" dxfId="6" priority="5"/>
  </conditionalFormatting>
  <conditionalFormatting sqref="A3:A18">
    <cfRule type="duplicateValues" dxfId="5" priority="7"/>
  </conditionalFormatting>
  <conditionalFormatting sqref="A21:A1048576">
    <cfRule type="duplicateValues" dxfId="4" priority="6"/>
  </conditionalFormatting>
  <conditionalFormatting sqref="C1:C1048576">
    <cfRule type="duplicateValues" dxfId="3" priority="1"/>
    <cfRule type="duplicateValues" dxfId="2" priority="2"/>
  </conditionalFormatting>
  <conditionalFormatting sqref="I2:M2">
    <cfRule type="duplicateValues" dxfId="1" priority="4"/>
  </conditionalFormatting>
  <conditionalFormatting sqref="N1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10</vt:i4>
      </vt:variant>
    </vt:vector>
  </HeadingPairs>
  <TitlesOfParts>
    <vt:vector size="15" baseType="lpstr">
      <vt:lpstr>13.5</vt:lpstr>
      <vt:lpstr>15.5</vt:lpstr>
      <vt:lpstr>18.5</vt:lpstr>
      <vt:lpstr>20.5</vt:lpstr>
      <vt:lpstr>21.5</vt:lpstr>
      <vt:lpstr>'13.5'!Print_Area</vt:lpstr>
      <vt:lpstr>'15.5'!Print_Area</vt:lpstr>
      <vt:lpstr>'18.5'!Print_Area</vt:lpstr>
      <vt:lpstr>'20.5'!Print_Area</vt:lpstr>
      <vt:lpstr>'21.5'!Print_Area</vt:lpstr>
      <vt:lpstr>'13.5'!Print_Titles</vt:lpstr>
      <vt:lpstr>'15.5'!Print_Titles</vt:lpstr>
      <vt:lpstr>'18.5'!Print_Titles</vt:lpstr>
      <vt:lpstr>'20.5'!Print_Titles</vt:lpstr>
      <vt:lpstr>'21.5'!Print_Titles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dcterms:created xsi:type="dcterms:W3CDTF">2026-05-13T09:21:12Z</dcterms:created>
  <dcterms:modified xsi:type="dcterms:W3CDTF">2026-05-22T03:04:14Z</dcterms:modified>
</cp:coreProperties>
</file>