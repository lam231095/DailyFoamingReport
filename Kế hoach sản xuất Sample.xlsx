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33" documentId="8_{C12FF075-160F-4BB4-977C-4D56BABB08BC}" xr6:coauthVersionLast="47" xr6:coauthVersionMax="47" xr10:uidLastSave="{B315981E-A25C-4A9B-9B20-C465E730CDAC}"/>
  <bookViews>
    <workbookView xWindow="-110" yWindow="-110" windowWidth="19420" windowHeight="11500" firstSheet="4" activeTab="14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  <sheet name="5.6" sheetId="13" r:id="rId13"/>
    <sheet name="6.6" sheetId="14" r:id="rId14"/>
    <sheet name="8.6" sheetId="15" r:id="rId15"/>
    <sheet name="9.6" sheetId="16" r:id="rId16"/>
  </sheets>
  <externalReferences>
    <externalReference r:id="rId17"/>
    <externalReference r:id="rId18"/>
  </externalReferences>
  <definedNames>
    <definedName name="_xlnm._FilterDatabase" localSheetId="8" hidden="1">'1.6'!$A$2:$N$21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_xlnm._FilterDatabase" localSheetId="12" hidden="1">'5.6'!$A$2:$N$25</definedName>
    <definedName name="_xlnm._FilterDatabase" localSheetId="13" hidden="1">'6.6'!$A$2:$M$18</definedName>
    <definedName name="_xlnm._FilterDatabase" localSheetId="14" hidden="1">'8.6'!$A$2:$N$21</definedName>
    <definedName name="_xlnm._FilterDatabase" localSheetId="15" hidden="1">'9.6'!$A$2:$N$24</definedName>
    <definedName name="AE" localSheetId="8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AE" localSheetId="12">'[1]Molding-báo cáo BUn'!#REF!</definedName>
    <definedName name="AE" localSheetId="13">'[1]Molding-báo cáo BUn'!#REF!</definedName>
    <definedName name="AE" localSheetId="14">'[1]Molding-báo cáo BUn'!#REF!</definedName>
    <definedName name="AE" localSheetId="15">'[1]Molding-báo cáo BUn'!#REF!</definedName>
    <definedName name="_xlnm.Print_Area" localSheetId="8">'1.6'!$A$1:$N$21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Area" localSheetId="12">'5.6'!$A$1:$N$25</definedName>
    <definedName name="_xlnm.Print_Area" localSheetId="13">'6.6'!$A$1:$M$18</definedName>
    <definedName name="_xlnm.Print_Area" localSheetId="14">'8.6'!$A$1:$N$21</definedName>
    <definedName name="_xlnm.Print_Area" localSheetId="15">'9.6'!$A$1:$N$24</definedName>
    <definedName name="_xlnm.Print_Titles" localSheetId="8">'1.6'!$1:$2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_xlnm.Print_Titles" localSheetId="12">'5.6'!$1:$2</definedName>
    <definedName name="_xlnm.Print_Titles" localSheetId="13">'6.6'!$1:$2</definedName>
    <definedName name="_xlnm.Print_Titles" localSheetId="14">'8.6'!$1:$2</definedName>
    <definedName name="_xlnm.Print_Titles" localSheetId="15">'9.6'!$1:$2</definedName>
    <definedName name="Z_1811EAD5_BD80_4EFF_9596_8EF0EFF4AD2A_.wvu.FilterData" localSheetId="8" hidden="1">'1.6'!$A$2:$N$2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FilterData" localSheetId="12" hidden="1">'5.6'!$A$2:$N$2</definedName>
    <definedName name="Z_1811EAD5_BD80_4EFF_9596_8EF0EFF4AD2A_.wvu.FilterData" localSheetId="13" hidden="1">'6.6'!$A$2:$M$2</definedName>
    <definedName name="Z_1811EAD5_BD80_4EFF_9596_8EF0EFF4AD2A_.wvu.FilterData" localSheetId="14" hidden="1">'8.6'!$A$2:$N$2</definedName>
    <definedName name="Z_1811EAD5_BD80_4EFF_9596_8EF0EFF4AD2A_.wvu.FilterData" localSheetId="15" hidden="1">'9.6'!$A$2:$N$2</definedName>
    <definedName name="Z_1811EAD5_BD80_4EFF_9596_8EF0EFF4AD2A_.wvu.PrintTitles" localSheetId="8" hidden="1">'1.6'!$1:$2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11EAD5_BD80_4EFF_9596_8EF0EFF4AD2A_.wvu.PrintTitles" localSheetId="12" hidden="1">'5.6'!$1:$2</definedName>
    <definedName name="Z_1811EAD5_BD80_4EFF_9596_8EF0EFF4AD2A_.wvu.PrintTitles" localSheetId="13" hidden="1">'6.6'!$1:$2</definedName>
    <definedName name="Z_1811EAD5_BD80_4EFF_9596_8EF0EFF4AD2A_.wvu.PrintTitles" localSheetId="14" hidden="1">'8.6'!$1:$2</definedName>
    <definedName name="Z_1811EAD5_BD80_4EFF_9596_8EF0EFF4AD2A_.wvu.PrintTitles" localSheetId="15" hidden="1">'9.6'!$1:$2</definedName>
    <definedName name="Z_18A7E0A3_1642_489C_8130_3CC9FF80B04E_.wvu.FilterData" localSheetId="8" hidden="1">'1.6'!$B$2:$M$2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18A7E0A3_1642_489C_8130_3CC9FF80B04E_.wvu.FilterData" localSheetId="12" hidden="1">'5.6'!$B$2:$M$2</definedName>
    <definedName name="Z_18A7E0A3_1642_489C_8130_3CC9FF80B04E_.wvu.FilterData" localSheetId="13" hidden="1">'6.6'!$B$2:$M$2</definedName>
    <definedName name="Z_18A7E0A3_1642_489C_8130_3CC9FF80B04E_.wvu.FilterData" localSheetId="14" hidden="1">'8.6'!$B$2:$M$2</definedName>
    <definedName name="Z_18A7E0A3_1642_489C_8130_3CC9FF80B04E_.wvu.FilterData" localSheetId="15" hidden="1">'9.6'!$B$2:$M$2</definedName>
    <definedName name="Z_2653C0F9_59B0_4DB3_BD8D_CACC833527F0_.wvu.FilterData" localSheetId="8" hidden="1">'1.6'!$A$2:$N$2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653C0F9_59B0_4DB3_BD8D_CACC833527F0_.wvu.FilterData" localSheetId="12" hidden="1">'5.6'!$A$2:$N$2</definedName>
    <definedName name="Z_2653C0F9_59B0_4DB3_BD8D_CACC833527F0_.wvu.FilterData" localSheetId="13" hidden="1">'6.6'!$A$2:$M$2</definedName>
    <definedName name="Z_2653C0F9_59B0_4DB3_BD8D_CACC833527F0_.wvu.FilterData" localSheetId="14" hidden="1">'8.6'!$A$2:$N$2</definedName>
    <definedName name="Z_2653C0F9_59B0_4DB3_BD8D_CACC833527F0_.wvu.FilterData" localSheetId="15" hidden="1">'9.6'!$A$2:$N$2</definedName>
    <definedName name="Z_289C1146_6484_4C42_9E78_5D7EBC42FBCC_.wvu.FilterData" localSheetId="8" hidden="1">'1.6'!$A$2:$N$2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FilterData" localSheetId="12" hidden="1">'5.6'!$A$2:$N$2</definedName>
    <definedName name="Z_289C1146_6484_4C42_9E78_5D7EBC42FBCC_.wvu.FilterData" localSheetId="13" hidden="1">'6.6'!$A$2:$M$2</definedName>
    <definedName name="Z_289C1146_6484_4C42_9E78_5D7EBC42FBCC_.wvu.FilterData" localSheetId="14" hidden="1">'8.6'!$A$2:$N$2</definedName>
    <definedName name="Z_289C1146_6484_4C42_9E78_5D7EBC42FBCC_.wvu.FilterData" localSheetId="15" hidden="1">'9.6'!$A$2:$N$2</definedName>
    <definedName name="Z_289C1146_6484_4C42_9E78_5D7EBC42FBCC_.wvu.PrintTitles" localSheetId="8" hidden="1">'1.6'!$1:$2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PrintTitles" localSheetId="12" hidden="1">'5.6'!$1:$2</definedName>
    <definedName name="Z_289C1146_6484_4C42_9E78_5D7EBC42FBCC_.wvu.PrintTitles" localSheetId="13" hidden="1">'6.6'!$1:$2</definedName>
    <definedName name="Z_289C1146_6484_4C42_9E78_5D7EBC42FBCC_.wvu.PrintTitles" localSheetId="14" hidden="1">'8.6'!$1:$2</definedName>
    <definedName name="Z_289C1146_6484_4C42_9E78_5D7EBC42FBCC_.wvu.PrintTitles" localSheetId="15" hidden="1">'9.6'!$1:$2</definedName>
    <definedName name="Z_289C1146_6484_4C42_9E78_5D7EBC42FBCC_.wvu.Rows" localSheetId="8" hidden="1">'1.6'!#REF!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289C1146_6484_4C42_9E78_5D7EBC42FBCC_.wvu.Rows" localSheetId="12" hidden="1">'5.6'!#REF!</definedName>
    <definedName name="Z_289C1146_6484_4C42_9E78_5D7EBC42FBCC_.wvu.Rows" localSheetId="13" hidden="1">'6.6'!#REF!</definedName>
    <definedName name="Z_289C1146_6484_4C42_9E78_5D7EBC42FBCC_.wvu.Rows" localSheetId="14" hidden="1">'8.6'!#REF!</definedName>
    <definedName name="Z_289C1146_6484_4C42_9E78_5D7EBC42FBCC_.wvu.Rows" localSheetId="15" hidden="1">'9.6'!#REF!</definedName>
    <definedName name="Z_314949E3_0D3B_4560_AE70_4D3C4970782A_.wvu.FilterData" localSheetId="8" hidden="1">'1.6'!$B$2:$M$2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4949E3_0D3B_4560_AE70_4D3C4970782A_.wvu.FilterData" localSheetId="12" hidden="1">'5.6'!$B$2:$M$2</definedName>
    <definedName name="Z_314949E3_0D3B_4560_AE70_4D3C4970782A_.wvu.FilterData" localSheetId="13" hidden="1">'6.6'!$B$2:$M$2</definedName>
    <definedName name="Z_314949E3_0D3B_4560_AE70_4D3C4970782A_.wvu.FilterData" localSheetId="14" hidden="1">'8.6'!$B$2:$M$2</definedName>
    <definedName name="Z_314949E3_0D3B_4560_AE70_4D3C4970782A_.wvu.FilterData" localSheetId="15" hidden="1">'9.6'!$B$2:$M$2</definedName>
    <definedName name="Z_318C8B1E_0627_4DC9_8089_60901FDA475B_.wvu.FilterData" localSheetId="8" hidden="1">'1.6'!$B$2:$N$2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FilterData" localSheetId="12" hidden="1">'5.6'!$B$2:$N$2</definedName>
    <definedName name="Z_318C8B1E_0627_4DC9_8089_60901FDA475B_.wvu.FilterData" localSheetId="13" hidden="1">'6.6'!$B$2:$M$2</definedName>
    <definedName name="Z_318C8B1E_0627_4DC9_8089_60901FDA475B_.wvu.FilterData" localSheetId="14" hidden="1">'8.6'!$B$2:$N$2</definedName>
    <definedName name="Z_318C8B1E_0627_4DC9_8089_60901FDA475B_.wvu.FilterData" localSheetId="15" hidden="1">'9.6'!$B$2:$N$2</definedName>
    <definedName name="Z_318C8B1E_0627_4DC9_8089_60901FDA475B_.wvu.PrintTitles" localSheetId="8" hidden="1">'1.6'!$1:$2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18C8B1E_0627_4DC9_8089_60901FDA475B_.wvu.PrintTitles" localSheetId="12" hidden="1">'5.6'!$1:$2</definedName>
    <definedName name="Z_318C8B1E_0627_4DC9_8089_60901FDA475B_.wvu.PrintTitles" localSheetId="13" hidden="1">'6.6'!$1:$2</definedName>
    <definedName name="Z_318C8B1E_0627_4DC9_8089_60901FDA475B_.wvu.PrintTitles" localSheetId="14" hidden="1">'8.6'!$1:$2</definedName>
    <definedName name="Z_318C8B1E_0627_4DC9_8089_60901FDA475B_.wvu.PrintTitles" localSheetId="15" hidden="1">'9.6'!$1:$2</definedName>
    <definedName name="Z_323B6797_06D8_47A1_B001_797373BE57F2_.wvu.FilterData" localSheetId="8" hidden="1">'1.6'!$B$2:$M$2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323B6797_06D8_47A1_B001_797373BE57F2_.wvu.FilterData" localSheetId="12" hidden="1">'5.6'!$B$2:$M$2</definedName>
    <definedName name="Z_323B6797_06D8_47A1_B001_797373BE57F2_.wvu.FilterData" localSheetId="13" hidden="1">'6.6'!$B$2:$M$2</definedName>
    <definedName name="Z_323B6797_06D8_47A1_B001_797373BE57F2_.wvu.FilterData" localSheetId="14" hidden="1">'8.6'!$B$2:$M$2</definedName>
    <definedName name="Z_323B6797_06D8_47A1_B001_797373BE57F2_.wvu.FilterData" localSheetId="15" hidden="1">'9.6'!$B$2:$M$2</definedName>
    <definedName name="Z_6A9DC2EA_1959_4EB9_A839_907E58591C36_.wvu.FilterData" localSheetId="8" hidden="1">'1.6'!$B$2:$M$2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6A9DC2EA_1959_4EB9_A839_907E58591C36_.wvu.FilterData" localSheetId="12" hidden="1">'5.6'!$B$2:$M$2</definedName>
    <definedName name="Z_6A9DC2EA_1959_4EB9_A839_907E58591C36_.wvu.FilterData" localSheetId="13" hidden="1">'6.6'!$B$2:$M$2</definedName>
    <definedName name="Z_6A9DC2EA_1959_4EB9_A839_907E58591C36_.wvu.FilterData" localSheetId="14" hidden="1">'8.6'!$B$2:$M$2</definedName>
    <definedName name="Z_6A9DC2EA_1959_4EB9_A839_907E58591C36_.wvu.FilterData" localSheetId="15" hidden="1">'9.6'!$B$2:$M$2</definedName>
    <definedName name="Z_866BE165_7CE2_41D4_AD4C_D79698D432B1_.wvu.FilterData" localSheetId="8" hidden="1">'1.6'!$B$2:$M$2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BE165_7CE2_41D4_AD4C_D79698D432B1_.wvu.FilterData" localSheetId="12" hidden="1">'5.6'!$B$2:$M$2</definedName>
    <definedName name="Z_866BE165_7CE2_41D4_AD4C_D79698D432B1_.wvu.FilterData" localSheetId="13" hidden="1">'6.6'!$B$2:$M$2</definedName>
    <definedName name="Z_866BE165_7CE2_41D4_AD4C_D79698D432B1_.wvu.FilterData" localSheetId="14" hidden="1">'8.6'!$B$2:$M$2</definedName>
    <definedName name="Z_866BE165_7CE2_41D4_AD4C_D79698D432B1_.wvu.FilterData" localSheetId="15" hidden="1">'9.6'!$B$2:$M$2</definedName>
    <definedName name="Z_866CB300_9BE2_4E49_BCB4_72634A7939D7_.wvu.FilterData" localSheetId="8" hidden="1">'1.6'!$B$2:$N$2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66CB300_9BE2_4E49_BCB4_72634A7939D7_.wvu.FilterData" localSheetId="12" hidden="1">'5.6'!$B$2:$N$2</definedName>
    <definedName name="Z_866CB300_9BE2_4E49_BCB4_72634A7939D7_.wvu.FilterData" localSheetId="13" hidden="1">'6.6'!$B$2:$M$2</definedName>
    <definedName name="Z_866CB300_9BE2_4E49_BCB4_72634A7939D7_.wvu.FilterData" localSheetId="14" hidden="1">'8.6'!$B$2:$N$2</definedName>
    <definedName name="Z_866CB300_9BE2_4E49_BCB4_72634A7939D7_.wvu.FilterData" localSheetId="15" hidden="1">'9.6'!$B$2:$N$2</definedName>
    <definedName name="Z_8CF255E0_B8BB_4016_A366_4FCF106965CF_.wvu.FilterData" localSheetId="8" hidden="1">'1.6'!$A$2:$N$2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8CF255E0_B8BB_4016_A366_4FCF106965CF_.wvu.FilterData" localSheetId="12" hidden="1">'5.6'!$A$2:$N$2</definedName>
    <definedName name="Z_8CF255E0_B8BB_4016_A366_4FCF106965CF_.wvu.FilterData" localSheetId="13" hidden="1">'6.6'!$A$2:$M$2</definedName>
    <definedName name="Z_8CF255E0_B8BB_4016_A366_4FCF106965CF_.wvu.FilterData" localSheetId="14" hidden="1">'8.6'!$A$2:$N$2</definedName>
    <definedName name="Z_8CF255E0_B8BB_4016_A366_4FCF106965CF_.wvu.FilterData" localSheetId="15" hidden="1">'9.6'!$A$2:$N$2</definedName>
    <definedName name="Z_A4A1FC39_A54C_43AC_9912_8824EB6833F5_.wvu.FilterData" localSheetId="8" hidden="1">'1.6'!$A$2:$N$2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4A1FC39_A54C_43AC_9912_8824EB6833F5_.wvu.FilterData" localSheetId="12" hidden="1">'5.6'!$A$2:$N$2</definedName>
    <definedName name="Z_A4A1FC39_A54C_43AC_9912_8824EB6833F5_.wvu.FilterData" localSheetId="13" hidden="1">'6.6'!$A$2:$M$2</definedName>
    <definedName name="Z_A4A1FC39_A54C_43AC_9912_8824EB6833F5_.wvu.FilterData" localSheetId="14" hidden="1">'8.6'!$A$2:$N$2</definedName>
    <definedName name="Z_A4A1FC39_A54C_43AC_9912_8824EB6833F5_.wvu.FilterData" localSheetId="15" hidden="1">'9.6'!$A$2:$N$2</definedName>
    <definedName name="Z_AF6B2EAC_2950_4809_A605_2107D254FC8D_.wvu.FilterData" localSheetId="8" hidden="1">'1.6'!$B$2:$N$2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FilterData" localSheetId="12" hidden="1">'5.6'!$B$2:$N$2</definedName>
    <definedName name="Z_AF6B2EAC_2950_4809_A605_2107D254FC8D_.wvu.FilterData" localSheetId="13" hidden="1">'6.6'!$B$2:$M$2</definedName>
    <definedName name="Z_AF6B2EAC_2950_4809_A605_2107D254FC8D_.wvu.FilterData" localSheetId="14" hidden="1">'8.6'!$B$2:$N$2</definedName>
    <definedName name="Z_AF6B2EAC_2950_4809_A605_2107D254FC8D_.wvu.FilterData" localSheetId="15" hidden="1">'9.6'!$B$2:$N$2</definedName>
    <definedName name="Z_AF6B2EAC_2950_4809_A605_2107D254FC8D_.wvu.PrintTitles" localSheetId="8" hidden="1">'1.6'!$1:$2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AF6B2EAC_2950_4809_A605_2107D254FC8D_.wvu.PrintTitles" localSheetId="12" hidden="1">'5.6'!$1:$2</definedName>
    <definedName name="Z_AF6B2EAC_2950_4809_A605_2107D254FC8D_.wvu.PrintTitles" localSheetId="13" hidden="1">'6.6'!$1:$2</definedName>
    <definedName name="Z_AF6B2EAC_2950_4809_A605_2107D254FC8D_.wvu.PrintTitles" localSheetId="14" hidden="1">'8.6'!$1:$2</definedName>
    <definedName name="Z_AF6B2EAC_2950_4809_A605_2107D254FC8D_.wvu.PrintTitles" localSheetId="15" hidden="1">'9.6'!$1:$2</definedName>
    <definedName name="Z_CA92E8A2_92C9_4575_A139_6FE5DA69269F_.wvu.FilterData" localSheetId="8" hidden="1">'1.6'!$B$2:$M$2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CA92E8A2_92C9_4575_A139_6FE5DA69269F_.wvu.FilterData" localSheetId="12" hidden="1">'5.6'!$B$2:$M$2</definedName>
    <definedName name="Z_CA92E8A2_92C9_4575_A139_6FE5DA69269F_.wvu.FilterData" localSheetId="13" hidden="1">'6.6'!$B$2:$M$2</definedName>
    <definedName name="Z_CA92E8A2_92C9_4575_A139_6FE5DA69269F_.wvu.FilterData" localSheetId="14" hidden="1">'8.6'!$B$2:$M$2</definedName>
    <definedName name="Z_CA92E8A2_92C9_4575_A139_6FE5DA69269F_.wvu.FilterData" localSheetId="15" hidden="1">'9.6'!$B$2:$M$2</definedName>
    <definedName name="Z_DF644A2B_B913_48D6_B430_E57F3B482B79_.wvu.FilterData" localSheetId="8" hidden="1">'1.6'!$A$2:$N$2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FilterData" localSheetId="12" hidden="1">'5.6'!$A$2:$N$2</definedName>
    <definedName name="Z_DF644A2B_B913_48D6_B430_E57F3B482B79_.wvu.FilterData" localSheetId="13" hidden="1">'6.6'!$A$2:$M$2</definedName>
    <definedName name="Z_DF644A2B_B913_48D6_B430_E57F3B482B79_.wvu.FilterData" localSheetId="14" hidden="1">'8.6'!$A$2:$N$2</definedName>
    <definedName name="Z_DF644A2B_B913_48D6_B430_E57F3B482B79_.wvu.FilterData" localSheetId="15" hidden="1">'9.6'!$A$2:$N$2</definedName>
    <definedName name="Z_DF644A2B_B913_48D6_B430_E57F3B482B79_.wvu.PrintTitles" localSheetId="8" hidden="1">'1.6'!$1:$2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  <definedName name="Z_DF644A2B_B913_48D6_B430_E57F3B482B79_.wvu.PrintTitles" localSheetId="12" hidden="1">'5.6'!$1:$2</definedName>
    <definedName name="Z_DF644A2B_B913_48D6_B430_E57F3B482B79_.wvu.PrintTitles" localSheetId="13" hidden="1">'6.6'!$1:$2</definedName>
    <definedName name="Z_DF644A2B_B913_48D6_B430_E57F3B482B79_.wvu.PrintTitles" localSheetId="14" hidden="1">'8.6'!$1:$2</definedName>
    <definedName name="Z_DF644A2B_B913_48D6_B430_E57F3B482B79_.wvu.PrintTitles" localSheetId="15" hidden="1">'9.6'!$1:$2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6" l="1"/>
  <c r="C6" i="16"/>
  <c r="N23" i="16" l="1"/>
  <c r="K23" i="16"/>
  <c r="J23" i="16"/>
  <c r="I23" i="16"/>
  <c r="H23" i="16"/>
  <c r="G23" i="16"/>
  <c r="F23" i="16"/>
  <c r="E23" i="16"/>
  <c r="D23" i="16"/>
  <c r="C23" i="16"/>
  <c r="B23" i="16"/>
  <c r="N22" i="16"/>
  <c r="K22" i="16"/>
  <c r="J22" i="16"/>
  <c r="I22" i="16"/>
  <c r="H22" i="16"/>
  <c r="G22" i="16"/>
  <c r="F22" i="16"/>
  <c r="E22" i="16"/>
  <c r="D22" i="16"/>
  <c r="C22" i="16"/>
  <c r="B22" i="16"/>
  <c r="N21" i="16"/>
  <c r="K21" i="16"/>
  <c r="J21" i="16"/>
  <c r="I21" i="16"/>
  <c r="H21" i="16"/>
  <c r="G21" i="16"/>
  <c r="F21" i="16"/>
  <c r="E21" i="16"/>
  <c r="D21" i="16"/>
  <c r="C21" i="16"/>
  <c r="B21" i="16"/>
  <c r="N20" i="16"/>
  <c r="K20" i="16"/>
  <c r="J20" i="16"/>
  <c r="I20" i="16"/>
  <c r="H20" i="16"/>
  <c r="G20" i="16"/>
  <c r="F20" i="16"/>
  <c r="E20" i="16"/>
  <c r="D20" i="16"/>
  <c r="C20" i="16"/>
  <c r="B20" i="16"/>
  <c r="N19" i="16"/>
  <c r="K19" i="16"/>
  <c r="J19" i="16"/>
  <c r="I19" i="16"/>
  <c r="H19" i="16"/>
  <c r="G19" i="16"/>
  <c r="F19" i="16"/>
  <c r="E19" i="16"/>
  <c r="D19" i="16"/>
  <c r="C19" i="16"/>
  <c r="B19" i="16"/>
  <c r="N17" i="16"/>
  <c r="K17" i="16"/>
  <c r="J17" i="16"/>
  <c r="I17" i="16"/>
  <c r="H17" i="16"/>
  <c r="G17" i="16"/>
  <c r="F17" i="16"/>
  <c r="E17" i="16"/>
  <c r="D17" i="16"/>
  <c r="C17" i="16"/>
  <c r="B17" i="16"/>
  <c r="N15" i="16"/>
  <c r="K15" i="16"/>
  <c r="J15" i="16"/>
  <c r="I15" i="16"/>
  <c r="H15" i="16"/>
  <c r="G15" i="16"/>
  <c r="F15" i="16"/>
  <c r="E15" i="16"/>
  <c r="D15" i="16"/>
  <c r="C15" i="16"/>
  <c r="B15" i="16"/>
  <c r="N14" i="16"/>
  <c r="K14" i="16"/>
  <c r="J14" i="16"/>
  <c r="I14" i="16"/>
  <c r="H14" i="16"/>
  <c r="G14" i="16"/>
  <c r="F14" i="16"/>
  <c r="E14" i="16"/>
  <c r="D14" i="16"/>
  <c r="C14" i="16"/>
  <c r="B14" i="16"/>
  <c r="N13" i="16"/>
  <c r="K13" i="16"/>
  <c r="J13" i="16"/>
  <c r="I13" i="16"/>
  <c r="H13" i="16"/>
  <c r="G13" i="16"/>
  <c r="F13" i="16"/>
  <c r="E13" i="16"/>
  <c r="D13" i="16"/>
  <c r="C13" i="16"/>
  <c r="B13" i="16"/>
  <c r="N12" i="16"/>
  <c r="K12" i="16"/>
  <c r="J12" i="16"/>
  <c r="I12" i="16"/>
  <c r="H12" i="16"/>
  <c r="G12" i="16"/>
  <c r="F12" i="16"/>
  <c r="E12" i="16"/>
  <c r="D12" i="16"/>
  <c r="C12" i="16"/>
  <c r="B12" i="16"/>
  <c r="N10" i="16"/>
  <c r="K10" i="16"/>
  <c r="J10" i="16"/>
  <c r="I10" i="16"/>
  <c r="H10" i="16"/>
  <c r="G10" i="16"/>
  <c r="F10" i="16"/>
  <c r="E10" i="16"/>
  <c r="D10" i="16"/>
  <c r="C10" i="16"/>
  <c r="B10" i="16"/>
  <c r="N8" i="16"/>
  <c r="K8" i="16"/>
  <c r="J8" i="16"/>
  <c r="I8" i="16"/>
  <c r="H8" i="16"/>
  <c r="G8" i="16"/>
  <c r="F8" i="16"/>
  <c r="E8" i="16"/>
  <c r="D8" i="16"/>
  <c r="C8" i="16"/>
  <c r="B8" i="16"/>
  <c r="N6" i="16"/>
  <c r="K6" i="16"/>
  <c r="J6" i="16"/>
  <c r="I6" i="16"/>
  <c r="H6" i="16"/>
  <c r="G6" i="16"/>
  <c r="F6" i="16"/>
  <c r="E6" i="16"/>
  <c r="D6" i="16"/>
  <c r="B6" i="16"/>
  <c r="N5" i="16"/>
  <c r="K5" i="16"/>
  <c r="J5" i="16"/>
  <c r="I5" i="16"/>
  <c r="H5" i="16"/>
  <c r="G5" i="16"/>
  <c r="F5" i="16"/>
  <c r="E5" i="16"/>
  <c r="D5" i="16"/>
  <c r="B5" i="16"/>
  <c r="N3" i="16"/>
  <c r="K3" i="16"/>
  <c r="J3" i="16"/>
  <c r="I3" i="16"/>
  <c r="H3" i="16"/>
  <c r="G3" i="16"/>
  <c r="F3" i="16"/>
  <c r="E3" i="16"/>
  <c r="D3" i="16"/>
  <c r="C3" i="16"/>
  <c r="B3" i="16"/>
  <c r="L1" i="16"/>
  <c r="B1" i="16"/>
  <c r="N20" i="15"/>
  <c r="K20" i="15"/>
  <c r="J20" i="15"/>
  <c r="I20" i="15"/>
  <c r="H20" i="15"/>
  <c r="G20" i="15"/>
  <c r="F20" i="15"/>
  <c r="E20" i="15"/>
  <c r="D20" i="15"/>
  <c r="C20" i="15"/>
  <c r="B20" i="15"/>
  <c r="N19" i="15"/>
  <c r="K19" i="15"/>
  <c r="J19" i="15"/>
  <c r="I19" i="15"/>
  <c r="H19" i="15"/>
  <c r="G19" i="15"/>
  <c r="F19" i="15"/>
  <c r="E19" i="15"/>
  <c r="D19" i="15"/>
  <c r="C19" i="15"/>
  <c r="B19" i="15"/>
  <c r="N18" i="15"/>
  <c r="K18" i="15"/>
  <c r="J18" i="15"/>
  <c r="I18" i="15"/>
  <c r="H18" i="15"/>
  <c r="G18" i="15"/>
  <c r="F18" i="15"/>
  <c r="E18" i="15"/>
  <c r="D18" i="15"/>
  <c r="C18" i="15"/>
  <c r="B18" i="15"/>
  <c r="N17" i="15"/>
  <c r="K17" i="15"/>
  <c r="J17" i="15"/>
  <c r="I17" i="15"/>
  <c r="H17" i="15"/>
  <c r="G17" i="15"/>
  <c r="F17" i="15"/>
  <c r="E17" i="15"/>
  <c r="D17" i="15"/>
  <c r="C17" i="15"/>
  <c r="B17" i="15"/>
  <c r="N16" i="15"/>
  <c r="K16" i="15"/>
  <c r="J16" i="15"/>
  <c r="I16" i="15"/>
  <c r="H16" i="15"/>
  <c r="G16" i="15"/>
  <c r="F16" i="15"/>
  <c r="E16" i="15"/>
  <c r="D16" i="15"/>
  <c r="C16" i="15"/>
  <c r="B16" i="15"/>
  <c r="N15" i="15"/>
  <c r="K15" i="15"/>
  <c r="J15" i="15"/>
  <c r="I15" i="15"/>
  <c r="H15" i="15"/>
  <c r="G15" i="15"/>
  <c r="F15" i="15"/>
  <c r="E15" i="15"/>
  <c r="D15" i="15"/>
  <c r="C15" i="15"/>
  <c r="B15" i="15"/>
  <c r="N14" i="15"/>
  <c r="K14" i="15"/>
  <c r="J14" i="15"/>
  <c r="I14" i="15"/>
  <c r="H14" i="15"/>
  <c r="G14" i="15"/>
  <c r="F14" i="15"/>
  <c r="E14" i="15"/>
  <c r="D14" i="15"/>
  <c r="C14" i="15"/>
  <c r="B14" i="15"/>
  <c r="N13" i="15"/>
  <c r="K13" i="15"/>
  <c r="J13" i="15"/>
  <c r="I13" i="15"/>
  <c r="H13" i="15"/>
  <c r="G13" i="15"/>
  <c r="F13" i="15"/>
  <c r="E13" i="15"/>
  <c r="D13" i="15"/>
  <c r="C13" i="15"/>
  <c r="B13" i="15"/>
  <c r="N12" i="15"/>
  <c r="K12" i="15"/>
  <c r="J12" i="15"/>
  <c r="I12" i="15"/>
  <c r="H12" i="15"/>
  <c r="G12" i="15"/>
  <c r="F12" i="15"/>
  <c r="E12" i="15"/>
  <c r="D12" i="15"/>
  <c r="C12" i="15"/>
  <c r="B12" i="15"/>
  <c r="N11" i="15"/>
  <c r="K11" i="15"/>
  <c r="J11" i="15"/>
  <c r="I11" i="15"/>
  <c r="H11" i="15"/>
  <c r="G11" i="15"/>
  <c r="F11" i="15"/>
  <c r="E11" i="15"/>
  <c r="D11" i="15"/>
  <c r="C11" i="15"/>
  <c r="B11" i="15"/>
  <c r="L1" i="15"/>
  <c r="B1" i="15"/>
  <c r="K17" i="14"/>
  <c r="J17" i="14"/>
  <c r="I17" i="14"/>
  <c r="H17" i="14"/>
  <c r="G17" i="14"/>
  <c r="F17" i="14"/>
  <c r="E17" i="14"/>
  <c r="D17" i="14"/>
  <c r="C17" i="14"/>
  <c r="B17" i="14"/>
  <c r="K16" i="14"/>
  <c r="J16" i="14"/>
  <c r="I16" i="14"/>
  <c r="H16" i="14"/>
  <c r="G16" i="14"/>
  <c r="F16" i="14"/>
  <c r="E16" i="14"/>
  <c r="D16" i="14"/>
  <c r="C16" i="14"/>
  <c r="B16" i="14"/>
  <c r="K15" i="14"/>
  <c r="J15" i="14"/>
  <c r="I15" i="14"/>
  <c r="H15" i="14"/>
  <c r="G15" i="14"/>
  <c r="F15" i="14"/>
  <c r="E15" i="14"/>
  <c r="D15" i="14"/>
  <c r="C15" i="14"/>
  <c r="B15" i="14"/>
  <c r="K14" i="14"/>
  <c r="J14" i="14"/>
  <c r="I14" i="14"/>
  <c r="H14" i="14"/>
  <c r="G14" i="14"/>
  <c r="F14" i="14"/>
  <c r="E14" i="14"/>
  <c r="D14" i="14"/>
  <c r="C14" i="14"/>
  <c r="B14" i="14"/>
  <c r="K13" i="14"/>
  <c r="J13" i="14"/>
  <c r="I13" i="14"/>
  <c r="H13" i="14"/>
  <c r="G13" i="14"/>
  <c r="F13" i="14"/>
  <c r="E13" i="14"/>
  <c r="D13" i="14"/>
  <c r="C13" i="14"/>
  <c r="B13" i="14"/>
  <c r="K12" i="14"/>
  <c r="J12" i="14"/>
  <c r="I12" i="14"/>
  <c r="H12" i="14"/>
  <c r="G12" i="14"/>
  <c r="F12" i="14"/>
  <c r="E12" i="14"/>
  <c r="D12" i="14"/>
  <c r="C12" i="14"/>
  <c r="B12" i="14"/>
  <c r="K11" i="14"/>
  <c r="J11" i="14"/>
  <c r="I11" i="14"/>
  <c r="H11" i="14"/>
  <c r="G11" i="14"/>
  <c r="F11" i="14"/>
  <c r="E11" i="14"/>
  <c r="D11" i="14"/>
  <c r="C11" i="14"/>
  <c r="B11" i="14"/>
  <c r="K10" i="14"/>
  <c r="J10" i="14"/>
  <c r="I10" i="14"/>
  <c r="H10" i="14"/>
  <c r="G10" i="14"/>
  <c r="F10" i="14"/>
  <c r="E10" i="14"/>
  <c r="D10" i="14"/>
  <c r="C10" i="14"/>
  <c r="B10" i="14"/>
  <c r="K9" i="14"/>
  <c r="J9" i="14"/>
  <c r="I9" i="14"/>
  <c r="H9" i="14"/>
  <c r="G9" i="14"/>
  <c r="F9" i="14"/>
  <c r="E9" i="14"/>
  <c r="D9" i="14"/>
  <c r="C9" i="14"/>
  <c r="B9" i="14"/>
  <c r="K8" i="14"/>
  <c r="J8" i="14"/>
  <c r="I8" i="14"/>
  <c r="H8" i="14"/>
  <c r="G8" i="14"/>
  <c r="F8" i="14"/>
  <c r="E8" i="14"/>
  <c r="D8" i="14"/>
  <c r="C8" i="14"/>
  <c r="B8" i="14"/>
  <c r="K7" i="14"/>
  <c r="J7" i="14"/>
  <c r="I7" i="14"/>
  <c r="H7" i="14"/>
  <c r="G7" i="14"/>
  <c r="F7" i="14"/>
  <c r="E7" i="14"/>
  <c r="D7" i="14"/>
  <c r="C7" i="14"/>
  <c r="B7" i="14"/>
  <c r="K6" i="14"/>
  <c r="J6" i="14"/>
  <c r="I6" i="14"/>
  <c r="H6" i="14"/>
  <c r="G6" i="14"/>
  <c r="F6" i="14"/>
  <c r="E6" i="14"/>
  <c r="D6" i="14"/>
  <c r="C6" i="14"/>
  <c r="B6" i="14"/>
  <c r="K5" i="14"/>
  <c r="J5" i="14"/>
  <c r="I5" i="14"/>
  <c r="H5" i="14"/>
  <c r="G5" i="14"/>
  <c r="F5" i="14"/>
  <c r="E5" i="14"/>
  <c r="D5" i="14"/>
  <c r="C5" i="14"/>
  <c r="B5" i="14"/>
  <c r="K4" i="14"/>
  <c r="J4" i="14"/>
  <c r="I4" i="14"/>
  <c r="H4" i="14"/>
  <c r="G4" i="14"/>
  <c r="F4" i="14"/>
  <c r="E4" i="14"/>
  <c r="D4" i="14"/>
  <c r="C4" i="14"/>
  <c r="B4" i="14"/>
  <c r="K3" i="14"/>
  <c r="J3" i="14"/>
  <c r="I3" i="14"/>
  <c r="H3" i="14"/>
  <c r="G3" i="14"/>
  <c r="F3" i="14"/>
  <c r="E3" i="14"/>
  <c r="D3" i="14"/>
  <c r="C3" i="14"/>
  <c r="B3" i="14"/>
  <c r="L1" i="14"/>
  <c r="B1" i="14"/>
  <c r="N24" i="13" l="1"/>
  <c r="K24" i="13"/>
  <c r="J24" i="13"/>
  <c r="I24" i="13"/>
  <c r="H24" i="13"/>
  <c r="G24" i="13"/>
  <c r="F24" i="13"/>
  <c r="E24" i="13"/>
  <c r="D24" i="13"/>
  <c r="C24" i="13"/>
  <c r="B24" i="13"/>
  <c r="N23" i="13"/>
  <c r="K23" i="13"/>
  <c r="J23" i="13"/>
  <c r="I23" i="13"/>
  <c r="H23" i="13"/>
  <c r="G23" i="13"/>
  <c r="F23" i="13"/>
  <c r="E23" i="13"/>
  <c r="D23" i="13"/>
  <c r="C23" i="13"/>
  <c r="B23" i="13"/>
  <c r="N22" i="13"/>
  <c r="K22" i="13"/>
  <c r="J22" i="13"/>
  <c r="I22" i="13"/>
  <c r="H22" i="13"/>
  <c r="G22" i="13"/>
  <c r="F22" i="13"/>
  <c r="E22" i="13"/>
  <c r="D22" i="13"/>
  <c r="C22" i="13"/>
  <c r="B22" i="13"/>
  <c r="N21" i="13"/>
  <c r="K21" i="13"/>
  <c r="J21" i="13"/>
  <c r="I21" i="13"/>
  <c r="H21" i="13"/>
  <c r="G21" i="13"/>
  <c r="F21" i="13"/>
  <c r="E21" i="13"/>
  <c r="D21" i="13"/>
  <c r="C21" i="13"/>
  <c r="B21" i="13"/>
  <c r="N20" i="13"/>
  <c r="K20" i="13"/>
  <c r="J20" i="13"/>
  <c r="I20" i="13"/>
  <c r="H20" i="13"/>
  <c r="G20" i="13"/>
  <c r="F20" i="13"/>
  <c r="E20" i="13"/>
  <c r="D20" i="13"/>
  <c r="C20" i="13"/>
  <c r="B20" i="13"/>
  <c r="N19" i="13"/>
  <c r="K19" i="13"/>
  <c r="J19" i="13"/>
  <c r="I19" i="13"/>
  <c r="H19" i="13"/>
  <c r="C19" i="13"/>
  <c r="N17" i="13"/>
  <c r="K17" i="13"/>
  <c r="J17" i="13"/>
  <c r="I17" i="13"/>
  <c r="H17" i="13"/>
  <c r="C17" i="13"/>
  <c r="N15" i="13"/>
  <c r="K15" i="13"/>
  <c r="J15" i="13"/>
  <c r="I15" i="13"/>
  <c r="H15" i="13"/>
  <c r="C15" i="13"/>
  <c r="N13" i="13"/>
  <c r="K13" i="13"/>
  <c r="J13" i="13"/>
  <c r="I13" i="13"/>
  <c r="H13" i="13"/>
  <c r="C13" i="13"/>
  <c r="N11" i="13"/>
  <c r="K11" i="13"/>
  <c r="J11" i="13"/>
  <c r="I11" i="13"/>
  <c r="H11" i="13"/>
  <c r="C11" i="13"/>
  <c r="N9" i="13"/>
  <c r="K9" i="13"/>
  <c r="J9" i="13"/>
  <c r="I9" i="13"/>
  <c r="H9" i="13"/>
  <c r="C9" i="13"/>
  <c r="N8" i="13"/>
  <c r="K8" i="13"/>
  <c r="J8" i="13"/>
  <c r="I8" i="13"/>
  <c r="H8" i="13"/>
  <c r="C8" i="13"/>
  <c r="N7" i="13"/>
  <c r="K7" i="13"/>
  <c r="J7" i="13"/>
  <c r="I7" i="13"/>
  <c r="H7" i="13"/>
  <c r="C7" i="13"/>
  <c r="N5" i="13"/>
  <c r="K5" i="13"/>
  <c r="J5" i="13"/>
  <c r="I5" i="13"/>
  <c r="H5" i="13"/>
  <c r="C5" i="13"/>
  <c r="N3" i="13"/>
  <c r="K3" i="13"/>
  <c r="J3" i="13"/>
  <c r="I3" i="13"/>
  <c r="H3" i="13"/>
  <c r="C3" i="13"/>
  <c r="L1" i="13"/>
  <c r="B1" i="13"/>
  <c r="N5" i="12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<sst xmlns="http://schemas.openxmlformats.org/spreadsheetml/2006/main" count="1188" uniqueCount="546">
  <si>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</si>
  <si>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</si>
  <si>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</si>
  <si>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</si>
  <si>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</si>
  <si>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</si>
  <si>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</si>
  <si>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</si>
  <si>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</si>
  <si>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</si>
  <si>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</si>
  <si>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</si>
  <si>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</si>
  <si>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</si>
  <si>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</si>
  <si>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</si>
  <si>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</si>
  <si>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</si>
  <si>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</si>
  <si>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</si>
  <si>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</si>
  <si>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</si>
  <si>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</si>
  <si>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</si>
  <si>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</si>
  <si>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</si>
  <si>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</si>
  <si>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</si>
  <si>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</si>
  <si>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</si>
  <si>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</si>
  <si>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</si>
  <si>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</si>
  <si>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</si>
  <si>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</si>
  <si>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</si>
  <si>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</si>
  <si>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</si>
  <si>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</si>
  <si>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</si>
  <si>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</si>
  <si>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</si>
  <si>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</si>
  <si>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</si>
  <si>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</si>
  <si>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</si>
  <si>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</si>
  <si>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</si>
  <si>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</si>
  <si>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</si>
  <si>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</si>
  <si>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</si>
  <si>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</si>
  <si>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</si>
  <si>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</si>
  <si>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</si>
  <si>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</si>
  <si>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</si>
  <si>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</si>
  <si>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</si>
  <si>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</si>
  <si>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</si>
  <si>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</si>
  <si>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</si>
  <si>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</si>
  <si>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</si>
  <si>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</si>
  <si>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</si>
  <si>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</si>
  <si>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</si>
  <si>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</si>
  <si>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</si>
  <si>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</si>
  <si>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</si>
  <si>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</si>
  <si>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</si>
  <si>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</si>
  <si>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</si>
  <si>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</si>
  <si>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</si>
  <si>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</si>
  <si>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</si>
  <si>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</si>
  <si>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</si>
  <si>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</si>
  <si>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</si>
  <si>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</si>
  <si>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</si>
  <si>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</si>
  <si>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</si>
  <si>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</si>
  <si>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</si>
  <si>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</si>
  <si>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</si>
  <si>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</si>
  <si>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</si>
  <si>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</si>
  <si>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</si>
  <si>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</si>
  <si>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</si>
  <si>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</si>
  <si>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</si>
  <si>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</si>
  <si>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</si>
  <si>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</si>
  <si>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</si>
  <si>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</si>
  <si>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</si>
  <si>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</si>
  <si>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</si>
  <si>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</si>
  <si>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</si>
  <si>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</si>
  <si>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</si>
  <si>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</si>
  <si>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</si>
  <si>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</si>
  <si>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</si>
  <si>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</si>
  <si>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</si>
  <si>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</si>
  <si>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</si>
  <si>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</si>
  <si>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</si>
  <si>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</si>
  <si>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</si>
  <si>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</si>
  <si>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</si>
  <si>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</si>
  <si>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</si>
  <si>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</si>
  <si>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</si>
  <si>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</si>
  <si>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</si>
  <si>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</si>
  <si>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</si>
  <si>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</si>
  <si>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</si>
  <si>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</si>
  <si>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</si>
  <si>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</si>
  <si>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</si>
  <si>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</si>
  <si>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</si>
  <si>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</si>
  <si>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</si>
  <si>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</si>
  <si>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</si>
  <si>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</si>
  <si>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</si>
  <si>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</si>
  <si>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</si>
  <si>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</si>
  <si>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</si>
  <si>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</si>
  <si>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</si>
  <si>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</si>
  <si>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</si>
  <si>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</si>
  <si>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</si>
  <si>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</si>
  <si>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</si>
  <si>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</si>
  <si>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</si>
  <si>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</si>
  <si>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</si>
  <si>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</si>
  <si>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</si>
  <si>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</si>
  <si>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</si>
  <si>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</si>
  <si>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</si>
  <si>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</si>
  <si>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</si>
  <si>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</si>
  <si>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</si>
  <si>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</si>
  <si>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</si>
  <si>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</si>
  <si>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</si>
  <si>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</si>
  <si>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</si>
  <si>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</si>
  <si>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</si>
  <si>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</si>
  <si>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</si>
  <si>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</si>
  <si>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</si>
  <si>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</si>
  <si>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</si>
  <si>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</si>
  <si>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</si>
  <si>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</si>
  <si>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</si>
  <si>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</si>
  <si>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</si>
  <si>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</si>
  <si>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</si>
  <si>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</si>
  <si>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</si>
  <si>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</si>
  <si>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</si>
  <si>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</si>
  <si>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</si>
  <si>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</si>
  <si>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</si>
  <si>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</si>
  <si>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</si>
  <si>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</si>
  <si>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</si>
  <si>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</si>
  <si>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</si>
  <si>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</si>
  <si>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</si>
  <si>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</si>
  <si>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</si>
  <si>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</si>
  <si>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</si>
  <si>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</si>
  <si>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</si>
  <si>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</si>
  <si>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</si>
  <si>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</si>
  <si>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</si>
  <si>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</si>
  <si>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</si>
  <si>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</si>
  <si>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</si>
  <si>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</si>
  <si>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</si>
  <si>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</si>
  <si>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</si>
  <si>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</si>
  <si>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</si>
  <si>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</si>
  <si>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</si>
  <si>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</si>
  <si>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</si>
  <si>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</si>
  <si>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</si>
  <si>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</si>
  <si>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</si>
  <si>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</si>
  <si>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</si>
  <si>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</si>
  <si>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</si>
  <si>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</si>
  <si>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</si>
  <si>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</si>
  <si>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</si>
  <si>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</si>
  <si>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</si>
  <si>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</si>
  <si>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</si>
  <si>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</si>
  <si>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</si>
  <si>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</si>
  <si>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</si>
  <si>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</si>
  <si>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</si>
  <si>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</si>
  <si>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</si>
  <si>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</si>
  <si>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</si>
  <si>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</si>
  <si>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</si>
  <si>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</si>
  <si>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</si>
  <si>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</si>
  <si>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</si>
  <si>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</si>
  <si>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</si>
  <si>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</si>
  <si>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</si>
  <si>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</si>
  <si>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</si>
  <si>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</si>
  <si>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</si>
  <si>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</si>
  <si>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</si>
  <si>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</si>
  <si>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</si>
  <si>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</si>
  <si>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</si>
  <si>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</si>
  <si>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</si>
  <si>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</si>
  <si>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</si>
  <si>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</si>
  <si>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</si>
  <si>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</si>
  <si>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</si>
  <si>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</si>
  <si>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</si>
  <si>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</si>
  <si>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</si>
  <si>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</si>
  <si>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</si>
  <si>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</si>
  <si>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</si>
  <si>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</si>
  <si>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</si>
  <si>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</si>
  <si>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</si>
  <si>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</si>
  <si>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</si>
  <si>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</si>
  <si>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</si>
  <si>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</si>
  <si>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</si>
  <si>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</si>
  <si>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</si>
  <si>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</si>
  <si>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</si>
  <si>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</si>
  <si>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</si>
  <si>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</si>
  <si>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</si>
  <si>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</si>
  <si>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</si>
  <si>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</si>
  <si>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</si>
  <si>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</si>
  <si>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</si>
  <si>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</si>
  <si>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</si>
  <si>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</si>
  <si>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</si>
  <si>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</si>
  <si>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</si>
  <si>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</si>
  <si>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</si>
  <si>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</si>
  <si>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</si>
  <si>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</si>
  <si>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</si>
  <si>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</si>
  <si>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</si>
  <si>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</si>
  <si>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</si>
  <si>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</si>
  <si>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</si>
  <si>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</si>
  <si>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</si>
  <si>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</si>
  <si>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</si>
  <si>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</si>
  <si>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</si>
  <si>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</si>
  <si>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</si>
  <si>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</si>
  <si>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</si>
  <si>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</si>
  <si>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</si>
  <si>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</si>
  <si>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</si>
  <si>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</si>
  <si>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</si>
  <si>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</si>
  <si>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</si>
  <si>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</si>
  <si>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</si>
  <si>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</si>
  <si>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</si>
  <si>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</si>
  <si>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</si>
  <si>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</si>
  <si>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</si>
  <si>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</si>
  <si>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</si>
  <si>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</si>
  <si>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</si>
  <si>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</si>
  <si>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</si>
  <si>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</si>
  <si>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</si>
  <si>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</si>
  <si>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</si>
  <si>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</si>
  <si>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</si>
  <si>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</si>
  <si>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</si>
  <si>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</si>
  <si>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</si>
  <si>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</si>
  <si>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</si>
  <si>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</si>
  <si>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</si>
  <si>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</si>
  <si>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</si>
  <si>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</si>
  <si>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</si>
  <si>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</si>
  <si>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</si>
  <si>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</si>
  <si>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</si>
  <si>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</si>
  <si>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</si>
  <si>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</si>
  <si>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</si>
  <si>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</si>
  <si>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</si>
  <si>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</si>
  <si>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</si>
  <si>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</si>
  <si>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</si>
  <si>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</si>
  <si>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</si>
  <si>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</si>
  <si>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</si>
  <si>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</si>
  <si>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</si>
  <si>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</si>
  <si>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</si>
  <si>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</si>
  <si>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</si>
  <si>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</si>
  <si>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</si>
  <si>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</si>
  <si>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</si>
  <si>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</si>
  <si>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</si>
  <si>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</si>
  <si>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</si>
  <si>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</si>
  <si>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</si>
  <si>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</si>
  <si>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</si>
  <si>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</si>
  <si>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</si>
  <si>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</si>
  <si>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</si>
  <si>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</si>
  <si>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</si>
  <si>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</si>
  <si>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</si>
  <si>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</si>
  <si>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</si>
  <si>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</si>
  <si>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</si>
  <si>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</si>
  <si>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</si>
  <si>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</si>
  <si>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</si>
  <si>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</si>
  <si>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</si>
  <si>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</si>
  <si>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</si>
  <si>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</si>
  <si>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</si>
  <si>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</si>
  <si>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</si>
  <si>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</si>
  <si>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</si>
  <si>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</si>
  <si>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</si>
  <si>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</si>
  <si>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</si>
  <si>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</si>
  <si>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</si>
  <si>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</si>
  <si>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</si>
  <si>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</si>
  <si>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</si>
  <si>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</si>
  <si>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</si>
  <si>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</si>
  <si>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</si>
  <si>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</si>
  <si>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</si>
  <si>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</si>
  <si>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</si>
  <si>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</si>
  <si>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</si>
  <si>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</si>
  <si>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</si>
  <si>
    <t>S-2026-06-16</t>
  </si>
  <si>
    <t>RPRO-260605-0678</t>
  </si>
  <si>
    <t>PVN-004438</t>
  </si>
  <si>
    <t>Ortholite X-25 GREEN/16-5932TPX Flat Sheet 0.12D 20+/-4 Asker C 1.1M 2M 6.2mm</t>
  </si>
  <si>
    <t>S-2026-06-17</t>
  </si>
  <si>
    <t>RPRO-260605-0679</t>
  </si>
  <si>
    <t>PVN-004350</t>
  </si>
  <si>
    <t>OrthoLite Regular SEEDPEARL/12-0703TPX Flat Sheet 0.13D 35+/-4 Asker C 1.1M 1.47M 13mm</t>
  </si>
  <si>
    <t>S-2026-06-18</t>
  </si>
  <si>
    <t>RPRO-260605-0680</t>
  </si>
  <si>
    <t>PVN-002539</t>
  </si>
  <si>
    <t>OrthoLite Ultra-Hybrid SEEDPEARL/12-0703TPX Hybrid Flat Sheet 0.085D 25+/-4 Asker C 1.1M 2M 5mm</t>
  </si>
  <si>
    <t>S-2026-06-19</t>
  </si>
  <si>
    <t>RPRO-260605-0681</t>
  </si>
  <si>
    <t>S-2026-06-24</t>
  </si>
  <si>
    <t>RPRO-260605-0686</t>
  </si>
  <si>
    <t>S-2026-06-20</t>
  </si>
  <si>
    <t>RPRO-260605-0682</t>
  </si>
  <si>
    <t>PVN-001452</t>
  </si>
  <si>
    <t>OrthoLite Ultra SEEDPEARL/12-0703TPX Flat Sheet 0.085D 25+/-4 Asker C 1.1M 2M 4.5mm</t>
  </si>
  <si>
    <t>S-2026-06-21</t>
  </si>
  <si>
    <t>RPRO-260605-0683</t>
  </si>
  <si>
    <t>PVN-004076</t>
  </si>
  <si>
    <t>OrthoLite Regular NEUTRAL GRAY/17-4402TPX Flat Sheet 0.13D 15+/-4 Asker C 1.1M 2M 24mm</t>
  </si>
  <si>
    <t>S-2026-06-22</t>
  </si>
  <si>
    <t>RPRO-260605-0684</t>
  </si>
  <si>
    <t>PVN-003327</t>
  </si>
  <si>
    <t>OrthoLite X-40 TRUE BLUE/19-4057TPX 0.16D 35+/-4 Asker C 1.1M 1.7M 4mm</t>
  </si>
  <si>
    <t>S-2026-06-23</t>
  </si>
  <si>
    <t>RPRO-260605-0685</t>
  </si>
  <si>
    <t>PVN-004212</t>
  </si>
  <si>
    <t>OrthoLite X-40-Hybrid TRUE BLUE/19-4057TPX Hybrid Flat Sheet 0.16D 25+/-4 Asker C 1.1M 2M 3mm</t>
  </si>
  <si>
    <t>S-2026-05-84</t>
  </si>
  <si>
    <t>RPRO-260605-0687</t>
  </si>
  <si>
    <t>PVN-004430</t>
  </si>
  <si>
    <t>OrthoLite HybridPlus-Recycled COLORO 063-98-46 (fluorescent) Hybrid 0.12D 25+/-4 Asker C 1.1M 2M 6mm</t>
  </si>
  <si>
    <t>S-2026-06-25</t>
  </si>
  <si>
    <t>???</t>
  </si>
  <si>
    <t>????</t>
  </si>
  <si>
    <t>S-2026-06-26</t>
  </si>
  <si>
    <t>RPRO-260608-1016</t>
  </si>
  <si>
    <t>S-2026-06-27</t>
  </si>
  <si>
    <t>RPRO-260608-1017</t>
  </si>
  <si>
    <t>PVN-002413</t>
  </si>
  <si>
    <t>OrthoLite Regular-Nike AIR BLUE/16-4134TPX Flat Sheet 0.11D 25+/-4 Asker C 1.1M 2M 4.2mm</t>
  </si>
  <si>
    <t>S-2026-06-28</t>
  </si>
  <si>
    <t>RPRO-260608-1018</t>
  </si>
  <si>
    <t>S-2026-06-29</t>
  </si>
  <si>
    <t>RPRO-260608-1019</t>
  </si>
  <si>
    <t>BDB-000305</t>
  </si>
  <si>
    <t>PVN-004000</t>
  </si>
  <si>
    <t>OrthoLite X-35-Nike YELLOW/13-0858TPX Flat Sheet 0.145D 25+/-4 Asker C 1.1M 2M 5.5mm</t>
  </si>
  <si>
    <t>S-2026-06-30</t>
  </si>
  <si>
    <t>RPRO-260608-1020</t>
  </si>
  <si>
    <t>BDB-000349</t>
  </si>
  <si>
    <t>PVN-004352</t>
  </si>
  <si>
    <t>OrthoLite Ultra GREEN/16-5932TPX Flat Sheet 0.085D 15+/-4 Asker C 1.1M 2M 11mm</t>
  </si>
  <si>
    <t>BLACKYAK</t>
  </si>
  <si>
    <t>S-2026-06-36</t>
  </si>
  <si>
    <t>S-2026-06-31</t>
  </si>
  <si>
    <t>S-2026-06-32</t>
  </si>
  <si>
    <t>S-2026-06-38</t>
  </si>
  <si>
    <t>S-2026-06-33</t>
  </si>
  <si>
    <t>S-2026-06-34</t>
  </si>
  <si>
    <t>S-2026-06-35</t>
  </si>
  <si>
    <t>S-2026-06-37</t>
  </si>
  <si>
    <t>S-2026-06-40</t>
  </si>
  <si>
    <t>S-2026-06-39</t>
  </si>
  <si>
    <t>S-2026-06-41</t>
  </si>
  <si>
    <t>KIỂM TRA XEM CÒN TỒN 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</si>
</sst>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  <font>
      <b/>
      <sz val="26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4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164" fontId="32" fillId="2" borderId="5" xfId="1" applyNumberFormat="1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5.6"/>
      <sheetName val="3.6"/>
      <sheetName val="4.6"/>
      <sheetName val="6.6"/>
      <sheetName val="8.6"/>
      <sheetName val="9.6"/>
      <sheetName val="form 2 (23)"/>
      <sheetName val="In đơn"/>
      <sheetName val="Production BOM"/>
      <sheetName val="Items"/>
      <sheetName val="mm Pu"/>
      <sheetName val="master plan (2)"/>
      <sheetName val="form 2 (22)"/>
      <sheetName val="form 2 (21)"/>
      <sheetName val="form 2 (20)"/>
      <sheetName val="form 2 (18)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9.6 (L)"/>
      <sheetName val="10.6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4)"/>
      <sheetName val="form 2 (3)"/>
      <sheetName val="form 2"/>
      <sheetName val="25.4 (2)"/>
      <sheetName val="form 2 (9)"/>
    </sheetNames>
    <sheetDataSet>
      <sheetData sheetId="0"/>
      <sheetData sheetId="1"/>
      <sheetData sheetId="2"/>
      <sheetData sheetId="3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25869</v>
          </cell>
          <cell r="I2">
            <v>25869</v>
          </cell>
          <cell r="J2">
            <v>24163</v>
          </cell>
          <cell r="K2">
            <v>1706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1308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 xml:space="preserve">sx xin dời ETD 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100</v>
          </cell>
          <cell r="K458">
            <v>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46179</v>
          </cell>
          <cell r="R458">
            <v>46176</v>
          </cell>
          <cell r="S458">
            <v>6</v>
          </cell>
          <cell r="T458">
            <v>12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 t="str">
            <v>RPRO-260605-0687</v>
          </cell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0</v>
          </cell>
          <cell r="K460">
            <v>40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46185</v>
          </cell>
          <cell r="R460">
            <v>46182</v>
          </cell>
          <cell r="S460">
            <v>6</v>
          </cell>
          <cell r="T460">
            <v>18</v>
          </cell>
          <cell r="U460">
            <v>6</v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B461"/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/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/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/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/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/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/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B468"/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B469"/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50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/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30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 t="str">
            <v>Xịn dời ETD</v>
          </cell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100</v>
          </cell>
          <cell r="K471">
            <v>-70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46181</v>
          </cell>
          <cell r="R471">
            <v>46178</v>
          </cell>
          <cell r="S471">
            <v>6</v>
          </cell>
          <cell r="T471">
            <v>10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/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/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>Xịn dời ETD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0</v>
          </cell>
          <cell r="K474">
            <v>20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46182</v>
          </cell>
          <cell r="R474">
            <v>46179</v>
          </cell>
          <cell r="S474">
            <v>6</v>
          </cell>
          <cell r="T474">
            <v>11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 t="str">
            <v>Xịn dời ETD</v>
          </cell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30</v>
          </cell>
          <cell r="K475">
            <v>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/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B477"/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100</v>
          </cell>
          <cell r="K477">
            <v>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B478"/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30</v>
          </cell>
          <cell r="K478">
            <v>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B479"/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50</v>
          </cell>
          <cell r="K479">
            <v>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B480"/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30</v>
          </cell>
          <cell r="K480">
            <v>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B481"/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50</v>
          </cell>
          <cell r="K481">
            <v>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B482"/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10</v>
          </cell>
          <cell r="K482">
            <v>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>
            <v>15</v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B483"/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30</v>
          </cell>
          <cell r="K483">
            <v>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B484"/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0</v>
          </cell>
          <cell r="K484">
            <v>30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B485"/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0</v>
          </cell>
          <cell r="K485">
            <v>20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B486"/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0</v>
          </cell>
          <cell r="K486">
            <v>30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B487"/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0</v>
          </cell>
          <cell r="K487">
            <v>30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B488"/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0</v>
          </cell>
          <cell r="K488">
            <v>60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B489"/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0</v>
          </cell>
          <cell r="K489">
            <v>50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0</v>
          </cell>
          <cell r="K490">
            <v>20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>
            <v>5</v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B491"/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0</v>
          </cell>
          <cell r="K491">
            <v>50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B492"/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0</v>
          </cell>
          <cell r="K492">
            <v>25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B493"/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0</v>
          </cell>
          <cell r="K493">
            <v>25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 xml:space="preserve">Gấp 6.6 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50</v>
          </cell>
          <cell r="K494">
            <v>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B495"/>
          <cell r="C495" t="str">
            <v>RPRO-260604-0522</v>
          </cell>
          <cell r="D495" t="str">
            <v>PUR2606030002S</v>
          </cell>
          <cell r="E495" t="str">
            <v>BDB-000307</v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0</v>
          </cell>
          <cell r="K495">
            <v>20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>
            <v>8</v>
          </cell>
          <cell r="V495">
            <v>5.5559999999999998E-2</v>
          </cell>
          <cell r="W495">
            <v>2</v>
          </cell>
        </row>
        <row r="496">
          <cell r="A496" t="str">
            <v>L-2026-06-01</v>
          </cell>
          <cell r="B496"/>
          <cell r="C496" t="str">
            <v>RPRO-260604-0523</v>
          </cell>
          <cell r="D496" t="str">
            <v xml:space="preserve">&lt;nguyet.bui@ortholite.vn&gt; </v>
          </cell>
          <cell r="E496" t="str">
            <v>BDB-000131</v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0</v>
          </cell>
          <cell r="K496">
            <v>5</v>
          </cell>
          <cell r="L496" t="str">
            <v>NIKE-POU CHEN VÀ CONVERSE</v>
          </cell>
          <cell r="M496"/>
          <cell r="N496"/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>
            <v>3.5</v>
          </cell>
          <cell r="V496">
            <v>2.5000000000000001E-2</v>
          </cell>
          <cell r="W496">
            <v>1</v>
          </cell>
        </row>
        <row r="497">
          <cell r="A497" t="str">
            <v>L-2026-06-02</v>
          </cell>
          <cell r="B497"/>
          <cell r="C497" t="str">
            <v>RPRO-260604-0524</v>
          </cell>
          <cell r="D497" t="str">
            <v xml:space="preserve">&lt;nguyet.bui@ortholite.vn&gt; </v>
          </cell>
          <cell r="E497" t="str">
            <v>BDB-000131</v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0</v>
          </cell>
          <cell r="K497">
            <v>4</v>
          </cell>
          <cell r="L497" t="str">
            <v>NIKE-POU CHEN VÀ CONVERSE</v>
          </cell>
          <cell r="M497"/>
          <cell r="N497"/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>
            <v>10</v>
          </cell>
          <cell r="V497">
            <v>7.6920000000000002E-2</v>
          </cell>
          <cell r="W497">
            <v>1</v>
          </cell>
        </row>
        <row r="498">
          <cell r="A498" t="str">
            <v>L-2026-06-03</v>
          </cell>
          <cell r="B498"/>
          <cell r="C498" t="str">
            <v>RPRO-260604-0525</v>
          </cell>
          <cell r="D498" t="str">
            <v xml:space="preserve">&lt;nguyet.bui@ortholite.vn&gt; </v>
          </cell>
          <cell r="E498" t="str">
            <v>BDB-000221</v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0</v>
          </cell>
          <cell r="K498">
            <v>5</v>
          </cell>
          <cell r="L498" t="str">
            <v>NIKE-POU CHEN VÀ CONVERSE</v>
          </cell>
          <cell r="M498"/>
          <cell r="N498"/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>
            <v>3</v>
          </cell>
          <cell r="V498">
            <v>2.1739999999999999E-2</v>
          </cell>
          <cell r="W498">
            <v>1</v>
          </cell>
        </row>
        <row r="499">
          <cell r="A499" t="str">
            <v>L-2026-06-04</v>
          </cell>
          <cell r="B499"/>
          <cell r="C499" t="str">
            <v>RPRO-260604-0526</v>
          </cell>
          <cell r="D499" t="str">
            <v xml:space="preserve">&lt;nguyet.bui@ortholite.vn&gt; </v>
          </cell>
          <cell r="E499" t="str">
            <v>BDB-000221</v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4</v>
          </cell>
          <cell r="L499" t="str">
            <v>NIKE-POU CHEN VÀ CONVERSE</v>
          </cell>
          <cell r="M499"/>
          <cell r="N499"/>
          <cell r="O499" t="str">
            <v>Lab test</v>
          </cell>
          <cell r="P499">
            <v>46177</v>
          </cell>
          <cell r="Q499">
            <v>46184</v>
          </cell>
          <cell r="R499">
            <v>46181</v>
          </cell>
          <cell r="S499">
            <v>6</v>
          </cell>
          <cell r="T499">
            <v>7</v>
          </cell>
          <cell r="U499">
            <v>10</v>
          </cell>
          <cell r="V499">
            <v>7.6920000000000002E-2</v>
          </cell>
          <cell r="W499">
            <v>1</v>
          </cell>
        </row>
        <row r="500">
          <cell r="A500" t="str">
            <v>L-2026-06-05</v>
          </cell>
          <cell r="B500"/>
          <cell r="C500" t="str">
            <v>RPRO-260604-0527</v>
          </cell>
          <cell r="D500" t="str">
            <v xml:space="preserve">&lt;nguyet.bui@ortholite.vn&gt; </v>
          </cell>
          <cell r="E500" t="str">
            <v>BDB-000097</v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0</v>
          </cell>
          <cell r="K500">
            <v>5</v>
          </cell>
          <cell r="L500" t="str">
            <v>NIKE-POU CHEN VÀ CONVERSE</v>
          </cell>
          <cell r="M500"/>
          <cell r="N500"/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>
            <v>10</v>
          </cell>
          <cell r="V500">
            <v>7.6920000000000002E-2</v>
          </cell>
          <cell r="W500">
            <v>1</v>
          </cell>
        </row>
        <row r="501">
          <cell r="A501" t="str">
            <v>L-2026-06-06</v>
          </cell>
          <cell r="B501"/>
          <cell r="C501" t="str">
            <v>RPRO-260604-0528</v>
          </cell>
          <cell r="D501" t="str">
            <v xml:space="preserve">&lt;nguyet.bui@ortholite.vn&gt; </v>
          </cell>
          <cell r="E501" t="str">
            <v>BDB-000097</v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0</v>
          </cell>
          <cell r="K501">
            <v>4</v>
          </cell>
          <cell r="L501" t="str">
            <v>NIKE-POU CHEN VÀ CONVERSE</v>
          </cell>
          <cell r="M501"/>
          <cell r="N501"/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>
            <v>4</v>
          </cell>
          <cell r="V501">
            <v>2.8570000000000002E-2</v>
          </cell>
          <cell r="W501">
            <v>1</v>
          </cell>
        </row>
        <row r="502">
          <cell r="A502" t="str">
            <v>L-2026-06-07</v>
          </cell>
          <cell r="B502"/>
          <cell r="C502" t="str">
            <v>RPRO-260604-0529</v>
          </cell>
          <cell r="D502" t="str">
            <v xml:space="preserve">&lt;anne.tran@ortholite.vn&gt; </v>
          </cell>
          <cell r="E502" t="str">
            <v>BDB-000113</v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0</v>
          </cell>
          <cell r="K502">
            <v>2</v>
          </cell>
          <cell r="L502" t="str">
            <v>SHYANG HUNG TAH</v>
          </cell>
          <cell r="M502"/>
          <cell r="N502"/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>
            <v>4.5</v>
          </cell>
          <cell r="V502">
            <v>3.2259999999999997E-2</v>
          </cell>
          <cell r="W502">
            <v>1</v>
          </cell>
        </row>
        <row r="503">
          <cell r="A503" t="str">
            <v>S-2026-06-16</v>
          </cell>
          <cell r="B503"/>
          <cell r="C503" t="str">
            <v>RPRO-260605-0678</v>
          </cell>
          <cell r="D503" t="str">
            <v>PUR2606040001S</v>
          </cell>
          <cell r="E503" t="str">
            <v>BDB-000393</v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0</v>
          </cell>
          <cell r="K503">
            <v>70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>
            <v>6.2</v>
          </cell>
          <cell r="V503">
            <v>4.3479999999999998E-2</v>
          </cell>
          <cell r="W503">
            <v>4</v>
          </cell>
        </row>
        <row r="504">
          <cell r="A504" t="str">
            <v>S-2026-06-17</v>
          </cell>
          <cell r="B504"/>
          <cell r="C504" t="str">
            <v>RPRO-260605-0679</v>
          </cell>
          <cell r="D504" t="str">
            <v>PUR2606050002S</v>
          </cell>
          <cell r="E504" t="str">
            <v>BDB-000353</v>
          </cell>
          <cell r="F504" t="str">
            <v>PVN-004350</v>
          </cell>
          <cell r="G504" t="str">
            <v>OrthoLite Regular SEEDPEARL/12-0703TPX Flat Sheet 0.13D 35+/-4 Asker C 1.1M 1.47M 13mm</v>
          </cell>
          <cell r="H504">
            <v>10</v>
          </cell>
          <cell r="I504">
            <v>10</v>
          </cell>
          <cell r="J504">
            <v>0</v>
          </cell>
          <cell r="K504">
            <v>10</v>
          </cell>
          <cell r="L504" t="str">
            <v>CAMPER</v>
          </cell>
          <cell r="M504" t="str">
            <v>SSO-2606-00239  - URGENT (6-13)</v>
          </cell>
          <cell r="N504" t="str">
            <v>Flat sheet</v>
          </cell>
          <cell r="O504" t="str">
            <v>Sample</v>
          </cell>
          <cell r="P504">
            <v>46178</v>
          </cell>
          <cell r="Q504">
            <v>46185</v>
          </cell>
          <cell r="R504">
            <v>46182</v>
          </cell>
          <cell r="S504">
            <v>6</v>
          </cell>
          <cell r="T504">
            <v>7</v>
          </cell>
          <cell r="U504">
            <v>13</v>
          </cell>
          <cell r="V504">
            <v>0.1</v>
          </cell>
          <cell r="W504">
            <v>1</v>
          </cell>
        </row>
        <row r="505">
          <cell r="A505" t="str">
            <v>S-2026-06-18</v>
          </cell>
          <cell r="B505"/>
          <cell r="C505" t="str">
            <v>RPRO-260605-0680</v>
          </cell>
          <cell r="D505" t="str">
            <v>PUR2606050002S</v>
          </cell>
          <cell r="E505" t="str">
            <v>BDB-000123</v>
          </cell>
          <cell r="F505" t="str">
            <v>PVN-002539</v>
          </cell>
          <cell r="G505" t="str">
            <v>OrthoLite Ultra-Hybrid SEEDPEARL/12-0703TPX Hybrid Flat Sheet 0.085D 25+/-4 Asker C 1.1M 2M 5mm</v>
          </cell>
          <cell r="H505">
            <v>50</v>
          </cell>
          <cell r="I505">
            <v>50</v>
          </cell>
          <cell r="J505">
            <v>0</v>
          </cell>
          <cell r="K505">
            <v>50</v>
          </cell>
          <cell r="L505" t="str">
            <v>ADIDAS</v>
          </cell>
          <cell r="M505" t="str">
            <v>Sample - URGENT (6-13)</v>
          </cell>
          <cell r="N505" t="str">
            <v>Flat sheet + Die Cut</v>
          </cell>
          <cell r="O505" t="str">
            <v>Sample</v>
          </cell>
          <cell r="P505">
            <v>46178</v>
          </cell>
          <cell r="Q505">
            <v>46185</v>
          </cell>
          <cell r="R505">
            <v>46182</v>
          </cell>
          <cell r="S505">
            <v>6</v>
          </cell>
          <cell r="T505">
            <v>7</v>
          </cell>
          <cell r="U505">
            <v>5</v>
          </cell>
          <cell r="V505">
            <v>3.5709999999999999E-2</v>
          </cell>
          <cell r="W505">
            <v>2</v>
          </cell>
        </row>
        <row r="506">
          <cell r="A506" t="str">
            <v>S-2026-06-19</v>
          </cell>
          <cell r="B506"/>
          <cell r="C506" t="str">
            <v>RPRO-260605-0681</v>
          </cell>
          <cell r="D506" t="str">
            <v>PUR2606050002S</v>
          </cell>
          <cell r="E506" t="str">
            <v>BDB-000123</v>
          </cell>
          <cell r="F506" t="str">
            <v>PVN-003300</v>
          </cell>
          <cell r="G506" t="str">
            <v>OrthoLite Ultra-Hybrid SEEDPEARL/12-0703TPX Hybrid Flat Sheet 0.085D 25+/-4 Asker C 1.1M 2M 2mm</v>
          </cell>
          <cell r="H506">
            <v>50</v>
          </cell>
          <cell r="I506">
            <v>50</v>
          </cell>
          <cell r="J506">
            <v>0</v>
          </cell>
          <cell r="K506">
            <v>50</v>
          </cell>
          <cell r="L506" t="str">
            <v>ADIDAS</v>
          </cell>
          <cell r="M506" t="str">
            <v>SSO-2606-00242 - URGENT (6-13)</v>
          </cell>
          <cell r="N506" t="str">
            <v>Flat sheet</v>
          </cell>
          <cell r="O506" t="str">
            <v>Sample</v>
          </cell>
          <cell r="P506">
            <v>46178</v>
          </cell>
          <cell r="Q506">
            <v>46185</v>
          </cell>
          <cell r="R506">
            <v>46182</v>
          </cell>
          <cell r="S506">
            <v>6</v>
          </cell>
          <cell r="T506">
            <v>7</v>
          </cell>
          <cell r="U506">
            <v>2</v>
          </cell>
          <cell r="V506">
            <v>1.4290000000000001E-2</v>
          </cell>
          <cell r="W506">
            <v>1</v>
          </cell>
        </row>
        <row r="507">
          <cell r="A507" t="str">
            <v>S-2026-06-20</v>
          </cell>
          <cell r="B507"/>
          <cell r="C507" t="str">
            <v>RPRO-260605-0682</v>
          </cell>
          <cell r="D507" t="str">
            <v>PUR-202606050001S</v>
          </cell>
          <cell r="E507" t="str">
            <v>BDB-000067</v>
          </cell>
          <cell r="F507" t="str">
            <v>PVN-001452</v>
          </cell>
          <cell r="G507" t="str">
            <v>OrthoLite Ultra SEEDPEARL/12-0703TPX Flat Sheet 0.085D 25+/-4 Asker C 1.1M 2M 4.5mm</v>
          </cell>
          <cell r="H507">
            <v>10</v>
          </cell>
          <cell r="I507">
            <v>10</v>
          </cell>
          <cell r="J507">
            <v>0</v>
          </cell>
          <cell r="K507">
            <v>10</v>
          </cell>
          <cell r="L507" t="str">
            <v>PUMA</v>
          </cell>
          <cell r="M507" t="str">
            <v>Sample</v>
          </cell>
          <cell r="N507" t="str">
            <v>MOLDED</v>
          </cell>
          <cell r="O507" t="str">
            <v>Sample</v>
          </cell>
          <cell r="P507">
            <v>46178</v>
          </cell>
          <cell r="Q507">
            <v>46185</v>
          </cell>
          <cell r="R507">
            <v>46182</v>
          </cell>
          <cell r="S507">
            <v>6</v>
          </cell>
          <cell r="T507">
            <v>7</v>
          </cell>
          <cell r="U507">
            <v>4.5</v>
          </cell>
          <cell r="V507">
            <v>3.2259999999999997E-2</v>
          </cell>
          <cell r="W507">
            <v>1</v>
          </cell>
        </row>
        <row r="508">
          <cell r="A508" t="str">
            <v>S-2026-06-21</v>
          </cell>
          <cell r="B508"/>
          <cell r="C508" t="str">
            <v>RPRO-260605-0683</v>
          </cell>
          <cell r="D508" t="str">
            <v>PUR-202606050001S</v>
          </cell>
          <cell r="E508" t="str">
            <v>BDB-000317</v>
          </cell>
          <cell r="F508" t="str">
            <v>PVN-004076</v>
          </cell>
          <cell r="G508" t="str">
            <v>OrthoLite Regular NEUTRAL GRAY/17-4402TPX Flat Sheet 0.13D 15+/-4 Asker C 1.1M 2M 24mm</v>
          </cell>
          <cell r="H508">
            <v>20</v>
          </cell>
          <cell r="I508">
            <v>20</v>
          </cell>
          <cell r="J508">
            <v>0</v>
          </cell>
          <cell r="K508">
            <v>20</v>
          </cell>
          <cell r="L508" t="str">
            <v>ASICS</v>
          </cell>
          <cell r="M508" t="str">
            <v>Sample</v>
          </cell>
          <cell r="N508" t="str">
            <v>MOLDED</v>
          </cell>
          <cell r="O508" t="str">
            <v>Sample</v>
          </cell>
          <cell r="P508">
            <v>46178</v>
          </cell>
          <cell r="Q508">
            <v>46185</v>
          </cell>
          <cell r="R508">
            <v>46182</v>
          </cell>
          <cell r="S508">
            <v>6</v>
          </cell>
          <cell r="T508">
            <v>7</v>
          </cell>
          <cell r="U508">
            <v>24</v>
          </cell>
          <cell r="V508">
            <v>0.2</v>
          </cell>
          <cell r="W508">
            <v>4</v>
          </cell>
        </row>
        <row r="509">
          <cell r="A509" t="str">
            <v>S-2026-06-22</v>
          </cell>
          <cell r="B509"/>
          <cell r="C509" t="str">
            <v>RPRO-260605-0684</v>
          </cell>
          <cell r="D509" t="str">
            <v>PUR-202606050001S</v>
          </cell>
          <cell r="E509" t="str">
            <v>BDB-000055</v>
          </cell>
          <cell r="F509" t="str">
            <v>PVN-003327</v>
          </cell>
          <cell r="G509" t="str">
            <v>OrthoLite X-40 TRUE BLUE/19-4057TPX 0.16D 35+/-4 Asker C 1.1M 1.7M 4mm</v>
          </cell>
          <cell r="H509">
            <v>30</v>
          </cell>
          <cell r="I509">
            <v>30</v>
          </cell>
          <cell r="J509">
            <v>0</v>
          </cell>
          <cell r="K509">
            <v>30</v>
          </cell>
          <cell r="L509" t="str">
            <v>ASICS</v>
          </cell>
          <cell r="M509" t="str">
            <v>Sample</v>
          </cell>
          <cell r="N509" t="str">
            <v>MOLDED</v>
          </cell>
          <cell r="O509" t="str">
            <v>Sample</v>
          </cell>
          <cell r="P509">
            <v>46178</v>
          </cell>
          <cell r="Q509">
            <v>46185</v>
          </cell>
          <cell r="R509">
            <v>46182</v>
          </cell>
          <cell r="S509">
            <v>6</v>
          </cell>
          <cell r="T509">
            <v>7</v>
          </cell>
          <cell r="U509">
            <v>4</v>
          </cell>
          <cell r="V509">
            <v>2.8570000000000002E-2</v>
          </cell>
          <cell r="W509">
            <v>1</v>
          </cell>
        </row>
        <row r="510">
          <cell r="A510" t="str">
            <v>S-2026-06-23</v>
          </cell>
          <cell r="B510"/>
          <cell r="C510" t="str">
            <v>RPRO-260605-0685</v>
          </cell>
          <cell r="D510" t="str">
            <v>PUR-202606050001S</v>
          </cell>
          <cell r="E510" t="str">
            <v>BDB-000328</v>
          </cell>
          <cell r="F510" t="str">
            <v>PVN-004212</v>
          </cell>
          <cell r="G510" t="str">
            <v>OrthoLite X-40-Hybrid TRUE BLUE/19-4057TPX Hybrid Flat Sheet 0.16D 25+/-4 Asker C 1.1M 2M 3mm</v>
          </cell>
          <cell r="H510">
            <v>20</v>
          </cell>
          <cell r="I510">
            <v>20</v>
          </cell>
          <cell r="J510">
            <v>0</v>
          </cell>
          <cell r="K510">
            <v>20</v>
          </cell>
          <cell r="L510" t="str">
            <v>ASICS</v>
          </cell>
          <cell r="M510" t="str">
            <v>Sample</v>
          </cell>
          <cell r="N510" t="str">
            <v>DIE-CUT</v>
          </cell>
          <cell r="O510" t="str">
            <v>Sample</v>
          </cell>
          <cell r="P510">
            <v>46178</v>
          </cell>
          <cell r="Q510">
            <v>46185</v>
          </cell>
          <cell r="R510">
            <v>46182</v>
          </cell>
          <cell r="S510">
            <v>6</v>
          </cell>
          <cell r="T510">
            <v>7</v>
          </cell>
          <cell r="U510">
            <v>3</v>
          </cell>
          <cell r="V510">
            <v>2.1739999999999999E-2</v>
          </cell>
          <cell r="W510">
            <v>1</v>
          </cell>
        </row>
        <row r="511">
          <cell r="A511" t="str">
            <v>S-2026-06-24</v>
          </cell>
          <cell r="B511"/>
          <cell r="C511" t="str">
            <v>RPRO-260605-0686</v>
          </cell>
          <cell r="D511" t="str">
            <v>PUR-202606050001S</v>
          </cell>
          <cell r="E511" t="str">
            <v>BDB-000123</v>
          </cell>
          <cell r="F511" t="str">
            <v>PVN-002973</v>
          </cell>
          <cell r="G511" t="str">
            <v>UltraLite-Hybrid OrthoLite SEEDPEARL/12-0703TPX Hybrid Flat Sheet 0.085D 25+/-4 Asker C 1.1M 2M 4.5mm</v>
          </cell>
          <cell r="H511">
            <v>30</v>
          </cell>
          <cell r="I511">
            <v>30</v>
          </cell>
          <cell r="J511">
            <v>0</v>
          </cell>
          <cell r="K511">
            <v>30</v>
          </cell>
          <cell r="L511" t="str">
            <v>WILSON</v>
          </cell>
          <cell r="M511" t="str">
            <v>Sample</v>
          </cell>
          <cell r="N511" t="str">
            <v>MOLDED</v>
          </cell>
          <cell r="O511" t="str">
            <v>Sample</v>
          </cell>
          <cell r="P511">
            <v>46178</v>
          </cell>
          <cell r="Q511">
            <v>46185</v>
          </cell>
          <cell r="R511">
            <v>46182</v>
          </cell>
          <cell r="S511">
            <v>6</v>
          </cell>
          <cell r="T511">
            <v>7</v>
          </cell>
          <cell r="U511">
            <v>4.5</v>
          </cell>
          <cell r="V511">
            <v>3.2259999999999997E-2</v>
          </cell>
          <cell r="W511">
            <v>1</v>
          </cell>
        </row>
        <row r="512">
          <cell r="A512" t="str">
            <v>S-2026-06-25</v>
          </cell>
          <cell r="B512"/>
          <cell r="C512" t="str">
            <v>RPRO-260606-0217</v>
          </cell>
          <cell r="D512" t="str">
            <v xml:space="preserve">PUR2606050003S   </v>
          </cell>
          <cell r="E512" t="str">
            <v>BDB-000067</v>
          </cell>
          <cell r="F512" t="str">
            <v>PVN-003672</v>
          </cell>
          <cell r="G512" t="str">
            <v>OrthoLite Ultra SEEDPEARL/12-0703TPX Flat Sheet 0.085D 25+/-4 Asker C 1.1M 2M 3mm</v>
          </cell>
          <cell r="H512">
            <v>20</v>
          </cell>
          <cell r="I512">
            <v>20</v>
          </cell>
          <cell r="J512">
            <v>0</v>
          </cell>
          <cell r="K512">
            <v>20</v>
          </cell>
          <cell r="L512" t="str">
            <v>ADIDAS</v>
          </cell>
          <cell r="M512" t="str">
            <v>SSO-2606-00253  - URGENT (6-13)</v>
          </cell>
          <cell r="N512" t="str">
            <v>Flat sheet</v>
          </cell>
          <cell r="O512" t="str">
            <v>Sample</v>
          </cell>
          <cell r="P512">
            <v>46178</v>
          </cell>
          <cell r="Q512">
            <v>46186</v>
          </cell>
          <cell r="R512">
            <v>46183</v>
          </cell>
          <cell r="S512">
            <v>6</v>
          </cell>
          <cell r="T512">
            <v>8</v>
          </cell>
          <cell r="U512">
            <v>3</v>
          </cell>
          <cell r="V512">
            <v>2.1739999999999999E-2</v>
          </cell>
          <cell r="W512">
            <v>1</v>
          </cell>
        </row>
        <row r="513">
          <cell r="A513" t="str">
            <v>S-2026-06-26</v>
          </cell>
          <cell r="B513"/>
          <cell r="C513" t="str">
            <v>RPRO-260608-1016</v>
          </cell>
          <cell r="D513" t="str">
            <v>PUR2600600800001S</v>
          </cell>
          <cell r="E513" t="str">
            <v>BDB-000125</v>
          </cell>
          <cell r="F513" t="str">
            <v>PVN-001579</v>
          </cell>
          <cell r="G513" t="str">
            <v>OrthoLite Regular-Nike AIR BLUE/16-4134TPX Flat Sheet 0.11D 25+/-4 Asker C 1.1M 2M 4mm</v>
          </cell>
          <cell r="H513">
            <v>40</v>
          </cell>
          <cell r="I513">
            <v>40</v>
          </cell>
          <cell r="J513">
            <v>0</v>
          </cell>
          <cell r="K513">
            <v>40</v>
          </cell>
          <cell r="L513" t="str">
            <v>NIKE</v>
          </cell>
          <cell r="M513" t="str">
            <v>Sample</v>
          </cell>
          <cell r="N513" t="str">
            <v>DIE CUT</v>
          </cell>
          <cell r="O513" t="str">
            <v>Sample</v>
          </cell>
          <cell r="P513">
            <v>46181</v>
          </cell>
          <cell r="Q513">
            <v>46188</v>
          </cell>
          <cell r="R513">
            <v>46185</v>
          </cell>
          <cell r="S513">
            <v>6</v>
          </cell>
          <cell r="T513">
            <v>7</v>
          </cell>
          <cell r="U513">
            <v>4</v>
          </cell>
          <cell r="V513">
            <v>2.8570000000000002E-2</v>
          </cell>
          <cell r="W513">
            <v>2</v>
          </cell>
        </row>
        <row r="514">
          <cell r="A514" t="str">
            <v>S-2026-06-27</v>
          </cell>
          <cell r="B514"/>
          <cell r="C514" t="str">
            <v>RPRO-260608-1017</v>
          </cell>
          <cell r="D514" t="str">
            <v>PUR2600600800001S</v>
          </cell>
          <cell r="E514" t="str">
            <v>BDB-000125</v>
          </cell>
          <cell r="F514" t="str">
            <v>PVN-002413</v>
          </cell>
          <cell r="G514" t="str">
            <v>OrthoLite Regular-Nike AIR BLUE/16-4134TPX Flat Sheet 0.11D 25+/-4 Asker C 1.1M 2M 4.2mm</v>
          </cell>
          <cell r="H514">
            <v>70</v>
          </cell>
          <cell r="I514">
            <v>70</v>
          </cell>
          <cell r="J514">
            <v>0</v>
          </cell>
          <cell r="K514">
            <v>70</v>
          </cell>
          <cell r="L514" t="str">
            <v>NIKE</v>
          </cell>
          <cell r="M514" t="str">
            <v>Sample</v>
          </cell>
          <cell r="N514" t="str">
            <v>MOLDED</v>
          </cell>
          <cell r="O514" t="str">
            <v>Sample</v>
          </cell>
          <cell r="P514">
            <v>46181</v>
          </cell>
          <cell r="Q514">
            <v>46188</v>
          </cell>
          <cell r="R514">
            <v>46185</v>
          </cell>
          <cell r="S514">
            <v>6</v>
          </cell>
          <cell r="T514">
            <v>7</v>
          </cell>
          <cell r="U514">
            <v>4.2</v>
          </cell>
          <cell r="V514">
            <v>3.0300000000000001E-2</v>
          </cell>
          <cell r="W514">
            <v>3</v>
          </cell>
        </row>
        <row r="515">
          <cell r="A515" t="str">
            <v>S-2026-06-28</v>
          </cell>
          <cell r="B515"/>
          <cell r="C515" t="str">
            <v>RPRO-260608-1018</v>
          </cell>
          <cell r="D515" t="str">
            <v>PUR2600600800001S</v>
          </cell>
          <cell r="E515" t="str">
            <v>BDB-000162</v>
          </cell>
          <cell r="F515" t="str">
            <v>PVN-001566</v>
          </cell>
          <cell r="G515" t="str">
            <v>OrthoLite Ultra-Nike SEEDPEARL/12-0703TPX Flat Sheet 0.085D 25+/-4 Asker C 1.1M 2M 4mm</v>
          </cell>
          <cell r="H515">
            <v>50</v>
          </cell>
          <cell r="I515">
            <v>50</v>
          </cell>
          <cell r="J515">
            <v>0</v>
          </cell>
          <cell r="K515">
            <v>50</v>
          </cell>
          <cell r="L515" t="str">
            <v>NIKE</v>
          </cell>
          <cell r="M515" t="str">
            <v>Sample</v>
          </cell>
          <cell r="N515" t="str">
            <v>DIE CUT</v>
          </cell>
          <cell r="O515" t="str">
            <v>Sample</v>
          </cell>
          <cell r="P515">
            <v>46181</v>
          </cell>
          <cell r="Q515">
            <v>46188</v>
          </cell>
          <cell r="R515">
            <v>46185</v>
          </cell>
          <cell r="S515">
            <v>6</v>
          </cell>
          <cell r="T515">
            <v>7</v>
          </cell>
          <cell r="U515">
            <v>4</v>
          </cell>
          <cell r="V515">
            <v>2.8570000000000002E-2</v>
          </cell>
          <cell r="W515">
            <v>2</v>
          </cell>
        </row>
        <row r="516">
          <cell r="A516" t="str">
            <v>S-2026-06-29</v>
          </cell>
          <cell r="B516"/>
          <cell r="C516" t="str">
            <v>RPRO-260608-1019</v>
          </cell>
          <cell r="D516" t="str">
            <v>PUR2600600800001S</v>
          </cell>
          <cell r="E516" t="str">
            <v>BDB-000305</v>
          </cell>
          <cell r="F516" t="str">
            <v>PVN-004000</v>
          </cell>
          <cell r="G516" t="str">
            <v>OrthoLite X-35-Nike YELLOW/13-0858TPX Flat Sheet 0.145D 25+/-4 Asker C 1.1M 2M 5.5mm</v>
          </cell>
          <cell r="H516">
            <v>30</v>
          </cell>
          <cell r="I516">
            <v>30</v>
          </cell>
          <cell r="J516">
            <v>0</v>
          </cell>
          <cell r="K516">
            <v>30</v>
          </cell>
          <cell r="L516" t="str">
            <v>NIKE</v>
          </cell>
          <cell r="M516" t="str">
            <v>Sample</v>
          </cell>
          <cell r="N516" t="str">
            <v>DIE CUT</v>
          </cell>
          <cell r="O516" t="str">
            <v>Sample</v>
          </cell>
          <cell r="P516">
            <v>46181</v>
          </cell>
          <cell r="Q516">
            <v>46188</v>
          </cell>
          <cell r="R516">
            <v>46185</v>
          </cell>
          <cell r="S516">
            <v>6</v>
          </cell>
          <cell r="T516">
            <v>7</v>
          </cell>
          <cell r="U516">
            <v>5.5</v>
          </cell>
          <cell r="V516">
            <v>0.04</v>
          </cell>
          <cell r="W516">
            <v>2</v>
          </cell>
        </row>
        <row r="517">
          <cell r="A517" t="str">
            <v>S-2026-06-30</v>
          </cell>
          <cell r="B517"/>
          <cell r="C517" t="str">
            <v>RPRO-260608-1020</v>
          </cell>
          <cell r="D517" t="str">
            <v>PUR2606080002S</v>
          </cell>
          <cell r="E517" t="str">
            <v>BDB-000349</v>
          </cell>
          <cell r="F517" t="str">
            <v>PVN-004352</v>
          </cell>
          <cell r="G517" t="str">
            <v>OrthoLite Ultra GREEN/16-5932TPX Flat Sheet 0.085D 15+/-4 Asker C 1.1M 2M 11mm</v>
          </cell>
          <cell r="H517">
            <v>20</v>
          </cell>
          <cell r="I517">
            <v>20</v>
          </cell>
          <cell r="J517">
            <v>0</v>
          </cell>
          <cell r="K517">
            <v>20</v>
          </cell>
          <cell r="L517" t="str">
            <v>BLACKYAK</v>
          </cell>
          <cell r="M517" t="str">
            <v>Sample</v>
          </cell>
          <cell r="N517" t="str">
            <v>Molded</v>
          </cell>
          <cell r="O517" t="str">
            <v>Sample</v>
          </cell>
          <cell r="P517">
            <v>46181</v>
          </cell>
          <cell r="Q517">
            <v>46189</v>
          </cell>
          <cell r="R517">
            <v>46186</v>
          </cell>
          <cell r="S517">
            <v>6</v>
          </cell>
          <cell r="T517">
            <v>8</v>
          </cell>
          <cell r="U517">
            <v>11</v>
          </cell>
          <cell r="V517">
            <v>8.3330000000000001E-2</v>
          </cell>
          <cell r="W517">
            <v>2</v>
          </cell>
        </row>
        <row r="518">
          <cell r="A518" t="str">
            <v>S-2026-06-31</v>
          </cell>
          <cell r="B518"/>
          <cell r="C518" t="str">
            <v>RPRO-260609-0497</v>
          </cell>
          <cell r="D518" t="str">
            <v>PUR2606080003S</v>
          </cell>
          <cell r="E518" t="str">
            <v>BDB-000116</v>
          </cell>
          <cell r="F518" t="str">
            <v>PVN-002530</v>
          </cell>
          <cell r="G518" t="str">
            <v>OrthoLite Regular-Hybrid SEEDPEARL/12-0703TPX Hybrid Flat Sheet 0.13D 25+/-4 Asker C 1.1M 2M 3mm</v>
          </cell>
          <cell r="H518">
            <v>10</v>
          </cell>
          <cell r="I518">
            <v>10</v>
          </cell>
          <cell r="J518">
            <v>0</v>
          </cell>
          <cell r="K518">
            <v>10</v>
          </cell>
          <cell r="L518" t="str">
            <v>KATE SPADE</v>
          </cell>
          <cell r="M518" t="str">
            <v>SSO-2606-00328</v>
          </cell>
          <cell r="N518" t="str">
            <v>sheet</v>
          </cell>
          <cell r="O518" t="str">
            <v>Sample</v>
          </cell>
          <cell r="P518">
            <v>46181</v>
          </cell>
          <cell r="Q518">
            <v>46189</v>
          </cell>
          <cell r="R518">
            <v>46186</v>
          </cell>
          <cell r="S518">
            <v>6</v>
          </cell>
          <cell r="T518">
            <v>8</v>
          </cell>
          <cell r="U518">
            <v>3</v>
          </cell>
          <cell r="V518">
            <v>2.1739999999999999E-2</v>
          </cell>
          <cell r="W518">
            <v>1</v>
          </cell>
        </row>
        <row r="519">
          <cell r="A519" t="str">
            <v>S-2026-06-32</v>
          </cell>
          <cell r="B519"/>
          <cell r="C519" t="str">
            <v>RPRO-260609-0498</v>
          </cell>
          <cell r="D519" t="str">
            <v>PUR2606080003S</v>
          </cell>
          <cell r="E519" t="str">
            <v>BDB-000116</v>
          </cell>
          <cell r="F519" t="str">
            <v>PVN-002710</v>
          </cell>
          <cell r="G519" t="str">
            <v>OrthoLite Regular-Hybrid SEEDPEARL/12-0703TPX Hybrid Flat Sheet 0.13D 25+/-4 Asker C 1.1M 2M 5mm</v>
          </cell>
          <cell r="H519">
            <v>10</v>
          </cell>
          <cell r="I519">
            <v>10</v>
          </cell>
          <cell r="J519">
            <v>0</v>
          </cell>
          <cell r="K519">
            <v>10</v>
          </cell>
          <cell r="L519" t="str">
            <v>KATE SPADE</v>
          </cell>
          <cell r="M519" t="str">
            <v>SSO-2606-00328</v>
          </cell>
          <cell r="N519" t="str">
            <v>sheet</v>
          </cell>
          <cell r="O519" t="str">
            <v>Sample</v>
          </cell>
          <cell r="P519">
            <v>46181</v>
          </cell>
          <cell r="Q519">
            <v>46189</v>
          </cell>
          <cell r="R519">
            <v>46186</v>
          </cell>
          <cell r="S519">
            <v>6</v>
          </cell>
          <cell r="T519">
            <v>8</v>
          </cell>
          <cell r="U519">
            <v>5</v>
          </cell>
          <cell r="V519">
            <v>3.5709999999999999E-2</v>
          </cell>
          <cell r="W519">
            <v>1</v>
          </cell>
        </row>
        <row r="520">
          <cell r="A520" t="str">
            <v>S-2026-06-33</v>
          </cell>
          <cell r="B520"/>
          <cell r="C520" t="str">
            <v>RPRO-260609-0499</v>
          </cell>
          <cell r="D520" t="str">
            <v>PUR2606090001S</v>
          </cell>
          <cell r="E520" t="str">
            <v>BDB-000243</v>
          </cell>
          <cell r="F520" t="str">
            <v>PVN-004444</v>
          </cell>
          <cell r="G520" t="str">
            <v>OrthoLite Ultra-Hybrid GREEN/16-5932TPX Hybrid Flat Sheet 0.085D 25+/-4 Asker C 1.1M 2M 4mm</v>
          </cell>
          <cell r="H520">
            <v>70</v>
          </cell>
          <cell r="I520">
            <v>70</v>
          </cell>
          <cell r="J520">
            <v>0</v>
          </cell>
          <cell r="K520">
            <v>70</v>
          </cell>
          <cell r="L520" t="str">
            <v>ADIDAS</v>
          </cell>
          <cell r="M520" t="str">
            <v>SSO-2606-00325 - URGENT (6-17)</v>
          </cell>
          <cell r="N520" t="str">
            <v>Flat sheet</v>
          </cell>
          <cell r="O520" t="str">
            <v>Sample</v>
          </cell>
          <cell r="P520">
            <v>46182</v>
          </cell>
          <cell r="Q520">
            <v>46190</v>
          </cell>
          <cell r="R520">
            <v>46187</v>
          </cell>
          <cell r="S520">
            <v>6</v>
          </cell>
          <cell r="T520">
            <v>8</v>
          </cell>
          <cell r="U520" t="str">
            <v/>
          </cell>
          <cell r="V520">
            <v>2.8570000000000002E-2</v>
          </cell>
          <cell r="W520">
            <v>2</v>
          </cell>
        </row>
        <row r="521">
          <cell r="A521" t="str">
            <v>S-2026-06-34</v>
          </cell>
          <cell r="B521"/>
          <cell r="C521" t="str">
            <v>RPRO-260609-0500</v>
          </cell>
          <cell r="D521" t="str">
            <v>PUR2606090001S</v>
          </cell>
          <cell r="E521" t="str">
            <v>BDB-000123</v>
          </cell>
          <cell r="F521" t="str">
            <v>PVN-003298</v>
          </cell>
          <cell r="G521" t="str">
            <v>OrthoLite Ultra-Hybrid SEEDPEARL/12-0703TPX Hybrid 0.085D 25+/-4 Asker C 1.1M 2M 4mm</v>
          </cell>
          <cell r="H521">
            <v>100</v>
          </cell>
          <cell r="I521">
            <v>100</v>
          </cell>
          <cell r="J521">
            <v>0</v>
          </cell>
          <cell r="K521">
            <v>100</v>
          </cell>
          <cell r="L521" t="str">
            <v>ADIDAS</v>
          </cell>
          <cell r="M521" t="str">
            <v>SSO-2606-00327  - URGENT (6-17)</v>
          </cell>
          <cell r="N521" t="str">
            <v>Flat sheet</v>
          </cell>
          <cell r="O521" t="str">
            <v>Sample</v>
          </cell>
          <cell r="P521">
            <v>46182</v>
          </cell>
          <cell r="Q521">
            <v>46190</v>
          </cell>
          <cell r="R521">
            <v>46187</v>
          </cell>
          <cell r="S521">
            <v>6</v>
          </cell>
          <cell r="T521">
            <v>8</v>
          </cell>
          <cell r="U521">
            <v>4</v>
          </cell>
          <cell r="V521">
            <v>2.8570000000000002E-2</v>
          </cell>
          <cell r="W521">
            <v>3</v>
          </cell>
        </row>
        <row r="522">
          <cell r="A522" t="str">
            <v>S-2026-06-35</v>
          </cell>
          <cell r="B522"/>
          <cell r="C522" t="str">
            <v>RPRO-260609-0501</v>
          </cell>
          <cell r="D522" t="str">
            <v>PUR2606090001S</v>
          </cell>
          <cell r="E522" t="str">
            <v>BDB-000123</v>
          </cell>
          <cell r="F522" t="str">
            <v>PVN-003299</v>
          </cell>
          <cell r="G522" t="str">
            <v>OrthoLite Ultra-Hybrid SEEDPEARL/12-0703TPX Hybrid 0.085D 25+/-4 Asker C 1.1M 2M 3mm</v>
          </cell>
          <cell r="H522">
            <v>50</v>
          </cell>
          <cell r="I522">
            <v>50</v>
          </cell>
          <cell r="J522">
            <v>0</v>
          </cell>
          <cell r="K522">
            <v>50</v>
          </cell>
          <cell r="L522" t="str">
            <v>ADIDAS</v>
          </cell>
          <cell r="M522" t="str">
            <v>SSO-2606-00327  - URGENT (6-17)</v>
          </cell>
          <cell r="N522" t="str">
            <v>Flat sheet</v>
          </cell>
          <cell r="O522" t="str">
            <v>Sample</v>
          </cell>
          <cell r="P522">
            <v>46182</v>
          </cell>
          <cell r="Q522">
            <v>46190</v>
          </cell>
          <cell r="R522">
            <v>46187</v>
          </cell>
          <cell r="S522">
            <v>6</v>
          </cell>
          <cell r="T522">
            <v>8</v>
          </cell>
          <cell r="U522">
            <v>3</v>
          </cell>
          <cell r="V522">
            <v>2.1739999999999999E-2</v>
          </cell>
          <cell r="W522">
            <v>2</v>
          </cell>
        </row>
        <row r="523">
          <cell r="A523" t="str">
            <v>S-2026-06-36</v>
          </cell>
          <cell r="B523"/>
          <cell r="C523" t="str">
            <v>RPRO-260609-0502</v>
          </cell>
          <cell r="D523" t="str">
            <v>PUR-202606090002S</v>
          </cell>
          <cell r="E523" t="str">
            <v>BDB-000015</v>
          </cell>
          <cell r="F523" t="str">
            <v>PVN-000437</v>
          </cell>
          <cell r="G523" t="str">
            <v>OrthoLite Regular AIR BLUE/16-4134TPX 0.13D 25+/-4 Asker C 1.1M 2M 3.5mm</v>
          </cell>
          <cell r="H523">
            <v>20</v>
          </cell>
          <cell r="I523">
            <v>20</v>
          </cell>
          <cell r="J523">
            <v>0</v>
          </cell>
          <cell r="K523">
            <v>20</v>
          </cell>
          <cell r="L523" t="str">
            <v>ASICS</v>
          </cell>
          <cell r="M523" t="str">
            <v>Sample
URGENT (6-15)</v>
          </cell>
          <cell r="N523" t="str">
            <v>DIE-CUT</v>
          </cell>
          <cell r="O523" t="str">
            <v>Sample</v>
          </cell>
          <cell r="P523">
            <v>46182</v>
          </cell>
          <cell r="Q523">
            <v>46188</v>
          </cell>
          <cell r="R523">
            <v>46185</v>
          </cell>
          <cell r="S523">
            <v>6</v>
          </cell>
          <cell r="T523">
            <v>6</v>
          </cell>
          <cell r="U523">
            <v>3.5</v>
          </cell>
          <cell r="V523">
            <v>2.5000000000000001E-2</v>
          </cell>
          <cell r="W523">
            <v>1</v>
          </cell>
        </row>
        <row r="524">
          <cell r="A524" t="str">
            <v>S-2026-06-37</v>
          </cell>
          <cell r="B524"/>
          <cell r="C524" t="str">
            <v>RPRO-260609-0503</v>
          </cell>
          <cell r="D524" t="str">
            <v>PUR-202606090002S</v>
          </cell>
          <cell r="E524" t="str">
            <v>BDB-000123</v>
          </cell>
          <cell r="F524" t="str">
            <v>PVN-002973</v>
          </cell>
          <cell r="G524" t="str">
            <v>UltraLite-Hybrid OrthoLite SEEDPEARL/12-0703TPX Hybrid Flat Sheet 0.085D 25+/-4 Asker C 1.1M 2M 4.5mm</v>
          </cell>
          <cell r="H524">
            <v>50</v>
          </cell>
          <cell r="I524">
            <v>50</v>
          </cell>
          <cell r="J524">
            <v>0</v>
          </cell>
          <cell r="K524">
            <v>50</v>
          </cell>
          <cell r="L524" t="str">
            <v>SALOMON</v>
          </cell>
          <cell r="M524" t="str">
            <v>Sample</v>
          </cell>
          <cell r="N524" t="str">
            <v>MOLDED</v>
          </cell>
          <cell r="O524" t="str">
            <v>Sample</v>
          </cell>
          <cell r="P524">
            <v>46182</v>
          </cell>
          <cell r="Q524">
            <v>46190</v>
          </cell>
          <cell r="R524">
            <v>46187</v>
          </cell>
          <cell r="S524">
            <v>6</v>
          </cell>
          <cell r="T524">
            <v>8</v>
          </cell>
          <cell r="U524">
            <v>4.5</v>
          </cell>
          <cell r="V524">
            <v>3.2259999999999997E-2</v>
          </cell>
          <cell r="W524">
            <v>2</v>
          </cell>
        </row>
        <row r="525">
          <cell r="A525" t="str">
            <v>S-2026-06-38</v>
          </cell>
          <cell r="B525"/>
          <cell r="C525" t="str">
            <v>RPRO-260609-0504</v>
          </cell>
          <cell r="D525" t="str">
            <v>PUR2606090003S</v>
          </cell>
          <cell r="E525" t="str">
            <v>BDB-000348</v>
          </cell>
          <cell r="F525" t="str">
            <v>PVN-004195</v>
          </cell>
          <cell r="G525" t="str">
            <v>OrthoLite IMPERIAL SEEDPEARL/12-0703TPX Flat Sheet 0.22D 25+/-4 Asker C 1.1M 1.47M 4mm</v>
          </cell>
          <cell r="H525">
            <v>250</v>
          </cell>
          <cell r="I525">
            <v>250</v>
          </cell>
          <cell r="J525">
            <v>0</v>
          </cell>
          <cell r="K525">
            <v>250</v>
          </cell>
          <cell r="L525" t="str">
            <v>ADIDAS</v>
          </cell>
          <cell r="M525" t="str">
            <v>SSO-2606-00371/00379 - URGENT (6-13)</v>
          </cell>
          <cell r="N525" t="str">
            <v>Flat sheet</v>
          </cell>
          <cell r="O525" t="str">
            <v>Sample</v>
          </cell>
          <cell r="P525">
            <v>46182</v>
          </cell>
          <cell r="Q525">
            <v>46189</v>
          </cell>
          <cell r="R525">
            <v>46186</v>
          </cell>
          <cell r="S525">
            <v>6</v>
          </cell>
          <cell r="T525">
            <v>7</v>
          </cell>
          <cell r="U525">
            <v>4</v>
          </cell>
          <cell r="V525">
            <v>2.8570000000000002E-2</v>
          </cell>
          <cell r="W525">
            <v>8</v>
          </cell>
        </row>
        <row r="526">
          <cell r="A526" t="str">
            <v>S-2026-06-39</v>
          </cell>
          <cell r="B526"/>
          <cell r="C526" t="str">
            <v>RPRO-260609-0505</v>
          </cell>
          <cell r="D526" t="str">
            <v>PUR2606090003S</v>
          </cell>
          <cell r="E526" t="str">
            <v>BDB-000058</v>
          </cell>
          <cell r="F526" t="str">
            <v>PVN-001319</v>
          </cell>
          <cell r="G526" t="str">
            <v>OrthoLite Ultra GREEN/16-5932TPX Flat Sheet 0.085D 25+/-4 Asker C 1.1M 2M 5mm</v>
          </cell>
          <cell r="H526">
            <v>50</v>
          </cell>
          <cell r="I526">
            <v>50</v>
          </cell>
          <cell r="J526">
            <v>0</v>
          </cell>
          <cell r="K526">
            <v>50</v>
          </cell>
          <cell r="L526" t="str">
            <v>ADIDAS</v>
          </cell>
          <cell r="M526" t="str">
            <v>SSO-2606-00358/00359 - URGENT (6-16)</v>
          </cell>
          <cell r="N526" t="str">
            <v>Flat sheet</v>
          </cell>
          <cell r="O526" t="str">
            <v>Sample</v>
          </cell>
          <cell r="P526">
            <v>46182</v>
          </cell>
          <cell r="Q526">
            <v>46190</v>
          </cell>
          <cell r="R526">
            <v>46187</v>
          </cell>
          <cell r="S526">
            <v>6</v>
          </cell>
          <cell r="T526">
            <v>8</v>
          </cell>
          <cell r="U526">
            <v>5</v>
          </cell>
          <cell r="V526">
            <v>3.5709999999999999E-2</v>
          </cell>
          <cell r="W526">
            <v>2</v>
          </cell>
        </row>
        <row r="527">
          <cell r="A527" t="str">
            <v>S-2026-06-40</v>
          </cell>
          <cell r="B527"/>
          <cell r="C527" t="str">
            <v>RPRO-260609-0506</v>
          </cell>
          <cell r="D527" t="str">
            <v>PUR2606090003S</v>
          </cell>
          <cell r="E527" t="str">
            <v>BDB-000123</v>
          </cell>
          <cell r="F527" t="str">
            <v>PVN-003299</v>
          </cell>
          <cell r="G527" t="str">
            <v>OrthoLite Ultra-Hybrid SEEDPEARL/12-0703TPX Hybrid 0.085D 25+/-4 Asker C 1.1M 2M 3mm</v>
          </cell>
          <cell r="H527">
            <v>50</v>
          </cell>
          <cell r="I527">
            <v>50</v>
          </cell>
          <cell r="J527">
            <v>0</v>
          </cell>
          <cell r="K527">
            <v>50</v>
          </cell>
          <cell r="L527" t="str">
            <v>ADIDAS</v>
          </cell>
          <cell r="M527" t="str">
            <v>SSO-2606-00375/00400 - URGENT (6-16)</v>
          </cell>
          <cell r="N527" t="str">
            <v>Flat sheet</v>
          </cell>
          <cell r="O527" t="str">
            <v>Sample</v>
          </cell>
          <cell r="P527">
            <v>46182</v>
          </cell>
          <cell r="Q527">
            <v>46190</v>
          </cell>
          <cell r="R527">
            <v>46187</v>
          </cell>
          <cell r="S527">
            <v>6</v>
          </cell>
          <cell r="T527">
            <v>8</v>
          </cell>
          <cell r="U527">
            <v>3</v>
          </cell>
          <cell r="V527">
            <v>2.1739999999999999E-2</v>
          </cell>
          <cell r="W527">
            <v>2</v>
          </cell>
        </row>
        <row r="528">
          <cell r="A528" t="str">
            <v>S-2026-06-41</v>
          </cell>
          <cell r="B528"/>
          <cell r="C528" t="str">
            <v>RPRO-260609-0507</v>
          </cell>
          <cell r="D528" t="str">
            <v>PUR2606090003S</v>
          </cell>
          <cell r="E528" t="str">
            <v>BDB-000200</v>
          </cell>
          <cell r="F528" t="str">
            <v>PVN-003425</v>
          </cell>
          <cell r="G528" t="str">
            <v>OrthoLite Ultra SEEDPEARL/12-0703TPX Flat Sheet 0.085D 78-90 Asker F 1.1M 2M 4mm</v>
          </cell>
          <cell r="H528">
            <v>30</v>
          </cell>
          <cell r="I528">
            <v>30</v>
          </cell>
          <cell r="J528">
            <v>0</v>
          </cell>
          <cell r="K528">
            <v>30</v>
          </cell>
          <cell r="L528" t="str">
            <v>ADIDAS</v>
          </cell>
          <cell r="M528" t="str">
            <v>SSO-2606-00377 - URGENT (6-16)</v>
          </cell>
          <cell r="N528" t="str">
            <v>Flat sheet</v>
          </cell>
          <cell r="O528" t="str">
            <v>Sample</v>
          </cell>
          <cell r="P528">
            <v>46182</v>
          </cell>
          <cell r="Q528">
            <v>46190</v>
          </cell>
          <cell r="R528">
            <v>46187</v>
          </cell>
          <cell r="S528">
            <v>6</v>
          </cell>
          <cell r="T528">
            <v>8</v>
          </cell>
          <cell r="U528">
            <v>4</v>
          </cell>
          <cell r="V528">
            <v>2.8570000000000002E-2</v>
          </cell>
          <cell r="W528">
            <v>1</v>
          </cell>
        </row>
        <row r="529">
          <cell r="A529"/>
          <cell r="B529"/>
          <cell r="C529"/>
          <cell r="D529"/>
          <cell r="E529" t="str">
            <v/>
          </cell>
          <cell r="F529"/>
          <cell r="G529"/>
          <cell r="H529"/>
          <cell r="I529"/>
          <cell r="J529"/>
          <cell r="K529"/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</row>
        <row r="530">
          <cell r="A530"/>
          <cell r="B530"/>
          <cell r="C530"/>
          <cell r="D530"/>
          <cell r="E530" t="str">
            <v/>
          </cell>
          <cell r="F530"/>
          <cell r="G530"/>
          <cell r="H530"/>
          <cell r="I530"/>
          <cell r="J530"/>
          <cell r="K530"/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</row>
        <row r="531">
          <cell r="A531"/>
          <cell r="B531"/>
          <cell r="C531"/>
          <cell r="D531"/>
          <cell r="E531" t="str">
            <v/>
          </cell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</row>
        <row r="532">
          <cell r="A532"/>
          <cell r="B532"/>
          <cell r="C532"/>
          <cell r="D532"/>
          <cell r="E532" t="str">
            <v/>
          </cell>
          <cell r="F532"/>
          <cell r="G532"/>
          <cell r="H532"/>
          <cell r="I532"/>
          <cell r="J532"/>
          <cell r="K532"/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</row>
        <row r="533">
          <cell r="A533"/>
          <cell r="B533"/>
          <cell r="C533"/>
          <cell r="D533"/>
          <cell r="E533" t="str">
            <v/>
          </cell>
          <cell r="F533"/>
          <cell r="G533"/>
          <cell r="H533"/>
          <cell r="I533"/>
          <cell r="J533"/>
          <cell r="K533"/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</row>
        <row r="534">
          <cell r="A534"/>
          <cell r="B534"/>
          <cell r="C534"/>
          <cell r="D534"/>
          <cell r="E534" t="str">
            <v/>
          </cell>
          <cell r="F534"/>
          <cell r="G534"/>
          <cell r="H534"/>
          <cell r="I534"/>
          <cell r="J534"/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121" priority="8"/>
  </conditionalFormatting>
  <conditionalFormatting sqref="A3:A20">
    <cfRule type="duplicateValues" dxfId="120" priority="11"/>
  </conditionalFormatting>
  <conditionalFormatting sqref="A23:A1048576">
    <cfRule type="duplicateValues" dxfId="119" priority="9"/>
  </conditionalFormatting>
  <conditionalFormatting sqref="C1:C1048576">
    <cfRule type="duplicateValues" dxfId="118" priority="1"/>
    <cfRule type="duplicateValues" dxfId="117" priority="2"/>
  </conditionalFormatting>
  <conditionalFormatting sqref="I2:M2">
    <cfRule type="duplicateValues" dxfId="116" priority="7"/>
  </conditionalFormatting>
  <conditionalFormatting sqref="N1">
    <cfRule type="duplicateValues" dxfId="115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114" priority="5"/>
  </conditionalFormatting>
  <conditionalFormatting sqref="A3:A23">
    <cfRule type="duplicateValues" dxfId="113" priority="7"/>
  </conditionalFormatting>
  <conditionalFormatting sqref="A26:A1048576">
    <cfRule type="duplicateValues" dxfId="112" priority="6"/>
  </conditionalFormatting>
  <conditionalFormatting sqref="C1:C1048576">
    <cfRule type="duplicateValues" dxfId="111" priority="1"/>
    <cfRule type="duplicateValues" dxfId="110" priority="2"/>
  </conditionalFormatting>
  <conditionalFormatting sqref="I2:M2">
    <cfRule type="duplicateValues" dxfId="109" priority="4"/>
  </conditionalFormatting>
  <conditionalFormatting sqref="N1">
    <cfRule type="duplicateValues" dxfId="10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107" priority="5"/>
  </conditionalFormatting>
  <conditionalFormatting sqref="A3:A28">
    <cfRule type="duplicateValues" dxfId="106" priority="7"/>
  </conditionalFormatting>
  <conditionalFormatting sqref="A31:A1048576">
    <cfRule type="duplicateValues" dxfId="105" priority="6"/>
  </conditionalFormatting>
  <conditionalFormatting sqref="C1:C1048576">
    <cfRule type="duplicateValues" dxfId="104" priority="1"/>
    <cfRule type="duplicateValues" dxfId="103" priority="2"/>
  </conditionalFormatting>
  <conditionalFormatting sqref="I2:M2">
    <cfRule type="duplicateValues" dxfId="102" priority="4"/>
  </conditionalFormatting>
  <conditionalFormatting sqref="N1">
    <cfRule type="duplicateValues" dxfId="10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100" priority="5"/>
  </conditionalFormatting>
  <conditionalFormatting sqref="A3:A25">
    <cfRule type="duplicateValues" dxfId="99" priority="7"/>
  </conditionalFormatting>
  <conditionalFormatting sqref="A28:A1048576">
    <cfRule type="duplicateValues" dxfId="98" priority="6"/>
  </conditionalFormatting>
  <conditionalFormatting sqref="C1:C1048576">
    <cfRule type="duplicateValues" dxfId="97" priority="1"/>
    <cfRule type="duplicateValues" dxfId="96" priority="2"/>
  </conditionalFormatting>
  <conditionalFormatting sqref="I2:M2">
    <cfRule type="duplicateValues" dxfId="95" priority="4"/>
  </conditionalFormatting>
  <conditionalFormatting sqref="N1">
    <cfRule type="duplicateValues" dxfId="9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3" t="s">
        <v>1</v>
      </c>
      <c r="E7" s="83"/>
      <c r="F7" s="83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93" priority="11"/>
  </conditionalFormatting>
  <conditionalFormatting sqref="A3:A6 A14:A18">
    <cfRule type="duplicateValues" dxfId="92" priority="13"/>
  </conditionalFormatting>
  <conditionalFormatting sqref="A8">
    <cfRule type="duplicateValues" dxfId="91" priority="5"/>
  </conditionalFormatting>
  <conditionalFormatting sqref="A9:A13">
    <cfRule type="duplicateValues" dxfId="90" priority="6"/>
  </conditionalFormatting>
  <conditionalFormatting sqref="A21:A1048576">
    <cfRule type="duplicateValues" dxfId="89" priority="12"/>
  </conditionalFormatting>
  <conditionalFormatting sqref="C1:C6 C14:C1048576">
    <cfRule type="duplicateValues" dxfId="88" priority="7"/>
    <cfRule type="duplicateValues" dxfId="87" priority="8"/>
  </conditionalFormatting>
  <conditionalFormatting sqref="C7:C13">
    <cfRule type="duplicateValues" dxfId="86" priority="2"/>
    <cfRule type="duplicateValues" dxfId="85" priority="3"/>
  </conditionalFormatting>
  <conditionalFormatting sqref="I8:L8">
    <cfRule type="duplicateValues" dxfId="84" priority="4"/>
  </conditionalFormatting>
  <conditionalFormatting sqref="I2:M2">
    <cfRule type="duplicateValues" dxfId="83" priority="10"/>
  </conditionalFormatting>
  <conditionalFormatting sqref="M7">
    <cfRule type="duplicateValues" dxfId="82" priority="1"/>
  </conditionalFormatting>
  <conditionalFormatting sqref="N1">
    <cfRule type="duplicateValues" dxfId="81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80" priority="5"/>
  </conditionalFormatting>
  <conditionalFormatting sqref="A3:A15">
    <cfRule type="duplicateValues" dxfId="79" priority="8"/>
  </conditionalFormatting>
  <conditionalFormatting sqref="A16:A21">
    <cfRule type="duplicateValues" dxfId="78" priority="7"/>
  </conditionalFormatting>
  <conditionalFormatting sqref="A24:A1048576">
    <cfRule type="duplicateValues" dxfId="77" priority="6"/>
  </conditionalFormatting>
  <conditionalFormatting sqref="C1:C1048576">
    <cfRule type="duplicateValues" dxfId="76" priority="1"/>
    <cfRule type="duplicateValues" dxfId="75" priority="2"/>
  </conditionalFormatting>
  <conditionalFormatting sqref="I2:M2">
    <cfRule type="duplicateValues" dxfId="74" priority="4"/>
  </conditionalFormatting>
  <conditionalFormatting sqref="N1">
    <cfRule type="duplicateValues" dxfId="73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72" priority="5"/>
  </conditionalFormatting>
  <conditionalFormatting sqref="A3:A21">
    <cfRule type="duplicateValues" dxfId="71" priority="7"/>
  </conditionalFormatting>
  <conditionalFormatting sqref="A24:A1048576">
    <cfRule type="duplicateValues" dxfId="70" priority="6"/>
  </conditionalFormatting>
  <conditionalFormatting sqref="C1:C1048576">
    <cfRule type="duplicateValues" dxfId="69" priority="1"/>
    <cfRule type="duplicateValues" dxfId="68" priority="2"/>
  </conditionalFormatting>
  <conditionalFormatting sqref="I2:M2">
    <cfRule type="duplicateValues" dxfId="67" priority="4"/>
  </conditionalFormatting>
  <conditionalFormatting sqref="N1">
    <cfRule type="duplicateValues" dxfId="66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5" activePane="bottomRight" state="frozen"/>
      <selection activeCell="E27" sqref="E27"/>
      <selection pane="topRight" activeCell="E27" sqref="E27"/>
      <selection pane="bottomLeft" activeCell="E27" sqref="E27"/>
      <selection pane="bottomRight" activeCell="A15" sqref="A1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65" priority="6"/>
  </conditionalFormatting>
  <conditionalFormatting sqref="A3:A24">
    <cfRule type="duplicateValues" dxfId="64" priority="8"/>
  </conditionalFormatting>
  <conditionalFormatting sqref="A27:A1048576">
    <cfRule type="duplicateValues" dxfId="63" priority="7"/>
  </conditionalFormatting>
  <conditionalFormatting sqref="C1:C1048576">
    <cfRule type="duplicateValues" dxfId="62" priority="1"/>
    <cfRule type="duplicateValues" dxfId="61" priority="2"/>
    <cfRule type="duplicateValues" dxfId="60" priority="3"/>
  </conditionalFormatting>
  <conditionalFormatting sqref="I2:M2">
    <cfRule type="duplicateValues" dxfId="59" priority="5"/>
  </conditionalFormatting>
  <conditionalFormatting sqref="N1">
    <cfRule type="duplicateValues" dxfId="58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9" sqref="M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57" priority="5"/>
  </conditionalFormatting>
  <conditionalFormatting sqref="A3:A20">
    <cfRule type="duplicateValues" dxfId="56" priority="7"/>
  </conditionalFormatting>
  <conditionalFormatting sqref="A23:A1048576">
    <cfRule type="duplicateValues" dxfId="55" priority="6"/>
  </conditionalFormatting>
  <conditionalFormatting sqref="C1:C1048576">
    <cfRule type="duplicateValues" dxfId="54" priority="1"/>
    <cfRule type="duplicateValues" dxfId="53" priority="2"/>
  </conditionalFormatting>
  <conditionalFormatting sqref="I2:M2">
    <cfRule type="duplicateValues" dxfId="52" priority="4"/>
  </conditionalFormatting>
  <conditionalFormatting sqref="N1">
    <cfRule type="duplicateValues" dxfId="5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9" sqref="A1:O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50" priority="5"/>
  </conditionalFormatting>
  <conditionalFormatting sqref="A3:A23">
    <cfRule type="duplicateValues" dxfId="49" priority="7"/>
  </conditionalFormatting>
  <conditionalFormatting sqref="A26:A1048576">
    <cfRule type="duplicateValues" dxfId="48" priority="6"/>
  </conditionalFormatting>
  <conditionalFormatting sqref="C1:C1048576">
    <cfRule type="duplicateValues" dxfId="47" priority="1"/>
    <cfRule type="duplicateValues" dxfId="46" priority="2"/>
  </conditionalFormatting>
  <conditionalFormatting sqref="I2:M2">
    <cfRule type="duplicateValues" dxfId="45" priority="4"/>
  </conditionalFormatting>
  <conditionalFormatting sqref="N1">
    <cfRule type="duplicateValues" dxfId="4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43" priority="5"/>
  </conditionalFormatting>
  <conditionalFormatting sqref="A3:A22">
    <cfRule type="duplicateValues" dxfId="42" priority="7"/>
  </conditionalFormatting>
  <conditionalFormatting sqref="A25:A1048576">
    <cfRule type="duplicateValues" dxfId="41" priority="6"/>
  </conditionalFormatting>
  <conditionalFormatting sqref="C1:C1048576">
    <cfRule type="duplicateValues" dxfId="40" priority="1"/>
    <cfRule type="duplicateValues" dxfId="39" priority="2"/>
  </conditionalFormatting>
  <conditionalFormatting sqref="I2:M2">
    <cfRule type="duplicateValues" dxfId="38" priority="4"/>
  </conditionalFormatting>
  <conditionalFormatting sqref="N1">
    <cfRule type="duplicateValues" dxfId="3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</sheetPr>
  <dimension ref="A1:N665"/>
  <sheetViews>
    <sheetView zoomScale="30" zoomScaleNormal="30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D16" sqref="D1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4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4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4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4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4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4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36" priority="5"/>
  </conditionalFormatting>
  <conditionalFormatting sqref="A3:A21">
    <cfRule type="duplicateValues" dxfId="35" priority="7"/>
  </conditionalFormatting>
  <conditionalFormatting sqref="A24:A1048576">
    <cfRule type="duplicateValues" dxfId="34" priority="6"/>
  </conditionalFormatting>
  <conditionalFormatting sqref="C1:C1048576">
    <cfRule type="duplicateValues" dxfId="33" priority="1"/>
    <cfRule type="duplicateValues" dxfId="32" priority="2"/>
  </conditionalFormatting>
  <conditionalFormatting sqref="I2:M2">
    <cfRule type="duplicateValues" dxfId="31" priority="4"/>
  </conditionalFormatting>
  <conditionalFormatting sqref="N1">
    <cfRule type="duplicateValues" dxfId="3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2257-794B-4F96-B62F-69670D0E4B1D}">
  <sheetPr filterMode="1">
    <tabColor theme="4"/>
  </sheetPr>
  <dimension ref="A1:O668"/>
  <sheetViews>
    <sheetView view="pageBreakPreview" zoomScale="25" zoomScaleNormal="35" zoomScaleSheetLayoutView="25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V27" sqref="V2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1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18</v>
      </c>
      <c r="M1" s="7"/>
      <c r="N1" s="9"/>
    </row>
    <row r="2" spans="1:15" s="16" customFormat="1" ht="96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1.25" customHeight="1" x14ac:dyDescent="0.35">
      <c r="A3" s="17" t="s">
        <v>476</v>
      </c>
      <c r="B3" s="18" t="s">
        <v>477</v>
      </c>
      <c r="C3" s="19" t="str">
        <f>VLOOKUP($A3,'[2]master plan'!$A:$N,5,0)</f>
        <v>BDB-000393</v>
      </c>
      <c r="D3" s="20" t="s">
        <v>478</v>
      </c>
      <c r="E3" s="21" t="s">
        <v>479</v>
      </c>
      <c r="F3" s="22">
        <v>70</v>
      </c>
      <c r="G3" s="23">
        <v>70</v>
      </c>
      <c r="H3" s="24">
        <f>VLOOKUP(A3,'[2]master plan'!A:W,23,0)</f>
        <v>4</v>
      </c>
      <c r="I3" s="25" t="str">
        <f>VLOOKUP($A3,'[2]master plan'!$A:$N,12,0)</f>
        <v>ADIDAS</v>
      </c>
      <c r="J3" s="25" t="str">
        <f>VLOOKUP($A3,'[2]master plan'!$A:$N,13,0)</f>
        <v>SSO-2606-00156  - URGENT (6-10)</v>
      </c>
      <c r="K3" s="25" t="str">
        <f>VLOOKUP($A3,'[2]master plan'!$A:$N,14,0)</f>
        <v>Molded</v>
      </c>
      <c r="L3" s="26">
        <v>4</v>
      </c>
      <c r="M3" s="81" t="s">
        <v>301</v>
      </c>
      <c r="N3" s="28">
        <f>_xlfn.IFNA(VLOOKUP(A3,'[2]master plan'!A:R,18,0),"")</f>
        <v>46180</v>
      </c>
      <c r="O3" s="82">
        <v>46148</v>
      </c>
    </row>
    <row r="4" spans="1:15" s="3" customFormat="1" ht="71.25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5" s="3" customFormat="1" ht="71.25" customHeight="1" x14ac:dyDescent="0.35">
      <c r="A5" s="17" t="s">
        <v>480</v>
      </c>
      <c r="B5" s="18" t="s">
        <v>481</v>
      </c>
      <c r="C5" s="19" t="str">
        <f>VLOOKUP($A5,'[2]master plan'!$A:$N,5,0)</f>
        <v>BDB-000353</v>
      </c>
      <c r="D5" s="20" t="s">
        <v>482</v>
      </c>
      <c r="E5" s="21" t="s">
        <v>483</v>
      </c>
      <c r="F5" s="22">
        <v>10</v>
      </c>
      <c r="G5" s="23">
        <v>10</v>
      </c>
      <c r="H5" s="24">
        <f>VLOOKUP(A5,'[2]master plan'!A:W,23,0)</f>
        <v>1</v>
      </c>
      <c r="I5" s="25" t="str">
        <f>VLOOKUP($A5,'[2]master plan'!$A:$N,12,0)</f>
        <v>CAMPER</v>
      </c>
      <c r="J5" s="25" t="str">
        <f>VLOOKUP($A5,'[2]master plan'!$A:$N,13,0)</f>
        <v>SSO-2606-00239  - URGENT (6-13)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46182</v>
      </c>
      <c r="O5" s="58">
        <v>46240</v>
      </c>
    </row>
    <row r="6" spans="1:15" s="3" customFormat="1" ht="71.25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5" s="3" customFormat="1" ht="71.25" customHeight="1" x14ac:dyDescent="0.35">
      <c r="A7" s="17" t="s">
        <v>484</v>
      </c>
      <c r="B7" s="18" t="s">
        <v>485</v>
      </c>
      <c r="C7" s="19" t="str">
        <f>VLOOKUP($A7,'[2]master plan'!$A:$N,5,0)</f>
        <v>BDB-000123</v>
      </c>
      <c r="D7" s="20" t="s">
        <v>486</v>
      </c>
      <c r="E7" s="21" t="s">
        <v>487</v>
      </c>
      <c r="F7" s="22">
        <v>50</v>
      </c>
      <c r="G7" s="23">
        <v>50</v>
      </c>
      <c r="H7" s="24">
        <f>VLOOKUP(A7,'[2]master plan'!A:W,23,0)</f>
        <v>2</v>
      </c>
      <c r="I7" s="25" t="str">
        <f>VLOOKUP($A7,'[2]master plan'!$A:$N,12,0)</f>
        <v>ADIDAS</v>
      </c>
      <c r="J7" s="25" t="str">
        <f>VLOOKUP($A7,'[2]master plan'!$A:$N,13,0)</f>
        <v>Sample - URGENT (6-13)</v>
      </c>
      <c r="K7" s="25" t="str">
        <f>VLOOKUP($A7,'[2]master plan'!$A:$N,14,0)</f>
        <v>Flat sheet + Die Cut</v>
      </c>
      <c r="L7" s="26">
        <v>3</v>
      </c>
      <c r="M7" s="40"/>
      <c r="N7" s="28">
        <f>_xlfn.IFNA(VLOOKUP(A7,'[2]master plan'!A:R,18,0),"")</f>
        <v>46182</v>
      </c>
      <c r="O7" s="3" t="s">
        <v>325</v>
      </c>
    </row>
    <row r="8" spans="1:15" s="3" customFormat="1" ht="71.25" customHeight="1" x14ac:dyDescent="0.35">
      <c r="A8" s="17" t="s">
        <v>488</v>
      </c>
      <c r="B8" s="18" t="s">
        <v>489</v>
      </c>
      <c r="C8" s="19" t="str">
        <f>VLOOKUP($A8,'[2]master plan'!$A:$N,5,0)</f>
        <v>BDB-000123</v>
      </c>
      <c r="D8" s="20" t="s">
        <v>404</v>
      </c>
      <c r="E8" s="21" t="s">
        <v>405</v>
      </c>
      <c r="F8" s="22">
        <v>50</v>
      </c>
      <c r="G8" s="23">
        <v>50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SSO-2606-00242 - URGENT (6-13)</v>
      </c>
      <c r="K8" s="25" t="str">
        <f>VLOOKUP($A8,'[2]master plan'!$A:$N,14,0)</f>
        <v>Flat sheet</v>
      </c>
      <c r="L8" s="26"/>
      <c r="M8" s="27"/>
      <c r="N8" s="28">
        <f>_xlfn.IFNA(VLOOKUP(A8,'[2]master plan'!A:R,18,0),"")</f>
        <v>46182</v>
      </c>
      <c r="O8" s="3" t="s">
        <v>325</v>
      </c>
    </row>
    <row r="9" spans="1:15" s="3" customFormat="1" ht="71.25" customHeight="1" x14ac:dyDescent="0.35">
      <c r="A9" s="17" t="s">
        <v>490</v>
      </c>
      <c r="B9" s="18" t="s">
        <v>491</v>
      </c>
      <c r="C9" s="19" t="str">
        <f>VLOOKUP($A9,'[2]master plan'!$A:$N,5,0)</f>
        <v>BDB-000123</v>
      </c>
      <c r="D9" s="20" t="s">
        <v>359</v>
      </c>
      <c r="E9" s="21" t="s">
        <v>360</v>
      </c>
      <c r="F9" s="22">
        <v>30</v>
      </c>
      <c r="G9" s="23">
        <v>30</v>
      </c>
      <c r="H9" s="24">
        <f>VLOOKUP(A9,'[2]master plan'!A:W,23,0)</f>
        <v>1</v>
      </c>
      <c r="I9" s="25" t="str">
        <f>VLOOKUP($A9,'[2]master plan'!$A:$N,12,0)</f>
        <v>WILSON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27"/>
      <c r="N9" s="28">
        <f>_xlfn.IFNA(VLOOKUP(A9,'[2]master plan'!A:R,18,0),"")</f>
        <v>46182</v>
      </c>
      <c r="O9" s="3" t="s">
        <v>325</v>
      </c>
    </row>
    <row r="10" spans="1:15" s="3" customFormat="1" ht="71.25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76"/>
    </row>
    <row r="11" spans="1:15" s="3" customFormat="1" ht="71.25" customHeight="1" x14ac:dyDescent="0.35">
      <c r="A11" s="17" t="s">
        <v>492</v>
      </c>
      <c r="B11" s="18" t="s">
        <v>493</v>
      </c>
      <c r="C11" s="19" t="str">
        <f>VLOOKUP($A11,'[2]master plan'!$A:$N,5,0)</f>
        <v>BDB-000067</v>
      </c>
      <c r="D11" s="20" t="s">
        <v>494</v>
      </c>
      <c r="E11" s="21" t="s">
        <v>495</v>
      </c>
      <c r="F11" s="22">
        <v>10</v>
      </c>
      <c r="G11" s="23">
        <v>10</v>
      </c>
      <c r="H11" s="24">
        <f>VLOOKUP(A11,'[2]master plan'!A:W,23,0)</f>
        <v>1</v>
      </c>
      <c r="I11" s="25" t="str">
        <f>VLOOKUP($A11,'[2]master plan'!$A:$N,12,0)</f>
        <v>PUMA</v>
      </c>
      <c r="J11" s="25" t="str">
        <f>VLOOKUP($A11,'[2]master plan'!$A:$N,13,0)</f>
        <v>Sample</v>
      </c>
      <c r="K11" s="25" t="str">
        <f>VLOOKUP($A11,'[2]master plan'!$A:$N,14,0)</f>
        <v>MOLDED</v>
      </c>
      <c r="L11" s="26">
        <v>1</v>
      </c>
      <c r="M11" s="27"/>
      <c r="N11" s="28">
        <f>_xlfn.IFNA(VLOOKUP(A11,'[2]master plan'!A:R,18,0),"")</f>
        <v>46182</v>
      </c>
      <c r="O11" s="58">
        <v>46240</v>
      </c>
    </row>
    <row r="12" spans="1:15" s="3" customFormat="1" ht="71.25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1.25" customHeight="1" x14ac:dyDescent="0.35">
      <c r="A13" s="17" t="s">
        <v>496</v>
      </c>
      <c r="B13" s="18" t="s">
        <v>497</v>
      </c>
      <c r="C13" s="19" t="str">
        <f>VLOOKUP($A13,'[2]master plan'!$A:$N,5,0)</f>
        <v>BDB-000317</v>
      </c>
      <c r="D13" s="20" t="s">
        <v>498</v>
      </c>
      <c r="E13" s="21" t="s">
        <v>499</v>
      </c>
      <c r="F13" s="22">
        <v>20</v>
      </c>
      <c r="G13" s="23">
        <v>20</v>
      </c>
      <c r="H13" s="24">
        <f>VLOOKUP(A13,'[2]master plan'!A:W,23,0)</f>
        <v>4</v>
      </c>
      <c r="I13" s="25" t="str">
        <f>VLOOKUP($A13,'[2]master plan'!$A:$N,12,0)</f>
        <v>ASICS</v>
      </c>
      <c r="J13" s="25" t="str">
        <f>VLOOKUP($A13,'[2]master plan'!$A:$N,13,0)</f>
        <v>Sample</v>
      </c>
      <c r="K13" s="25" t="str">
        <f>VLOOKUP($A13,'[2]master plan'!$A:$N,14,0)</f>
        <v>MOLDED</v>
      </c>
      <c r="L13" s="26">
        <v>4</v>
      </c>
      <c r="M13" s="27"/>
      <c r="N13" s="28">
        <f>_xlfn.IFNA(VLOOKUP(A13,'[2]master plan'!A:R,18,0),"")</f>
        <v>46182</v>
      </c>
      <c r="O13" s="82">
        <v>46179</v>
      </c>
    </row>
    <row r="14" spans="1:15" s="3" customFormat="1" ht="71.25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76"/>
    </row>
    <row r="15" spans="1:15" s="3" customFormat="1" ht="71.25" customHeight="1" x14ac:dyDescent="0.35">
      <c r="A15" s="17" t="s">
        <v>500</v>
      </c>
      <c r="B15" s="18" t="s">
        <v>501</v>
      </c>
      <c r="C15" s="19" t="str">
        <f>VLOOKUP($A15,'[2]master plan'!$A:$N,5,0)</f>
        <v>BDB-000055</v>
      </c>
      <c r="D15" s="20" t="s">
        <v>502</v>
      </c>
      <c r="E15" s="21" t="s">
        <v>503</v>
      </c>
      <c r="F15" s="22">
        <v>30</v>
      </c>
      <c r="G15" s="23">
        <v>30</v>
      </c>
      <c r="H15" s="24">
        <f>VLOOKUP(A15,'[2]master plan'!A:W,23,0)</f>
        <v>1</v>
      </c>
      <c r="I15" s="25" t="str">
        <f>VLOOKUP($A15,'[2]master plan'!$A:$N,12,0)</f>
        <v>ASICS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1</v>
      </c>
      <c r="M15" s="40"/>
      <c r="N15" s="28">
        <f>_xlfn.IFNA(VLOOKUP(A15,'[2]master plan'!A:R,18,0),"")</f>
        <v>46182</v>
      </c>
      <c r="O15" s="3" t="s">
        <v>513</v>
      </c>
    </row>
    <row r="16" spans="1:15" s="3" customFormat="1" ht="71.25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76"/>
    </row>
    <row r="17" spans="1:15" s="3" customFormat="1" ht="71.25" customHeight="1" x14ac:dyDescent="0.35">
      <c r="A17" s="17" t="s">
        <v>504</v>
      </c>
      <c r="B17" s="18" t="s">
        <v>505</v>
      </c>
      <c r="C17" s="19" t="str">
        <f>VLOOKUP($A17,'[2]master plan'!$A:$N,5,0)</f>
        <v>BDB-000328</v>
      </c>
      <c r="D17" s="20" t="s">
        <v>506</v>
      </c>
      <c r="E17" s="21" t="s">
        <v>507</v>
      </c>
      <c r="F17" s="22">
        <v>20</v>
      </c>
      <c r="G17" s="23">
        <v>20</v>
      </c>
      <c r="H17" s="24">
        <f>VLOOKUP(A17,'[2]master plan'!A:W,23,0)</f>
        <v>1</v>
      </c>
      <c r="I17" s="25" t="str">
        <f>VLOOKUP($A17,'[2]master plan'!$A:$N,12,0)</f>
        <v>ASICS</v>
      </c>
      <c r="J17" s="25" t="str">
        <f>VLOOKUP($A17,'[2]master plan'!$A:$N,13,0)</f>
        <v>Sample</v>
      </c>
      <c r="K17" s="25" t="str">
        <f>VLOOKUP($A17,'[2]master plan'!$A:$N,14,0)</f>
        <v>DIE-CUT</v>
      </c>
      <c r="L17" s="26">
        <v>1</v>
      </c>
      <c r="M17" s="27"/>
      <c r="N17" s="28">
        <f>_xlfn.IFNA(VLOOKUP(A17,'[2]master plan'!A:R,18,0),"")</f>
        <v>46182</v>
      </c>
      <c r="O17" s="3" t="s">
        <v>514</v>
      </c>
    </row>
    <row r="18" spans="1:15" s="3" customFormat="1" ht="71.25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25"/>
      <c r="K18" s="70"/>
      <c r="L18" s="71"/>
      <c r="M18" s="72"/>
      <c r="N18" s="76"/>
    </row>
    <row r="19" spans="1:15" s="3" customFormat="1" ht="71.25" customHeight="1" x14ac:dyDescent="0.35">
      <c r="A19" s="17" t="s">
        <v>508</v>
      </c>
      <c r="B19" s="18" t="s">
        <v>509</v>
      </c>
      <c r="C19" s="19" t="str">
        <f>VLOOKUP($A19,'[2]master plan'!$A:$N,5,0)</f>
        <v>BDB-000391</v>
      </c>
      <c r="D19" s="20" t="s">
        <v>510</v>
      </c>
      <c r="E19" s="21" t="s">
        <v>511</v>
      </c>
      <c r="F19" s="22">
        <v>40</v>
      </c>
      <c r="G19" s="23">
        <v>40</v>
      </c>
      <c r="H19" s="24">
        <f>VLOOKUP(A19,'[2]master plan'!A:W,23,0)</f>
        <v>2</v>
      </c>
      <c r="I19" s="25" t="str">
        <f>VLOOKUP($A19,'[2]master plan'!$A:$N,12,0)</f>
        <v>ON RUNNING</v>
      </c>
      <c r="J19" s="25" t="str">
        <f>VLOOKUP($A19,'[2]master plan'!$A:$N,13,0)</f>
        <v>SSO-2605-00765</v>
      </c>
      <c r="K19" s="25" t="str">
        <f>VLOOKUP($A19,'[2]master plan'!$A:$N,14,0)</f>
        <v>OV-0408</v>
      </c>
      <c r="L19" s="26">
        <v>2</v>
      </c>
      <c r="M19" s="40"/>
      <c r="N19" s="28">
        <f>_xlfn.IFNA(VLOOKUP(A19,'[2]master plan'!A:R,18,0),"")</f>
        <v>46182</v>
      </c>
      <c r="O19" s="82">
        <v>46179</v>
      </c>
    </row>
    <row r="20" spans="1:15" s="3" customFormat="1" ht="70" hidden="1" customHeight="1" x14ac:dyDescent="0.35">
      <c r="A20" s="62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3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2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0" hidden="1" customHeight="1" x14ac:dyDescent="0.35">
      <c r="A24" s="62"/>
      <c r="B24" s="63" t="e">
        <f>VLOOKUP(A24,'[2]master plan'!A:C,3,0)</f>
        <v>#N/A</v>
      </c>
      <c r="C24" s="64" t="e">
        <f>VLOOKUP($A24,'[2]master plan'!$A:$N,5,0)</f>
        <v>#N/A</v>
      </c>
      <c r="D24" s="65" t="e">
        <f>VLOOKUP($A24,'[2]master plan'!$A:$N,6,0)</f>
        <v>#N/A</v>
      </c>
      <c r="E24" s="66" t="e">
        <f>VLOOKUP(A24,'[2]master plan'!A:G,7,0)</f>
        <v>#N/A</v>
      </c>
      <c r="F24" s="67" t="e">
        <f>VLOOKUP(A24,'[2]master plan'!A:H,8,0)</f>
        <v>#N/A</v>
      </c>
      <c r="G24" s="68" t="e">
        <f>VLOOKUP(A24,'[2]master plan'!A:W,23,0)</f>
        <v>#N/A</v>
      </c>
      <c r="H24" s="69" t="e">
        <f>VLOOKUP(A24,'[2]master plan'!A:W,23,0)</f>
        <v>#N/A</v>
      </c>
      <c r="I24" s="70" t="e">
        <f>VLOOKUP($A24,'[2]master plan'!$A:$N,12,0)</f>
        <v>#N/A</v>
      </c>
      <c r="J24" s="25" t="e">
        <f>VLOOKUP($A24,'[2]master plan'!$A:$N,13,0)</f>
        <v>#N/A</v>
      </c>
      <c r="K24" s="70" t="e">
        <f>VLOOKUP($A24,'[2]master plan'!$A:$N,14,0)</f>
        <v>#N/A</v>
      </c>
      <c r="L24" s="71"/>
      <c r="M24" s="73"/>
      <c r="N24" s="76" t="str">
        <f>_xlfn.IFNA(VLOOKUP(A24,'[2]master plan'!A:R,18,0),"")</f>
        <v/>
      </c>
    </row>
    <row r="25" spans="1:15" s="3" customFormat="1" ht="63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ht="74.25" customHeight="1" x14ac:dyDescent="0.35">
      <c r="L28" s="56"/>
    </row>
    <row r="29" spans="1:15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5" ht="74.25" customHeight="1" x14ac:dyDescent="0.35">
      <c r="L30" s="56"/>
    </row>
    <row r="31" spans="1:15" ht="74.25" customHeight="1" x14ac:dyDescent="0.35">
      <c r="L31" s="56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3">
      <filters blank="1">
        <filter val="PVN-001452"/>
        <filter val="PVN-002539"/>
        <filter val="PVN-002973"/>
        <filter val="PVN-003300"/>
        <filter val="PVN-003327"/>
        <filter val="PVN-004076"/>
        <filter val="PVN-004212"/>
        <filter val="PVN-004350"/>
        <filter val="PVN-004430"/>
        <filter val="PVN-004438"/>
      </filters>
    </filterColumn>
  </autoFilter>
  <mergeCells count="1">
    <mergeCell ref="D1:F1"/>
  </mergeCells>
  <conditionalFormatting sqref="A2">
    <cfRule type="duplicateValues" dxfId="29" priority="5"/>
  </conditionalFormatting>
  <conditionalFormatting sqref="A3:A24">
    <cfRule type="duplicateValues" dxfId="28" priority="7"/>
  </conditionalFormatting>
  <conditionalFormatting sqref="A27:A1048576">
    <cfRule type="duplicateValues" dxfId="27" priority="6"/>
  </conditionalFormatting>
  <conditionalFormatting sqref="C1:C1048576">
    <cfRule type="duplicateValues" dxfId="26" priority="1"/>
    <cfRule type="duplicateValues" dxfId="25" priority="2"/>
  </conditionalFormatting>
  <conditionalFormatting sqref="D3:D19">
    <cfRule type="duplicateValues" dxfId="24" priority="8"/>
  </conditionalFormatting>
  <conditionalFormatting sqref="I2:M2">
    <cfRule type="duplicateValues" dxfId="23" priority="4"/>
  </conditionalFormatting>
  <conditionalFormatting sqref="N1">
    <cfRule type="duplicateValues" dxfId="22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619B-ADEB-444B-B0C4-D546C9681600}">
  <sheetPr filterMode="1">
    <tabColor theme="4"/>
  </sheetPr>
  <dimension ref="A1:M661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18" sqref="M1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customWidth="1"/>
    <col min="14" max="14" width="22.26953125" style="2" bestFit="1" customWidth="1"/>
    <col min="15" max="16384" width="9.1796875" style="2"/>
  </cols>
  <sheetData>
    <row r="1" spans="1:13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</v>
      </c>
      <c r="M1" s="7"/>
    </row>
    <row r="2" spans="1:13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</row>
    <row r="3" spans="1:13" s="3" customFormat="1" ht="70" customHeight="1" x14ac:dyDescent="0.35">
      <c r="A3" s="17" t="s">
        <v>512</v>
      </c>
      <c r="B3" s="18" t="str">
        <f>VLOOKUP(A3,'[2]master plan'!A:C,3,0)</f>
        <v>RPRO-260606-0217</v>
      </c>
      <c r="C3" s="19" t="str">
        <f>VLOOKUP($A3,'[2]master plan'!$A:$N,5,0)</f>
        <v>BDB-000067</v>
      </c>
      <c r="D3" s="20" t="str">
        <f>VLOOKUP($A3,'[2]master plan'!$A:$N,6,0)</f>
        <v>PVN-003672</v>
      </c>
      <c r="E3" s="21" t="str">
        <f>VLOOKUP(A3,'[2]master plan'!A:G,7,0)</f>
        <v>OrthoLite Ultra SEEDPEARL/12-0703TPX Flat Sheet 0.085D 25+/-4 Asker C 1.1M 2M 3mm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ADIDAS</v>
      </c>
      <c r="J3" s="25" t="str">
        <f>VLOOKUP($A3,'[2]master plan'!$A:$N,13,0)</f>
        <v>SSO-2606-00253  - URGENT (6-13)</v>
      </c>
      <c r="K3" s="25" t="str">
        <f>VLOOKUP($A3,'[2]master plan'!$A:$N,14,0)</f>
        <v>Flat sheet</v>
      </c>
      <c r="L3" s="26">
        <v>1</v>
      </c>
      <c r="M3" s="27" t="s">
        <v>325</v>
      </c>
    </row>
    <row r="4" spans="1:13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</row>
    <row r="5" spans="1:13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</row>
    <row r="6" spans="1:13" s="3" customFormat="1" ht="70" hidden="1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27"/>
    </row>
    <row r="7" spans="1:13" s="3" customFormat="1" ht="70" hidden="1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</row>
    <row r="8" spans="1:13" s="3" customFormat="1" ht="70" hidden="1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</row>
    <row r="9" spans="1:13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40"/>
    </row>
    <row r="10" spans="1:13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27"/>
    </row>
    <row r="11" spans="1:13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</row>
    <row r="12" spans="1:13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</row>
    <row r="13" spans="1:13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</row>
    <row r="14" spans="1:13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</row>
    <row r="15" spans="1:13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</row>
    <row r="16" spans="1:13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</row>
    <row r="17" spans="1:13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</row>
    <row r="18" spans="1:13" s="3" customFormat="1" ht="72" customHeight="1" x14ac:dyDescent="0.35">
      <c r="A18" s="41"/>
      <c r="B18" s="42"/>
      <c r="C18" s="43"/>
      <c r="D18" s="43"/>
      <c r="E18" s="44"/>
      <c r="F18" s="45"/>
      <c r="G18" s="45"/>
      <c r="H18" s="45"/>
      <c r="I18" s="46"/>
      <c r="J18" s="47"/>
      <c r="K18" s="48"/>
      <c r="L18" s="49"/>
      <c r="M18" s="50"/>
    </row>
    <row r="19" spans="1:13" ht="74.25" customHeight="1" x14ac:dyDescent="0.35">
      <c r="L19" s="56"/>
    </row>
    <row r="20" spans="1:13" ht="74.25" customHeight="1" x14ac:dyDescent="0.35">
      <c r="L20" s="56"/>
    </row>
    <row r="21" spans="1:13" ht="74.25" customHeight="1" x14ac:dyDescent="0.35">
      <c r="L21" s="56"/>
    </row>
    <row r="22" spans="1:13" s="54" customFormat="1" ht="74.25" customHeight="1" x14ac:dyDescent="0.35">
      <c r="A22" s="2"/>
      <c r="B22" s="52"/>
      <c r="C22" s="2"/>
      <c r="D22" s="2"/>
      <c r="E22" s="59" t="s">
        <v>21</v>
      </c>
      <c r="G22" s="55"/>
      <c r="I22" s="53"/>
      <c r="J22" s="53"/>
      <c r="K22" s="53"/>
      <c r="L22" s="56"/>
      <c r="M22" s="57"/>
    </row>
    <row r="23" spans="1:13" ht="74.25" customHeight="1" x14ac:dyDescent="0.35">
      <c r="L23" s="56"/>
    </row>
    <row r="24" spans="1:13" ht="74.25" customHeight="1" x14ac:dyDescent="0.35">
      <c r="L24" s="56"/>
    </row>
    <row r="25" spans="1:13" s="10" customFormat="1" ht="74.25" customHeight="1" x14ac:dyDescent="0.35">
      <c r="A25" s="2"/>
      <c r="B25" s="52"/>
      <c r="C25" s="2"/>
      <c r="D25" s="2"/>
      <c r="E25" s="53"/>
      <c r="F25" s="54"/>
      <c r="G25" s="54"/>
      <c r="H25" s="55"/>
      <c r="I25" s="53"/>
      <c r="J25" s="53"/>
      <c r="K25" s="53"/>
      <c r="L25" s="56"/>
      <c r="M25" s="57"/>
    </row>
    <row r="26" spans="1:13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</row>
    <row r="27" spans="1:13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</row>
    <row r="28" spans="1:13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</row>
    <row r="29" spans="1:13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</row>
    <row r="30" spans="1:13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</row>
    <row r="31" spans="1:13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</row>
    <row r="32" spans="1:13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</row>
    <row r="33" spans="1:13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</row>
    <row r="34" spans="1:13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</row>
    <row r="35" spans="1:13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</row>
    <row r="36" spans="1:13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</row>
    <row r="37" spans="1:13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</row>
    <row r="38" spans="1:13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</row>
    <row r="39" spans="1:13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</row>
    <row r="40" spans="1:13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</row>
    <row r="41" spans="1:13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</row>
    <row r="42" spans="1:13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</row>
    <row r="43" spans="1:13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</row>
    <row r="44" spans="1:13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</row>
    <row r="45" spans="1:13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</row>
    <row r="46" spans="1:13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</row>
    <row r="47" spans="1:13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</row>
    <row r="48" spans="1:13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</row>
    <row r="49" spans="1:13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</row>
    <row r="50" spans="1:13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</row>
    <row r="51" spans="1:13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</row>
    <row r="52" spans="1:13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</row>
    <row r="661" spans="1:13" s="54" customFormat="1" ht="74.25" customHeight="1" x14ac:dyDescent="0.35">
      <c r="A661" s="2"/>
      <c r="B661" s="52"/>
      <c r="C661" s="2"/>
      <c r="D661" s="2"/>
      <c r="E661" s="60"/>
      <c r="H661" s="55"/>
      <c r="I661" s="53"/>
      <c r="J661" s="53"/>
      <c r="K661" s="53"/>
      <c r="L661" s="61"/>
      <c r="M661" s="57"/>
    </row>
  </sheetData>
  <protectedRanges>
    <protectedRange algorithmName="SHA-512" hashValue="e1FOu1UlwA7reaiyQlEGzbU6dAFPyHPlKfgo6VzFBBobawyOfUsh2c/+wjC8bICpcXVPmRerMGA9+qKsw5p7Iw==" saltValue="UD2tVZrxqZTGI3vDzMBrHw==" spinCount="100000" sqref="E3:E17" name="Range1_1"/>
  </protectedRanges>
  <autoFilter ref="A2:M18" xr:uid="{E2BC4C4A-3703-4A99-A30B-53817C3A378F}">
    <filterColumn colId="3">
      <filters blank="1">
        <filter val="PVN-003672"/>
      </filters>
    </filterColumn>
  </autoFilter>
  <mergeCells count="1">
    <mergeCell ref="D1:F1"/>
  </mergeCells>
  <conditionalFormatting sqref="A2">
    <cfRule type="duplicateValues" dxfId="21" priority="4"/>
  </conditionalFormatting>
  <conditionalFormatting sqref="A3:A17">
    <cfRule type="duplicateValues" dxfId="20" priority="6"/>
  </conditionalFormatting>
  <conditionalFormatting sqref="A20:A1048576">
    <cfRule type="duplicateValues" dxfId="19" priority="5"/>
  </conditionalFormatting>
  <conditionalFormatting sqref="C1:C1048576">
    <cfRule type="duplicateValues" dxfId="18" priority="1"/>
    <cfRule type="duplicateValues" dxfId="17" priority="2"/>
  </conditionalFormatting>
  <conditionalFormatting sqref="I2:M2">
    <cfRule type="duplicateValues" dxfId="16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8" max="15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3554-5D10-4DAD-82DE-3915D53AF901}">
  <sheetPr filterMode="1">
    <tabColor theme="4"/>
  </sheetPr>
  <dimension ref="A1:O664"/>
  <sheetViews>
    <sheetView tabSelected="1"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N6" sqref="N6:N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62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11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515</v>
      </c>
      <c r="B3" s="18" t="s">
        <v>516</v>
      </c>
      <c r="C3" s="19" t="s">
        <v>202</v>
      </c>
      <c r="D3" s="20" t="s">
        <v>203</v>
      </c>
      <c r="E3" s="21" t="s">
        <v>204</v>
      </c>
      <c r="F3" s="22">
        <v>40</v>
      </c>
      <c r="G3" s="23">
        <v>2</v>
      </c>
      <c r="H3" s="24">
        <v>2</v>
      </c>
      <c r="I3" s="25" t="s">
        <v>151</v>
      </c>
      <c r="J3" s="25" t="s">
        <v>27</v>
      </c>
      <c r="K3" s="25" t="s">
        <v>300</v>
      </c>
      <c r="L3" s="26">
        <v>5</v>
      </c>
      <c r="M3" s="27" t="s">
        <v>246</v>
      </c>
      <c r="N3" s="28">
        <v>46185</v>
      </c>
    </row>
    <row r="4" spans="1:15" s="3" customFormat="1" ht="70" customHeight="1" x14ac:dyDescent="0.35">
      <c r="A4" s="17" t="s">
        <v>517</v>
      </c>
      <c r="B4" s="18" t="s">
        <v>518</v>
      </c>
      <c r="C4" s="19" t="s">
        <v>202</v>
      </c>
      <c r="D4" s="20" t="s">
        <v>519</v>
      </c>
      <c r="E4" s="21" t="s">
        <v>520</v>
      </c>
      <c r="F4" s="22">
        <v>70</v>
      </c>
      <c r="G4" s="23">
        <v>3</v>
      </c>
      <c r="H4" s="24">
        <v>3</v>
      </c>
      <c r="I4" s="25" t="s">
        <v>151</v>
      </c>
      <c r="J4" s="25" t="s">
        <v>27</v>
      </c>
      <c r="K4" s="25" t="s">
        <v>28</v>
      </c>
      <c r="L4" s="26"/>
      <c r="M4" s="27"/>
      <c r="N4" s="28">
        <v>46185</v>
      </c>
    </row>
    <row r="5" spans="1:15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76"/>
    </row>
    <row r="6" spans="1:15" s="3" customFormat="1" ht="70" customHeight="1" x14ac:dyDescent="0.35">
      <c r="A6" s="17" t="s">
        <v>521</v>
      </c>
      <c r="B6" s="18" t="s">
        <v>522</v>
      </c>
      <c r="C6" s="19" t="s">
        <v>296</v>
      </c>
      <c r="D6" s="20" t="s">
        <v>297</v>
      </c>
      <c r="E6" s="21" t="s">
        <v>298</v>
      </c>
      <c r="F6" s="22">
        <v>50</v>
      </c>
      <c r="G6" s="23">
        <v>2</v>
      </c>
      <c r="H6" s="24">
        <v>2</v>
      </c>
      <c r="I6" s="25" t="s">
        <v>151</v>
      </c>
      <c r="J6" s="25" t="s">
        <v>27</v>
      </c>
      <c r="K6" s="25" t="s">
        <v>300</v>
      </c>
      <c r="L6" s="26">
        <v>2</v>
      </c>
      <c r="M6" s="40"/>
      <c r="N6" s="28">
        <v>46185</v>
      </c>
      <c r="O6" s="3" t="s">
        <v>545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76"/>
    </row>
    <row r="8" spans="1:15" s="3" customFormat="1" ht="70" customHeight="1" x14ac:dyDescent="0.35">
      <c r="A8" s="17" t="s">
        <v>523</v>
      </c>
      <c r="B8" s="18" t="s">
        <v>524</v>
      </c>
      <c r="C8" s="19" t="s">
        <v>525</v>
      </c>
      <c r="D8" s="20" t="s">
        <v>526</v>
      </c>
      <c r="E8" s="21" t="s">
        <v>527</v>
      </c>
      <c r="F8" s="22">
        <v>30</v>
      </c>
      <c r="G8" s="23">
        <v>2</v>
      </c>
      <c r="H8" s="24">
        <v>2</v>
      </c>
      <c r="I8" s="25" t="s">
        <v>151</v>
      </c>
      <c r="J8" s="25" t="s">
        <v>27</v>
      </c>
      <c r="K8" s="25" t="s">
        <v>300</v>
      </c>
      <c r="L8" s="26">
        <v>2</v>
      </c>
      <c r="M8" s="27"/>
      <c r="N8" s="28">
        <v>46185</v>
      </c>
      <c r="O8" s="3" t="s">
        <v>545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528</v>
      </c>
      <c r="B10" s="18" t="s">
        <v>529</v>
      </c>
      <c r="C10" s="19" t="s">
        <v>530</v>
      </c>
      <c r="D10" s="20" t="s">
        <v>531</v>
      </c>
      <c r="E10" s="21" t="s">
        <v>532</v>
      </c>
      <c r="F10" s="22">
        <v>20</v>
      </c>
      <c r="G10" s="23">
        <v>2</v>
      </c>
      <c r="H10" s="24">
        <v>2</v>
      </c>
      <c r="I10" s="25" t="s">
        <v>533</v>
      </c>
      <c r="J10" s="25" t="s">
        <v>27</v>
      </c>
      <c r="K10" s="25" t="s">
        <v>59</v>
      </c>
      <c r="L10" s="26">
        <v>2</v>
      </c>
      <c r="M10" s="27"/>
      <c r="N10" s="28">
        <v>46185</v>
      </c>
      <c r="O10" s="3" t="s">
        <v>545</v>
      </c>
    </row>
    <row r="11" spans="1:15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5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5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5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5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5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8-1016"/>
        <filter val="RPRO-260608-1017"/>
        <filter val="RPRO-260608-1018"/>
        <filter val="RPRO-260608-1019"/>
        <filter val="RPRO-260608-1020"/>
      </filters>
    </filterColumn>
  </autoFilter>
  <mergeCells count="1">
    <mergeCell ref="D1:F1"/>
  </mergeCells>
  <conditionalFormatting sqref="A2">
    <cfRule type="duplicateValues" dxfId="15" priority="5"/>
  </conditionalFormatting>
  <conditionalFormatting sqref="A3:A20">
    <cfRule type="duplicateValues" dxfId="14" priority="7"/>
  </conditionalFormatting>
  <conditionalFormatting sqref="A23:A1048576">
    <cfRule type="duplicateValues" dxfId="13" priority="6"/>
  </conditionalFormatting>
  <conditionalFormatting sqref="C1:C1048576">
    <cfRule type="duplicateValues" dxfId="12" priority="1"/>
    <cfRule type="duplicateValues" dxfId="11" priority="2"/>
  </conditionalFormatting>
  <conditionalFormatting sqref="I2:M2">
    <cfRule type="duplicateValues" dxfId="10" priority="4"/>
  </conditionalFormatting>
  <conditionalFormatting sqref="N1">
    <cfRule type="duplicateValues" dxfId="9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BE40-D7AA-487D-B762-5C6D7005823B}">
  <sheetPr filterMode="1">
    <tabColor theme="4"/>
  </sheetPr>
  <dimension ref="A1:O667"/>
  <sheetViews>
    <sheetView zoomScale="25" zoomScaleNormal="25" zoomScaleSheetLayoutView="34" workbookViewId="0">
      <pane xSplit="1" ySplit="2" topLeftCell="B15" activePane="bottomRight" state="frozen"/>
      <selection activeCell="E27" sqref="E27"/>
      <selection pane="topRight" activeCell="E27" sqref="E27"/>
      <selection pane="bottomLeft" activeCell="E27" sqref="E27"/>
      <selection pane="bottomRight" activeCell="O6" sqref="O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8.5" customHeight="1" x14ac:dyDescent="0.35">
      <c r="A1" s="1" t="s">
        <v>0</v>
      </c>
      <c r="B1" s="1">
        <f ca="1">NOW()</f>
        <v>46182.753058449074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25</v>
      </c>
      <c r="M1" s="7"/>
      <c r="N1" s="9"/>
    </row>
    <row r="2" spans="1:15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0" customHeight="1" x14ac:dyDescent="0.35">
      <c r="A3" s="17" t="s">
        <v>534</v>
      </c>
      <c r="B3" s="18" t="str">
        <f>VLOOKUP(A3,'[2]master plan'!A:C,3,0)</f>
        <v>RPRO-260609-0502</v>
      </c>
      <c r="C3" s="19" t="str">
        <f>VLOOKUP($A3,'[2]master plan'!$A:$N,5,0)</f>
        <v>BDB-000015</v>
      </c>
      <c r="D3" s="20" t="str">
        <f>VLOOKUP($A3,'[2]master plan'!$A:$N,6,0)</f>
        <v>PVN-000437</v>
      </c>
      <c r="E3" s="21" t="str">
        <f>VLOOKUP(A3,'[2]master plan'!A:G,7,0)</f>
        <v>OrthoLite Regular AIR BLUE/16-4134TPX 0.13D 25+/-4 Asker C 1.1M 2M 3.5mm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ASICS</v>
      </c>
      <c r="J3" s="25" t="str">
        <f>VLOOKUP($A3,'[2]master plan'!$A:$N,13,0)</f>
        <v>Sample
URGENT (6-15)</v>
      </c>
      <c r="K3" s="25" t="str">
        <f>VLOOKUP($A3,'[2]master plan'!$A:$N,14,0)</f>
        <v>DIE-CUT</v>
      </c>
      <c r="L3" s="26">
        <v>1</v>
      </c>
      <c r="M3" s="27"/>
      <c r="N3" s="28">
        <f>_xlfn.IFNA(VLOOKUP(A3,'[2]master plan'!A:R,18,0),"")</f>
        <v>46185</v>
      </c>
      <c r="O3" s="3" t="s">
        <v>246</v>
      </c>
    </row>
    <row r="4" spans="1:15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5" s="3" customFormat="1" ht="70" customHeight="1" x14ac:dyDescent="0.35">
      <c r="A5" s="17" t="s">
        <v>535</v>
      </c>
      <c r="B5" s="18" t="str">
        <f>VLOOKUP(A5,'[2]master plan'!A:C,3,0)</f>
        <v>RPRO-260609-0497</v>
      </c>
      <c r="C5" s="19" t="str">
        <f>VLOOKUP($A5,'[2]master plan'!$A:$N,5,0)</f>
        <v>BDB-000116</v>
      </c>
      <c r="D5" s="20" t="str">
        <f>VLOOKUP($A5,'[2]master plan'!$A:$N,6,0)</f>
        <v>PVN-002530</v>
      </c>
      <c r="E5" s="21" t="str">
        <f>VLOOKUP(A5,'[2]master plan'!A:G,7,0)</f>
        <v>OrthoLite Regular-Hybrid SEEDPEARL/12-0703TPX Hybrid Flat Sheet 0.13D 25+/-4 Asker C 1.1M 2M 3mm</v>
      </c>
      <c r="F5" s="22">
        <f>VLOOKUP(A5,'[2]master plan'!A:H,8,0)</f>
        <v>10</v>
      </c>
      <c r="G5" s="23">
        <f>VLOOKUP(A5,'[2]master plan'!A:W,23,0)</f>
        <v>1</v>
      </c>
      <c r="H5" s="24">
        <f>VLOOKUP(A5,'[2]master plan'!A:W,23,0)</f>
        <v>1</v>
      </c>
      <c r="I5" s="25" t="str">
        <f>VLOOKUP($A5,'[2]master plan'!$A:$N,12,0)</f>
        <v>KATE SPADE</v>
      </c>
      <c r="J5" s="25" t="str">
        <f>VLOOKUP($A5,'[2]master plan'!$A:$N,13,0)</f>
        <v>SSO-2606-00328</v>
      </c>
      <c r="K5" s="25" t="str">
        <f>VLOOKUP($A5,'[2]master plan'!$A:$N,14,0)</f>
        <v>sheet</v>
      </c>
      <c r="L5" s="26">
        <v>2</v>
      </c>
      <c r="M5" s="27"/>
      <c r="N5" s="28">
        <f>_xlfn.IFNA(VLOOKUP(A5,'[2]master plan'!A:R,18,0),"")</f>
        <v>46186</v>
      </c>
      <c r="O5" s="3" t="s">
        <v>325</v>
      </c>
    </row>
    <row r="6" spans="1:15" s="3" customFormat="1" ht="70" customHeight="1" x14ac:dyDescent="0.35">
      <c r="A6" s="17" t="s">
        <v>536</v>
      </c>
      <c r="B6" s="18" t="str">
        <f>VLOOKUP(A6,'[2]master plan'!A:C,3,0)</f>
        <v>RPRO-260609-0498</v>
      </c>
      <c r="C6" s="19" t="str">
        <f>VLOOKUP($A6,'[2]master plan'!$A:$N,5,0)</f>
        <v>BDB-000116</v>
      </c>
      <c r="D6" s="20" t="str">
        <f>VLOOKUP($A6,'[2]master plan'!$A:$N,6,0)</f>
        <v>PVN-002710</v>
      </c>
      <c r="E6" s="21" t="str">
        <f>VLOOKUP(A6,'[2]master plan'!A:G,7,0)</f>
        <v>OrthoLite Regular-Hybrid SEEDPEARL/12-0703TPX Hybrid Flat Sheet 0.13D 25+/-4 Asker C 1.1M 2M 5mm</v>
      </c>
      <c r="F6" s="22">
        <f>VLOOKUP(A6,'[2]master plan'!A:H,8,0)</f>
        <v>10</v>
      </c>
      <c r="G6" s="23">
        <f>VLOOKUP(A6,'[2]master plan'!A:W,23,0)</f>
        <v>1</v>
      </c>
      <c r="H6" s="24">
        <f>VLOOKUP(A6,'[2]master plan'!A:W,23,0)</f>
        <v>1</v>
      </c>
      <c r="I6" s="25" t="str">
        <f>VLOOKUP($A6,'[2]master plan'!$A:$N,12,0)</f>
        <v>KATE SPADE</v>
      </c>
      <c r="J6" s="25" t="str">
        <f>VLOOKUP($A6,'[2]master plan'!$A:$N,13,0)</f>
        <v>SSO-2606-00328</v>
      </c>
      <c r="K6" s="25" t="str">
        <f>VLOOKUP($A6,'[2]master plan'!$A:$N,14,0)</f>
        <v>sheet</v>
      </c>
      <c r="L6" s="26"/>
      <c r="M6" s="27"/>
      <c r="N6" s="28">
        <f>_xlfn.IFNA(VLOOKUP(A6,'[2]master plan'!A:R,18,0),"")</f>
        <v>46186</v>
      </c>
    </row>
    <row r="7" spans="1:15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2"/>
      <c r="N7" s="76"/>
    </row>
    <row r="8" spans="1:15" s="3" customFormat="1" ht="67.5" customHeight="1" x14ac:dyDescent="0.35">
      <c r="A8" s="17" t="s">
        <v>537</v>
      </c>
      <c r="B8" s="18" t="str">
        <f>VLOOKUP(A8,'[2]master plan'!A:C,3,0)</f>
        <v>RPRO-260609-0504</v>
      </c>
      <c r="C8" s="19" t="str">
        <f>VLOOKUP($A8,'[2]master plan'!$A:$N,5,0)</f>
        <v>BDB-000348</v>
      </c>
      <c r="D8" s="20" t="str">
        <f>VLOOKUP($A8,'[2]master plan'!$A:$N,6,0)</f>
        <v>PVN-004195</v>
      </c>
      <c r="E8" s="21" t="str">
        <f>VLOOKUP(A8,'[2]master plan'!A:G,7,0)</f>
        <v>OrthoLite IMPERIAL SEEDPEARL/12-0703TPX Flat Sheet 0.22D 25+/-4 Asker C 1.1M 1.47M 4mm</v>
      </c>
      <c r="F8" s="22">
        <f>VLOOKUP(A8,'[2]master plan'!A:H,8,0)</f>
        <v>250</v>
      </c>
      <c r="G8" s="23">
        <f>VLOOKUP(A8,'[2]master plan'!A:W,23,0)</f>
        <v>8</v>
      </c>
      <c r="H8" s="24">
        <f>VLOOKUP(A8,'[2]master plan'!A:W,23,0)</f>
        <v>8</v>
      </c>
      <c r="I8" s="25" t="str">
        <f>VLOOKUP($A8,'[2]master plan'!$A:$N,12,0)</f>
        <v>ADIDAS</v>
      </c>
      <c r="J8" s="25" t="str">
        <f>VLOOKUP($A8,'[2]master plan'!$A:$N,13,0)</f>
        <v>SSO-2606-00371/00379 - URGENT (6-13)</v>
      </c>
      <c r="K8" s="25" t="str">
        <f>VLOOKUP($A8,'[2]master plan'!$A:$N,14,0)</f>
        <v>Flat sheet</v>
      </c>
      <c r="L8" s="26">
        <v>8</v>
      </c>
      <c r="M8" s="27"/>
      <c r="N8" s="28">
        <f>_xlfn.IFNA(VLOOKUP(A8,'[2]master plan'!A:R,18,0),"")</f>
        <v>46186</v>
      </c>
      <c r="O8" s="3" t="s">
        <v>246</v>
      </c>
    </row>
    <row r="9" spans="1:15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76"/>
    </row>
    <row r="10" spans="1:15" s="3" customFormat="1" ht="70" customHeight="1" x14ac:dyDescent="0.35">
      <c r="A10" s="17" t="s">
        <v>538</v>
      </c>
      <c r="B10" s="18" t="str">
        <f>VLOOKUP(A10,'[2]master plan'!A:C,3,0)</f>
        <v>RPRO-260609-0499</v>
      </c>
      <c r="C10" s="19" t="str">
        <f>VLOOKUP($A10,'[2]master plan'!$A:$N,5,0)</f>
        <v>BDB-000243</v>
      </c>
      <c r="D10" s="20" t="str">
        <f>VLOOKUP($A10,'[2]master plan'!$A:$N,6,0)</f>
        <v>PVN-004444</v>
      </c>
      <c r="E10" s="21" t="str">
        <f>VLOOKUP(A10,'[2]master plan'!A:G,7,0)</f>
        <v>OrthoLite Ultra-Hybrid GREEN/16-5932TPX Hybrid Flat Sheet 0.085D 25+/-4 Asker C 1.1M 2M 4mm</v>
      </c>
      <c r="F10" s="22">
        <f>VLOOKUP(A10,'[2]master plan'!A:H,8,0)</f>
        <v>70</v>
      </c>
      <c r="G10" s="23">
        <f>VLOOKUP(A10,'[2]master plan'!A:W,23,0)</f>
        <v>2</v>
      </c>
      <c r="H10" s="24">
        <f>VLOOKUP(A10,'[2]master plan'!A:W,23,0)</f>
        <v>2</v>
      </c>
      <c r="I10" s="25" t="str">
        <f>VLOOKUP($A10,'[2]master plan'!$A:$N,12,0)</f>
        <v>ADIDAS</v>
      </c>
      <c r="J10" s="25" t="str">
        <f>VLOOKUP($A10,'[2]master plan'!$A:$N,13,0)</f>
        <v>SSO-2606-00325 - URGENT (6-17)</v>
      </c>
      <c r="K10" s="25" t="str">
        <f>VLOOKUP($A10,'[2]master plan'!$A:$N,14,0)</f>
        <v>Flat sheet</v>
      </c>
      <c r="L10" s="26">
        <v>2</v>
      </c>
      <c r="M10" s="40"/>
      <c r="N10" s="28">
        <f>_xlfn.IFNA(VLOOKUP(A10,'[2]master plan'!A:R,18,0),"")</f>
        <v>46187</v>
      </c>
      <c r="O10" s="3" t="s">
        <v>246</v>
      </c>
    </row>
    <row r="11" spans="1:15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3"/>
      <c r="N11" s="76"/>
    </row>
    <row r="12" spans="1:15" s="3" customFormat="1" ht="70" customHeight="1" x14ac:dyDescent="0.35">
      <c r="A12" s="17" t="s">
        <v>539</v>
      </c>
      <c r="B12" s="18" t="str">
        <f>VLOOKUP(A12,'[2]master plan'!A:C,3,0)</f>
        <v>RPRO-260609-0500</v>
      </c>
      <c r="C12" s="19" t="str">
        <f>VLOOKUP($A12,'[2]master plan'!$A:$N,5,0)</f>
        <v>BDB-000123</v>
      </c>
      <c r="D12" s="20" t="str">
        <f>VLOOKUP($A12,'[2]master plan'!$A:$N,6,0)</f>
        <v>PVN-003298</v>
      </c>
      <c r="E12" s="21" t="str">
        <f>VLOOKUP(A12,'[2]master plan'!A:G,7,0)</f>
        <v>OrthoLite Ultra-Hybrid SEEDPEARL/12-0703TPX Hybrid 0.085D 25+/-4 Asker C 1.1M 2M 4mm</v>
      </c>
      <c r="F12" s="22">
        <f>VLOOKUP(A12,'[2]master plan'!A:H,8,0)</f>
        <v>100</v>
      </c>
      <c r="G12" s="23">
        <f>VLOOKUP(A12,'[2]master plan'!A:W,23,0)</f>
        <v>3</v>
      </c>
      <c r="H12" s="24">
        <f>VLOOKUP(A12,'[2]master plan'!A:W,23,0)</f>
        <v>3</v>
      </c>
      <c r="I12" s="25" t="str">
        <f>VLOOKUP($A12,'[2]master plan'!$A:$N,12,0)</f>
        <v>ADIDAS</v>
      </c>
      <c r="J12" s="25" t="str">
        <f>VLOOKUP($A12,'[2]master plan'!$A:$N,13,0)</f>
        <v>SSO-2606-00327  - URGENT (6-17)</v>
      </c>
      <c r="K12" s="25" t="str">
        <f>VLOOKUP($A12,'[2]master plan'!$A:$N,14,0)</f>
        <v>Flat sheet</v>
      </c>
      <c r="L12" s="26">
        <v>9</v>
      </c>
      <c r="M12" s="27"/>
      <c r="N12" s="28">
        <f>_xlfn.IFNA(VLOOKUP(A12,'[2]master plan'!A:R,18,0),"")</f>
        <v>46187</v>
      </c>
      <c r="O12" s="3" t="s">
        <v>246</v>
      </c>
    </row>
    <row r="13" spans="1:15" s="3" customFormat="1" ht="70" customHeight="1" x14ac:dyDescent="0.35">
      <c r="A13" s="17" t="s">
        <v>540</v>
      </c>
      <c r="B13" s="18" t="str">
        <f>VLOOKUP(A13,'[2]master plan'!A:C,3,0)</f>
        <v>RPRO-260609-0501</v>
      </c>
      <c r="C13" s="19" t="str">
        <f>VLOOKUP($A13,'[2]master plan'!$A:$N,5,0)</f>
        <v>BDB-000123</v>
      </c>
      <c r="D13" s="20" t="str">
        <f>VLOOKUP($A13,'[2]master plan'!$A:$N,6,0)</f>
        <v>PVN-003299</v>
      </c>
      <c r="E13" s="21" t="str">
        <f>VLOOKUP(A13,'[2]master plan'!A:G,7,0)</f>
        <v>OrthoLite Ultra-Hybrid SEEDPEARL/12-0703TPX Hybrid 0.085D 25+/-4 Asker C 1.1M 2M 3mm</v>
      </c>
      <c r="F13" s="22">
        <f>VLOOKUP(A13,'[2]master plan'!A:H,8,0)</f>
        <v>50</v>
      </c>
      <c r="G13" s="23">
        <f>VLOOKUP(A13,'[2]master plan'!A:W,23,0)</f>
        <v>2</v>
      </c>
      <c r="H13" s="24">
        <f>VLOOKUP(A13,'[2]master plan'!A:W,23,0)</f>
        <v>2</v>
      </c>
      <c r="I13" s="25" t="str">
        <f>VLOOKUP($A13,'[2]master plan'!$A:$N,12,0)</f>
        <v>ADIDAS</v>
      </c>
      <c r="J13" s="25" t="str">
        <f>VLOOKUP($A13,'[2]master plan'!$A:$N,13,0)</f>
        <v>SSO-2606-00327  - URGENT (6-17)</v>
      </c>
      <c r="K13" s="25" t="str">
        <f>VLOOKUP($A13,'[2]master plan'!$A:$N,14,0)</f>
        <v>Flat sheet</v>
      </c>
      <c r="L13" s="26"/>
      <c r="M13" s="27"/>
      <c r="N13" s="28">
        <f>_xlfn.IFNA(VLOOKUP(A13,'[2]master plan'!A:R,18,0),"")</f>
        <v>46187</v>
      </c>
    </row>
    <row r="14" spans="1:15" s="3" customFormat="1" ht="70" customHeight="1" x14ac:dyDescent="0.35">
      <c r="A14" s="17" t="s">
        <v>541</v>
      </c>
      <c r="B14" s="18" t="str">
        <f>VLOOKUP(A14,'[2]master plan'!A:C,3,0)</f>
        <v>RPRO-260609-0503</v>
      </c>
      <c r="C14" s="19" t="str">
        <f>VLOOKUP($A14,'[2]master plan'!$A:$N,5,0)</f>
        <v>BDB-000123</v>
      </c>
      <c r="D14" s="20" t="str">
        <f>VLOOKUP($A14,'[2]master plan'!$A:$N,6,0)</f>
        <v>PVN-002973</v>
      </c>
      <c r="E14" s="21" t="str">
        <f>VLOOKUP(A14,'[2]master plan'!A:G,7,0)</f>
        <v>UltraLite-Hybrid OrthoLite SEEDPEARL/12-0703TPX Hybrid Flat Sheet 0.085D 25+/-4 Asker C 1.1M 2M 4.5mm</v>
      </c>
      <c r="F14" s="22">
        <f>VLOOKUP(A14,'[2]master plan'!A:H,8,0)</f>
        <v>50</v>
      </c>
      <c r="G14" s="23">
        <f>VLOOKUP(A14,'[2]master plan'!A:W,23,0)</f>
        <v>2</v>
      </c>
      <c r="H14" s="24">
        <f>VLOOKUP(A14,'[2]master plan'!A:W,23,0)</f>
        <v>2</v>
      </c>
      <c r="I14" s="25" t="str">
        <f>VLOOKUP($A14,'[2]master plan'!$A:$N,12,0)</f>
        <v>SALOMON</v>
      </c>
      <c r="J14" s="25" t="str">
        <f>VLOOKUP($A14,'[2]master plan'!$A:$N,13,0)</f>
        <v>Sample</v>
      </c>
      <c r="K14" s="25" t="str">
        <f>VLOOKUP($A14,'[2]master plan'!$A:$N,14,0)</f>
        <v>MOLDED</v>
      </c>
      <c r="L14" s="26"/>
      <c r="M14" s="40"/>
      <c r="N14" s="28">
        <f>_xlfn.IFNA(VLOOKUP(A14,'[2]master plan'!A:R,18,0),"")</f>
        <v>46187</v>
      </c>
    </row>
    <row r="15" spans="1:15" s="3" customFormat="1" ht="70" customHeight="1" x14ac:dyDescent="0.35">
      <c r="A15" s="17" t="s">
        <v>542</v>
      </c>
      <c r="B15" s="18" t="str">
        <f>VLOOKUP(A15,'[2]master plan'!A:C,3,0)</f>
        <v>RPRO-260609-0506</v>
      </c>
      <c r="C15" s="19" t="str">
        <f>VLOOKUP($A15,'[2]master plan'!$A:$N,5,0)</f>
        <v>BDB-000123</v>
      </c>
      <c r="D15" s="20" t="str">
        <f>VLOOKUP($A15,'[2]master plan'!$A:$N,6,0)</f>
        <v>PVN-003299</v>
      </c>
      <c r="E15" s="21" t="str">
        <f>VLOOKUP(A15,'[2]master plan'!A:G,7,0)</f>
        <v>OrthoLite Ultra-Hybrid SEEDPEARL/12-0703TPX Hybrid 0.085D 25+/-4 Asker C 1.1M 2M 3mm</v>
      </c>
      <c r="F15" s="22">
        <f>VLOOKUP(A15,'[2]master plan'!A:H,8,0)</f>
        <v>50</v>
      </c>
      <c r="G15" s="23">
        <f>VLOOKUP(A15,'[2]master plan'!A:W,23,0)</f>
        <v>2</v>
      </c>
      <c r="H15" s="24">
        <f>VLOOKUP(A15,'[2]master plan'!A:W,23,0)</f>
        <v>2</v>
      </c>
      <c r="I15" s="25" t="str">
        <f>VLOOKUP($A15,'[2]master plan'!$A:$N,12,0)</f>
        <v>ADIDAS</v>
      </c>
      <c r="J15" s="25" t="str">
        <f>VLOOKUP($A15,'[2]master plan'!$A:$N,13,0)</f>
        <v>SSO-2606-00375/00400 - URGENT (6-16)</v>
      </c>
      <c r="K15" s="25" t="str">
        <f>VLOOKUP($A15,'[2]master plan'!$A:$N,14,0)</f>
        <v>Flat sheet</v>
      </c>
      <c r="L15" s="26"/>
      <c r="M15" s="40"/>
      <c r="N15" s="28">
        <f>_xlfn.IFNA(VLOOKUP(A15,'[2]master plan'!A:R,18,0),"")</f>
        <v>46187</v>
      </c>
    </row>
    <row r="16" spans="1:15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70"/>
      <c r="K16" s="70"/>
      <c r="L16" s="71"/>
      <c r="M16" s="72"/>
      <c r="N16" s="76"/>
    </row>
    <row r="17" spans="1:15" s="3" customFormat="1" ht="70" customHeight="1" x14ac:dyDescent="0.35">
      <c r="A17" s="17" t="s">
        <v>543</v>
      </c>
      <c r="B17" s="18" t="str">
        <f>VLOOKUP(A17,'[2]master plan'!A:C,3,0)</f>
        <v>RPRO-260609-0505</v>
      </c>
      <c r="C17" s="19" t="str">
        <f>VLOOKUP($A17,'[2]master plan'!$A:$N,5,0)</f>
        <v>BDB-000058</v>
      </c>
      <c r="D17" s="20" t="str">
        <f>VLOOKUP($A17,'[2]master plan'!$A:$N,6,0)</f>
        <v>PVN-001319</v>
      </c>
      <c r="E17" s="21" t="str">
        <f>VLOOKUP(A17,'[2]master plan'!A:G,7,0)</f>
        <v>OrthoLite Ultra GREEN/16-5932TPX Flat Sheet 0.085D 25+/-4 Asker C 1.1M 2M 5mm</v>
      </c>
      <c r="F17" s="22">
        <f>VLOOKUP(A17,'[2]master plan'!A:H,8,0)</f>
        <v>50</v>
      </c>
      <c r="G17" s="23">
        <f>VLOOKUP(A17,'[2]master plan'!A:W,23,0)</f>
        <v>2</v>
      </c>
      <c r="H17" s="24">
        <f>VLOOKUP(A17,'[2]master plan'!A:W,23,0)</f>
        <v>2</v>
      </c>
      <c r="I17" s="25" t="str">
        <f>VLOOKUP($A17,'[2]master plan'!$A:$N,12,0)</f>
        <v>ADIDAS</v>
      </c>
      <c r="J17" s="25" t="str">
        <f>VLOOKUP($A17,'[2]master plan'!$A:$N,13,0)</f>
        <v>SSO-2606-00358/00359 - URGENT (6-16)</v>
      </c>
      <c r="K17" s="25" t="str">
        <f>VLOOKUP($A17,'[2]master plan'!$A:$N,14,0)</f>
        <v>Flat sheet</v>
      </c>
      <c r="L17" s="26">
        <v>2</v>
      </c>
      <c r="M17" s="27"/>
      <c r="N17" s="28">
        <f>_xlfn.IFNA(VLOOKUP(A17,'[2]master plan'!A:R,18,0),"")</f>
        <v>46187</v>
      </c>
      <c r="O17" s="3" t="s">
        <v>246</v>
      </c>
    </row>
    <row r="18" spans="1:15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70"/>
      <c r="L18" s="71"/>
      <c r="M18" s="73"/>
      <c r="N18" s="76"/>
    </row>
    <row r="19" spans="1:15" s="3" customFormat="1" ht="70" customHeight="1" x14ac:dyDescent="0.35">
      <c r="A19" s="17" t="s">
        <v>544</v>
      </c>
      <c r="B19" s="18" t="str">
        <f>VLOOKUP(A19,'[2]master plan'!A:C,3,0)</f>
        <v>RPRO-260609-0507</v>
      </c>
      <c r="C19" s="19" t="str">
        <f>VLOOKUP($A19,'[2]master plan'!$A:$N,5,0)</f>
        <v>BDB-000200</v>
      </c>
      <c r="D19" s="20" t="str">
        <f>VLOOKUP($A19,'[2]master plan'!$A:$N,6,0)</f>
        <v>PVN-003425</v>
      </c>
      <c r="E19" s="21" t="str">
        <f>VLOOKUP(A19,'[2]master plan'!A:G,7,0)</f>
        <v>OrthoLite Ultra SEEDPEARL/12-0703TPX Flat Sheet 0.085D 78-90 Asker F 1.1M 2M 4mm</v>
      </c>
      <c r="F19" s="22">
        <f>VLOOKUP(A19,'[2]master plan'!A:H,8,0)</f>
        <v>30</v>
      </c>
      <c r="G19" s="23">
        <f>VLOOKUP(A19,'[2]master plan'!A:W,23,0)</f>
        <v>1</v>
      </c>
      <c r="H19" s="24">
        <f>VLOOKUP(A19,'[2]master plan'!A:W,23,0)</f>
        <v>1</v>
      </c>
      <c r="I19" s="25" t="str">
        <f>VLOOKUP($A19,'[2]master plan'!$A:$N,12,0)</f>
        <v>ADIDAS</v>
      </c>
      <c r="J19" s="25" t="str">
        <f>VLOOKUP($A19,'[2]master plan'!$A:$N,13,0)</f>
        <v>SSO-2606-00377 - URGENT (6-16)</v>
      </c>
      <c r="K19" s="25" t="str">
        <f>VLOOKUP($A19,'[2]master plan'!$A:$N,14,0)</f>
        <v>Flat sheet</v>
      </c>
      <c r="L19" s="26">
        <v>1</v>
      </c>
      <c r="M19" s="40"/>
      <c r="N19" s="28">
        <f>_xlfn.IFNA(VLOOKUP(A19,'[2]master plan'!A:R,18,0),"")</f>
        <v>46187</v>
      </c>
      <c r="O19" s="3" t="s">
        <v>246</v>
      </c>
    </row>
    <row r="20" spans="1:15" s="3" customFormat="1" ht="70" hidden="1" customHeight="1" x14ac:dyDescent="0.35">
      <c r="A20" s="78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2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3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5" ht="74.25" customHeight="1" x14ac:dyDescent="0.35">
      <c r="L25" s="56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5" ht="74.25" customHeight="1" x14ac:dyDescent="0.35">
      <c r="L29" s="56"/>
    </row>
    <row r="30" spans="1:15" ht="74.25" customHeight="1" x14ac:dyDescent="0.35">
      <c r="L30" s="56"/>
    </row>
    <row r="31" spans="1:15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  <protectedRange algorithmName="SHA-512" hashValue="e1FOu1UlwA7reaiyQlEGzbU6dAFPyHPlKfgo6VzFBBobawyOfUsh2c/+wjC8bICpcXVPmRerMGA9+qKsw5p7Iw==" saltValue="UD2tVZrxqZTGI3vDzMBrHw==" spinCount="100000" sqref="A20" name="Range1"/>
  </protectedRanges>
  <autoFilter ref="A2:N24" xr:uid="{E2BC4C4A-3703-4A99-A30B-53817C3A378F}">
    <filterColumn colId="2">
      <filters blank="1">
        <filter val="BDB-000015"/>
        <filter val="BDB-000058"/>
        <filter val="BDB-000116"/>
        <filter val="BDB-000123"/>
        <filter val="BDB-000200"/>
        <filter val="BDB-000243"/>
        <filter val="BDB-000348"/>
      </filters>
    </filterColumn>
  </autoFilter>
  <mergeCells count="1">
    <mergeCell ref="D1:F1"/>
  </mergeCells>
  <conditionalFormatting sqref="A2">
    <cfRule type="duplicateValues" dxfId="8" priority="8"/>
  </conditionalFormatting>
  <conditionalFormatting sqref="A20">
    <cfRule type="duplicateValues" dxfId="7" priority="1"/>
    <cfRule type="duplicateValues" dxfId="6" priority="2"/>
  </conditionalFormatting>
  <conditionalFormatting sqref="A21:A23 A3:A19">
    <cfRule type="duplicateValues" dxfId="5" priority="7"/>
  </conditionalFormatting>
  <conditionalFormatting sqref="A26:A1048576">
    <cfRule type="duplicateValues" dxfId="4" priority="6"/>
  </conditionalFormatting>
  <conditionalFormatting sqref="C1:C1048576">
    <cfRule type="duplicateValues" dxfId="3" priority="3"/>
    <cfRule type="duplicateValues" dxfId="2" priority="4"/>
  </conditionalFormatting>
  <conditionalFormatting sqref="I2:M2">
    <cfRule type="duplicateValues" dxfId="1" priority="9"/>
  </conditionalFormatting>
  <conditionalFormatting sqref="N1">
    <cfRule type="duplicateValues" dxfId="0" priority="5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4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32</vt:i4>
      </vt:variant>
    </vt:vector>
  </HeadingPairs>
  <TitlesOfParts>
    <vt:vector size="48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5.6</vt:lpstr>
      <vt:lpstr>6.6</vt:lpstr>
      <vt:lpstr>8.6</vt:lpstr>
      <vt:lpstr>9.6</vt:lpstr>
      <vt:lpstr>'1.6'!Print_Area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'5.6'!Print_Area</vt:lpstr>
      <vt:lpstr>'6.6'!Print_Area</vt:lpstr>
      <vt:lpstr>'8.6'!Print_Area</vt:lpstr>
      <vt:lpstr>'9.6'!Print_Area</vt:lpstr>
      <vt:lpstr>'1.6'!Print_Titles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  <vt:lpstr>'5.6'!Print_Titles</vt:lpstr>
      <vt:lpstr>'6.6'!Print_Titles</vt:lpstr>
      <vt:lpstr>'8.6'!Print_Titles</vt:lpstr>
      <vt:lpstr>'9.6'!Print_Titles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2026-06-09T11:05:21Z</dcterms:modified>
</cp:coreProperties>
</file>