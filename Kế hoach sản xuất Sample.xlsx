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49" documentId="8_{C12FF075-160F-4BB4-977C-4D56BABB08BC}" xr6:coauthVersionLast="47" xr6:coauthVersionMax="47" xr10:uidLastSave="{77F985A2-01BA-45C3-97C3-AD463EE6DF94}"/>
  <bookViews>
    <workbookView xWindow="-110" yWindow="-110" windowWidth="19420" windowHeight="11500" firstSheet="5" activeTab="16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  <sheet name="9.6" sheetId="16" r:id="rId16"/>
    <sheet name="10.6" sheetId="17" r:id="rId17"/>
  </sheets>
  <externalReferences>
    <externalReference r:id="rId18"/>
    <externalReference r:id="rId19"/>
  </externalReferences>
  <definedNames>
    <definedName name="_xlnm._FilterDatabase" localSheetId="8" hidden="1">'1.6'!$A$2:$N$21</definedName>
    <definedName name="_xlnm._FilterDatabase" localSheetId="16" hidden="1">'10.6'!$A$2:$N$23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_xlnm._FilterDatabase" localSheetId="15" hidden="1">'9.6'!$A$2:$N$24</definedName>
    <definedName name="AE" localSheetId="8">'[1]Molding-báo cáo BUn'!#REF!</definedName>
    <definedName name="AE" localSheetId="16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AE" localSheetId="15">'[1]Molding-báo cáo BUn'!#REF!</definedName>
    <definedName name="AE">'[1]Molding-báo cáo BUn'!#REF!</definedName>
    <definedName name="_xlnm.Print_Area" localSheetId="8">'1.6'!$A$1:$N$21</definedName>
    <definedName name="_xlnm.Print_Area" localSheetId="16">'10.6'!$A$1:$N$23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Area" localSheetId="15">'9.6'!$A$1:$N$24</definedName>
    <definedName name="_xlnm.Print_Titles" localSheetId="8">'1.6'!$1:$2</definedName>
    <definedName name="_xlnm.Print_Titles" localSheetId="16">'10.6'!$1:$2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_xlnm.Print_Titles" localSheetId="15">'9.6'!$1:$2</definedName>
    <definedName name="Z_1811EAD5_BD80_4EFF_9596_8EF0EFF4AD2A_.wvu.FilterData" localSheetId="8" hidden="1">'1.6'!$A$2:$N$2</definedName>
    <definedName name="Z_1811EAD5_BD80_4EFF_9596_8EF0EFF4AD2A_.wvu.FilterData" localSheetId="16" hidden="1">'10.6'!$A$2:$N$2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FilterData" localSheetId="15" hidden="1">'9.6'!$A$2:$N$2</definedName>
    <definedName name="Z_1811EAD5_BD80_4EFF_9596_8EF0EFF4AD2A_.wvu.PrintTitles" localSheetId="8" hidden="1">'1.6'!$1:$2</definedName>
    <definedName name="Z_1811EAD5_BD80_4EFF_9596_8EF0EFF4AD2A_.wvu.PrintTitles" localSheetId="16" hidden="1">'10.6'!$1:$2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11EAD5_BD80_4EFF_9596_8EF0EFF4AD2A_.wvu.PrintTitles" localSheetId="15" hidden="1">'9.6'!$1:$2</definedName>
    <definedName name="Z_18A7E0A3_1642_489C_8130_3CC9FF80B04E_.wvu.FilterData" localSheetId="8" hidden="1">'1.6'!$B$2:$M$2</definedName>
    <definedName name="Z_18A7E0A3_1642_489C_8130_3CC9FF80B04E_.wvu.FilterData" localSheetId="16" hidden="1">'10.6'!$B$2:$M$2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18A7E0A3_1642_489C_8130_3CC9FF80B04E_.wvu.FilterData" localSheetId="15" hidden="1">'9.6'!$B$2:$M$2</definedName>
    <definedName name="Z_2653C0F9_59B0_4DB3_BD8D_CACC833527F0_.wvu.FilterData" localSheetId="8" hidden="1">'1.6'!$A$2:$N$2</definedName>
    <definedName name="Z_2653C0F9_59B0_4DB3_BD8D_CACC833527F0_.wvu.FilterData" localSheetId="16" hidden="1">'10.6'!$A$2:$N$2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653C0F9_59B0_4DB3_BD8D_CACC833527F0_.wvu.FilterData" localSheetId="15" hidden="1">'9.6'!$A$2:$N$2</definedName>
    <definedName name="Z_289C1146_6484_4C42_9E78_5D7EBC42FBCC_.wvu.FilterData" localSheetId="8" hidden="1">'1.6'!$A$2:$N$2</definedName>
    <definedName name="Z_289C1146_6484_4C42_9E78_5D7EBC42FBCC_.wvu.FilterData" localSheetId="16" hidden="1">'10.6'!$A$2:$N$2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FilterData" localSheetId="15" hidden="1">'9.6'!$A$2:$N$2</definedName>
    <definedName name="Z_289C1146_6484_4C42_9E78_5D7EBC42FBCC_.wvu.PrintTitles" localSheetId="8" hidden="1">'1.6'!$1:$2</definedName>
    <definedName name="Z_289C1146_6484_4C42_9E78_5D7EBC42FBCC_.wvu.PrintTitles" localSheetId="16" hidden="1">'10.6'!$1:$2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PrintTitles" localSheetId="15" hidden="1">'9.6'!$1:$2</definedName>
    <definedName name="Z_289C1146_6484_4C42_9E78_5D7EBC42FBCC_.wvu.Rows" localSheetId="8" hidden="1">'1.6'!#REF!</definedName>
    <definedName name="Z_289C1146_6484_4C42_9E78_5D7EBC42FBCC_.wvu.Rows" localSheetId="16" hidden="1">'10.6'!#REF!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289C1146_6484_4C42_9E78_5D7EBC42FBCC_.wvu.Rows" localSheetId="15" hidden="1">'9.6'!#REF!</definedName>
    <definedName name="Z_314949E3_0D3B_4560_AE70_4D3C4970782A_.wvu.FilterData" localSheetId="8" hidden="1">'1.6'!$B$2:$M$2</definedName>
    <definedName name="Z_314949E3_0D3B_4560_AE70_4D3C4970782A_.wvu.FilterData" localSheetId="16" hidden="1">'10.6'!$B$2:$M$2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4949E3_0D3B_4560_AE70_4D3C4970782A_.wvu.FilterData" localSheetId="15" hidden="1">'9.6'!$B$2:$M$2</definedName>
    <definedName name="Z_318C8B1E_0627_4DC9_8089_60901FDA475B_.wvu.FilterData" localSheetId="8" hidden="1">'1.6'!$B$2:$N$2</definedName>
    <definedName name="Z_318C8B1E_0627_4DC9_8089_60901FDA475B_.wvu.FilterData" localSheetId="16" hidden="1">'10.6'!$B$2:$N$2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FilterData" localSheetId="15" hidden="1">'9.6'!$B$2:$N$2</definedName>
    <definedName name="Z_318C8B1E_0627_4DC9_8089_60901FDA475B_.wvu.PrintTitles" localSheetId="8" hidden="1">'1.6'!$1:$2</definedName>
    <definedName name="Z_318C8B1E_0627_4DC9_8089_60901FDA475B_.wvu.PrintTitles" localSheetId="16" hidden="1">'10.6'!$1:$2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18C8B1E_0627_4DC9_8089_60901FDA475B_.wvu.PrintTitles" localSheetId="15" hidden="1">'9.6'!$1:$2</definedName>
    <definedName name="Z_323B6797_06D8_47A1_B001_797373BE57F2_.wvu.FilterData" localSheetId="8" hidden="1">'1.6'!$B$2:$M$2</definedName>
    <definedName name="Z_323B6797_06D8_47A1_B001_797373BE57F2_.wvu.FilterData" localSheetId="16" hidden="1">'10.6'!$B$2:$M$2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323B6797_06D8_47A1_B001_797373BE57F2_.wvu.FilterData" localSheetId="15" hidden="1">'9.6'!$B$2:$M$2</definedName>
    <definedName name="Z_6A9DC2EA_1959_4EB9_A839_907E58591C36_.wvu.FilterData" localSheetId="8" hidden="1">'1.6'!$B$2:$M$2</definedName>
    <definedName name="Z_6A9DC2EA_1959_4EB9_A839_907E58591C36_.wvu.FilterData" localSheetId="16" hidden="1">'10.6'!$B$2:$M$2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6A9DC2EA_1959_4EB9_A839_907E58591C36_.wvu.FilterData" localSheetId="15" hidden="1">'9.6'!$B$2:$M$2</definedName>
    <definedName name="Z_866BE165_7CE2_41D4_AD4C_D79698D432B1_.wvu.FilterData" localSheetId="8" hidden="1">'1.6'!$B$2:$M$2</definedName>
    <definedName name="Z_866BE165_7CE2_41D4_AD4C_D79698D432B1_.wvu.FilterData" localSheetId="16" hidden="1">'10.6'!$B$2:$M$2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BE165_7CE2_41D4_AD4C_D79698D432B1_.wvu.FilterData" localSheetId="15" hidden="1">'9.6'!$B$2:$M$2</definedName>
    <definedName name="Z_866CB300_9BE2_4E49_BCB4_72634A7939D7_.wvu.FilterData" localSheetId="8" hidden="1">'1.6'!$B$2:$N$2</definedName>
    <definedName name="Z_866CB300_9BE2_4E49_BCB4_72634A7939D7_.wvu.FilterData" localSheetId="16" hidden="1">'10.6'!$B$2:$N$2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66CB300_9BE2_4E49_BCB4_72634A7939D7_.wvu.FilterData" localSheetId="15" hidden="1">'9.6'!$B$2:$N$2</definedName>
    <definedName name="Z_8CF255E0_B8BB_4016_A366_4FCF106965CF_.wvu.FilterData" localSheetId="8" hidden="1">'1.6'!$A$2:$N$2</definedName>
    <definedName name="Z_8CF255E0_B8BB_4016_A366_4FCF106965CF_.wvu.FilterData" localSheetId="16" hidden="1">'10.6'!$A$2:$N$2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8CF255E0_B8BB_4016_A366_4FCF106965CF_.wvu.FilterData" localSheetId="15" hidden="1">'9.6'!$A$2:$N$2</definedName>
    <definedName name="Z_A4A1FC39_A54C_43AC_9912_8824EB6833F5_.wvu.FilterData" localSheetId="8" hidden="1">'1.6'!$A$2:$N$2</definedName>
    <definedName name="Z_A4A1FC39_A54C_43AC_9912_8824EB6833F5_.wvu.FilterData" localSheetId="16" hidden="1">'10.6'!$A$2:$N$2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4A1FC39_A54C_43AC_9912_8824EB6833F5_.wvu.FilterData" localSheetId="15" hidden="1">'9.6'!$A$2:$N$2</definedName>
    <definedName name="Z_AF6B2EAC_2950_4809_A605_2107D254FC8D_.wvu.FilterData" localSheetId="8" hidden="1">'1.6'!$B$2:$N$2</definedName>
    <definedName name="Z_AF6B2EAC_2950_4809_A605_2107D254FC8D_.wvu.FilterData" localSheetId="16" hidden="1">'10.6'!$B$2:$N$2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FilterData" localSheetId="15" hidden="1">'9.6'!$B$2:$N$2</definedName>
    <definedName name="Z_AF6B2EAC_2950_4809_A605_2107D254FC8D_.wvu.PrintTitles" localSheetId="8" hidden="1">'1.6'!$1:$2</definedName>
    <definedName name="Z_AF6B2EAC_2950_4809_A605_2107D254FC8D_.wvu.PrintTitles" localSheetId="16" hidden="1">'10.6'!$1:$2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AF6B2EAC_2950_4809_A605_2107D254FC8D_.wvu.PrintTitles" localSheetId="15" hidden="1">'9.6'!$1:$2</definedName>
    <definedName name="Z_CA92E8A2_92C9_4575_A139_6FE5DA69269F_.wvu.FilterData" localSheetId="8" hidden="1">'1.6'!$B$2:$M$2</definedName>
    <definedName name="Z_CA92E8A2_92C9_4575_A139_6FE5DA69269F_.wvu.FilterData" localSheetId="16" hidden="1">'10.6'!$B$2:$M$2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CA92E8A2_92C9_4575_A139_6FE5DA69269F_.wvu.FilterData" localSheetId="15" hidden="1">'9.6'!$B$2:$M$2</definedName>
    <definedName name="Z_DF644A2B_B913_48D6_B430_E57F3B482B79_.wvu.FilterData" localSheetId="8" hidden="1">'1.6'!$A$2:$N$2</definedName>
    <definedName name="Z_DF644A2B_B913_48D6_B430_E57F3B482B79_.wvu.FilterData" localSheetId="16" hidden="1">'10.6'!$A$2:$N$2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FilterData" localSheetId="15" hidden="1">'9.6'!$A$2:$N$2</definedName>
    <definedName name="Z_DF644A2B_B913_48D6_B430_E57F3B482B79_.wvu.PrintTitles" localSheetId="8" hidden="1">'1.6'!$1:$2</definedName>
    <definedName name="Z_DF644A2B_B913_48D6_B430_E57F3B482B79_.wvu.PrintTitles" localSheetId="16" hidden="1">'10.6'!$1:$2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  <definedName name="Z_DF644A2B_B913_48D6_B430_E57F3B482B79_.wvu.PrintTitles" localSheetId="15" hidden="1">'9.6'!$1:$2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7" l="1"/>
  <c r="K22" i="17"/>
  <c r="J22" i="17"/>
  <c r="I22" i="17"/>
  <c r="H22" i="17"/>
  <c r="G22" i="17"/>
  <c r="F22" i="17"/>
  <c r="E22" i="17"/>
  <c r="D22" i="17"/>
  <c r="C22" i="17"/>
  <c r="B22" i="17"/>
  <c r="N21" i="17"/>
  <c r="K21" i="17"/>
  <c r="J21" i="17"/>
  <c r="I21" i="17"/>
  <c r="H21" i="17"/>
  <c r="G21" i="17"/>
  <c r="F21" i="17"/>
  <c r="E21" i="17"/>
  <c r="D21" i="17"/>
  <c r="C21" i="17"/>
  <c r="B21" i="17"/>
  <c r="N20" i="17"/>
  <c r="K20" i="17"/>
  <c r="J20" i="17"/>
  <c r="I20" i="17"/>
  <c r="H20" i="17"/>
  <c r="G20" i="17"/>
  <c r="F20" i="17"/>
  <c r="E20" i="17"/>
  <c r="D20" i="17"/>
  <c r="C20" i="17"/>
  <c r="B20" i="17"/>
  <c r="N19" i="17"/>
  <c r="K19" i="17"/>
  <c r="J19" i="17"/>
  <c r="I19" i="17"/>
  <c r="H19" i="17"/>
  <c r="G19" i="17"/>
  <c r="F19" i="17"/>
  <c r="E19" i="17"/>
  <c r="D19" i="17"/>
  <c r="C19" i="17"/>
  <c r="B19" i="17"/>
  <c r="N18" i="17"/>
  <c r="K18" i="17"/>
  <c r="J18" i="17"/>
  <c r="I18" i="17"/>
  <c r="H18" i="17"/>
  <c r="G18" i="17"/>
  <c r="F18" i="17"/>
  <c r="E18" i="17"/>
  <c r="D18" i="17"/>
  <c r="C18" i="17"/>
  <c r="B18" i="17"/>
  <c r="N17" i="17"/>
  <c r="K17" i="17"/>
  <c r="J17" i="17"/>
  <c r="I17" i="17"/>
  <c r="H17" i="17"/>
  <c r="G17" i="17"/>
  <c r="F17" i="17"/>
  <c r="E17" i="17"/>
  <c r="D17" i="17"/>
  <c r="C17" i="17"/>
  <c r="B17" i="17"/>
  <c r="N16" i="17"/>
  <c r="K16" i="17"/>
  <c r="J16" i="17"/>
  <c r="I16" i="17"/>
  <c r="H16" i="17"/>
  <c r="G16" i="17"/>
  <c r="F16" i="17"/>
  <c r="E16" i="17"/>
  <c r="D16" i="17"/>
  <c r="C16" i="17"/>
  <c r="B16" i="17"/>
  <c r="N15" i="17"/>
  <c r="K15" i="17"/>
  <c r="J15" i="17"/>
  <c r="I15" i="17"/>
  <c r="H15" i="17"/>
  <c r="G15" i="17"/>
  <c r="F15" i="17"/>
  <c r="E15" i="17"/>
  <c r="D15" i="17"/>
  <c r="C15" i="17"/>
  <c r="B15" i="17"/>
  <c r="N14" i="17"/>
  <c r="K14" i="17"/>
  <c r="J14" i="17"/>
  <c r="I14" i="17"/>
  <c r="H14" i="17"/>
  <c r="G14" i="17"/>
  <c r="F14" i="17"/>
  <c r="E14" i="17"/>
  <c r="D14" i="17"/>
  <c r="C14" i="17"/>
  <c r="B14" i="17"/>
  <c r="N13" i="17"/>
  <c r="K13" i="17"/>
  <c r="J13" i="17"/>
  <c r="I13" i="17"/>
  <c r="H13" i="17"/>
  <c r="G13" i="17"/>
  <c r="F13" i="17"/>
  <c r="E13" i="17"/>
  <c r="D13" i="17"/>
  <c r="C13" i="17"/>
  <c r="B13" i="17"/>
  <c r="N11" i="17"/>
  <c r="K11" i="17"/>
  <c r="J11" i="17"/>
  <c r="I11" i="17"/>
  <c r="H11" i="17"/>
  <c r="G11" i="17"/>
  <c r="F11" i="17"/>
  <c r="E11" i="17"/>
  <c r="D11" i="17"/>
  <c r="C11" i="17"/>
  <c r="B11" i="17"/>
  <c r="N9" i="17"/>
  <c r="K9" i="17"/>
  <c r="J9" i="17"/>
  <c r="I9" i="17"/>
  <c r="H9" i="17"/>
  <c r="G9" i="17"/>
  <c r="F9" i="17"/>
  <c r="E9" i="17"/>
  <c r="D9" i="17"/>
  <c r="C9" i="17"/>
  <c r="B9" i="17"/>
  <c r="N7" i="17"/>
  <c r="K7" i="17"/>
  <c r="J7" i="17"/>
  <c r="I7" i="17"/>
  <c r="H7" i="17"/>
  <c r="G7" i="17"/>
  <c r="F7" i="17"/>
  <c r="E7" i="17"/>
  <c r="D7" i="17"/>
  <c r="C7" i="17"/>
  <c r="B7" i="17"/>
  <c r="N5" i="17"/>
  <c r="K5" i="17"/>
  <c r="J5" i="17"/>
  <c r="I5" i="17"/>
  <c r="H5" i="17"/>
  <c r="G5" i="17"/>
  <c r="F5" i="17"/>
  <c r="E5" i="17"/>
  <c r="D5" i="17"/>
  <c r="C5" i="17"/>
  <c r="B5" i="17"/>
  <c r="N3" i="17"/>
  <c r="K3" i="17"/>
  <c r="J3" i="17"/>
  <c r="I3" i="17"/>
  <c r="H3" i="17"/>
  <c r="G3" i="17"/>
  <c r="F3" i="17"/>
  <c r="E3" i="17"/>
  <c r="D3" i="17"/>
  <c r="C3" i="17"/>
  <c r="B3" i="17"/>
  <c r="L1" i="17"/>
  <c r="B1" i="17"/>
  <c r="C5" i="16"/>
  <c r="C6" i="16"/>
  <c r="N23" i="16" l="1"/>
  <c r="K23" i="16"/>
  <c r="J23" i="16"/>
  <c r="I23" i="16"/>
  <c r="H23" i="16"/>
  <c r="G23" i="16"/>
  <c r="F23" i="16"/>
  <c r="E23" i="16"/>
  <c r="D23" i="16"/>
  <c r="C23" i="16"/>
  <c r="B23" i="16"/>
  <c r="N22" i="16"/>
  <c r="K22" i="16"/>
  <c r="J22" i="16"/>
  <c r="I22" i="16"/>
  <c r="H22" i="16"/>
  <c r="G22" i="16"/>
  <c r="F22" i="16"/>
  <c r="E22" i="16"/>
  <c r="D22" i="16"/>
  <c r="C22" i="16"/>
  <c r="B22" i="16"/>
  <c r="N21" i="16"/>
  <c r="K21" i="16"/>
  <c r="J21" i="16"/>
  <c r="I21" i="16"/>
  <c r="H21" i="16"/>
  <c r="G21" i="16"/>
  <c r="F21" i="16"/>
  <c r="E21" i="16"/>
  <c r="D21" i="16"/>
  <c r="C21" i="16"/>
  <c r="B21" i="16"/>
  <c r="N20" i="16"/>
  <c r="K20" i="16"/>
  <c r="J20" i="16"/>
  <c r="I20" i="16"/>
  <c r="H20" i="16"/>
  <c r="G20" i="16"/>
  <c r="F20" i="16"/>
  <c r="E20" i="16"/>
  <c r="D20" i="16"/>
  <c r="C20" i="16"/>
  <c r="B20" i="16"/>
  <c r="N19" i="16"/>
  <c r="K19" i="16"/>
  <c r="J19" i="16"/>
  <c r="I19" i="16"/>
  <c r="H19" i="16"/>
  <c r="G19" i="16"/>
  <c r="F19" i="16"/>
  <c r="E19" i="16"/>
  <c r="D19" i="16"/>
  <c r="C19" i="16"/>
  <c r="B19" i="16"/>
  <c r="N17" i="16"/>
  <c r="K17" i="16"/>
  <c r="J17" i="16"/>
  <c r="I17" i="16"/>
  <c r="H17" i="16"/>
  <c r="G17" i="16"/>
  <c r="F17" i="16"/>
  <c r="E17" i="16"/>
  <c r="D17" i="16"/>
  <c r="C17" i="16"/>
  <c r="B17" i="16"/>
  <c r="N15" i="16"/>
  <c r="K15" i="16"/>
  <c r="J15" i="16"/>
  <c r="I15" i="16"/>
  <c r="H15" i="16"/>
  <c r="G15" i="16"/>
  <c r="F15" i="16"/>
  <c r="E15" i="16"/>
  <c r="D15" i="16"/>
  <c r="C15" i="16"/>
  <c r="B15" i="16"/>
  <c r="N14" i="16"/>
  <c r="K14" i="16"/>
  <c r="J14" i="16"/>
  <c r="I14" i="16"/>
  <c r="H14" i="16"/>
  <c r="G14" i="16"/>
  <c r="F14" i="16"/>
  <c r="E14" i="16"/>
  <c r="D14" i="16"/>
  <c r="C14" i="16"/>
  <c r="B14" i="16"/>
  <c r="N13" i="16"/>
  <c r="K13" i="16"/>
  <c r="J13" i="16"/>
  <c r="I13" i="16"/>
  <c r="H13" i="16"/>
  <c r="G13" i="16"/>
  <c r="F13" i="16"/>
  <c r="E13" i="16"/>
  <c r="D13" i="16"/>
  <c r="C13" i="16"/>
  <c r="B13" i="16"/>
  <c r="N12" i="16"/>
  <c r="K12" i="16"/>
  <c r="J12" i="16"/>
  <c r="I12" i="16"/>
  <c r="H12" i="16"/>
  <c r="G12" i="16"/>
  <c r="F12" i="16"/>
  <c r="E12" i="16"/>
  <c r="D12" i="16"/>
  <c r="C12" i="16"/>
  <c r="B12" i="16"/>
  <c r="N10" i="16"/>
  <c r="K10" i="16"/>
  <c r="J10" i="16"/>
  <c r="I10" i="16"/>
  <c r="H10" i="16"/>
  <c r="G10" i="16"/>
  <c r="F10" i="16"/>
  <c r="E10" i="16"/>
  <c r="D10" i="16"/>
  <c r="C10" i="16"/>
  <c r="B10" i="16"/>
  <c r="N8" i="16"/>
  <c r="K8" i="16"/>
  <c r="J8" i="16"/>
  <c r="I8" i="16"/>
  <c r="H8" i="16"/>
  <c r="G8" i="16"/>
  <c r="F8" i="16"/>
  <c r="E8" i="16"/>
  <c r="D8" i="16"/>
  <c r="C8" i="16"/>
  <c r="B8" i="16"/>
  <c r="N6" i="16"/>
  <c r="K6" i="16"/>
  <c r="J6" i="16"/>
  <c r="I6" i="16"/>
  <c r="H6" i="16"/>
  <c r="G6" i="16"/>
  <c r="F6" i="16"/>
  <c r="E6" i="16"/>
  <c r="D6" i="16"/>
  <c r="B6" i="16"/>
  <c r="N5" i="16"/>
  <c r="K5" i="16"/>
  <c r="J5" i="16"/>
  <c r="I5" i="16"/>
  <c r="H5" i="16"/>
  <c r="G5" i="16"/>
  <c r="F5" i="16"/>
  <c r="E5" i="16"/>
  <c r="D5" i="16"/>
  <c r="B5" i="16"/>
  <c r="N3" i="16"/>
  <c r="K3" i="16"/>
  <c r="J3" i="16"/>
  <c r="I3" i="16"/>
  <c r="H3" i="16"/>
  <c r="G3" i="16"/>
  <c r="F3" i="16"/>
  <c r="E3" i="16"/>
  <c r="D3" i="16"/>
  <c r="C3" i="16"/>
  <c r="B3" i="16"/>
  <c r="L1" i="16"/>
  <c r="B1" i="16"/>
  <c r="N20" i="15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<sst xmlns="http://schemas.openxmlformats.org/spreadsheetml/2006/main" count="1213" uniqueCount="549">
  <si>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</si>
  <si>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</si>
  <si>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</si>
  <si>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</si>
  <si>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</si>
  <si>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</si>
  <si>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</si>
  <si>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</si>
  <si>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</si>
  <si>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</si>
  <si>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</si>
  <si>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</si>
  <si>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</si>
  <si>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</si>
  <si>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</si>
  <si>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</si>
  <si>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</si>
  <si>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</si>
  <si>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</si>
  <si>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</si>
  <si>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</si>
  <si>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</si>
  <si>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</si>
  <si>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</si>
  <si>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</si>
  <si>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</si>
  <si>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</si>
  <si>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</si>
  <si>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</si>
  <si>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</si>
  <si>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</si>
  <si>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</si>
  <si>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</si>
  <si>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</si>
  <si>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</si>
  <si>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</si>
  <si>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</si>
  <si>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</si>
  <si>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</si>
  <si>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</si>
  <si>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</si>
  <si>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</si>
  <si>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</si>
  <si>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</si>
  <si>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</si>
  <si>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</si>
  <si>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</si>
  <si>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</si>
  <si>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</si>
  <si>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</si>
  <si>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</si>
  <si>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</si>
  <si>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</si>
  <si>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</si>
  <si>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</si>
  <si>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</si>
  <si>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</si>
  <si>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</si>
  <si>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</si>
  <si>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</si>
  <si>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</si>
  <si>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</si>
  <si>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</si>
  <si>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</si>
  <si>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</si>
  <si>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</si>
  <si>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</si>
  <si>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</si>
  <si>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</si>
  <si>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</si>
  <si>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</si>
  <si>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</si>
  <si>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</si>
  <si>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</si>
  <si>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</si>
  <si>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</si>
  <si>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</si>
  <si>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</si>
  <si>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</si>
  <si>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</si>
  <si>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</si>
  <si>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</si>
  <si>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</si>
  <si>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</si>
  <si>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</si>
  <si>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</si>
  <si>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</si>
  <si>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</si>
  <si>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</si>
  <si>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</si>
  <si>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</si>
  <si>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</si>
  <si>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</si>
  <si>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</si>
  <si>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</si>
  <si>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</si>
  <si>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</si>
  <si>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</si>
  <si>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</si>
  <si>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</si>
  <si>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</si>
  <si>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</si>
  <si>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</si>
  <si>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</si>
  <si>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</si>
  <si>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</si>
  <si>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</si>
  <si>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</si>
  <si>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</si>
  <si>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</si>
  <si>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</si>
  <si>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</si>
  <si>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</si>
  <si>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</si>
  <si>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</si>
  <si>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</si>
  <si>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</si>
  <si>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</si>
  <si>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</si>
  <si>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</si>
  <si>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</si>
  <si>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</si>
  <si>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</si>
  <si>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</si>
  <si>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</si>
  <si>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</si>
  <si>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</si>
  <si>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</si>
  <si>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</si>
  <si>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</si>
  <si>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</si>
  <si>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</si>
  <si>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</si>
  <si>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</si>
  <si>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</si>
  <si>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</si>
  <si>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</si>
  <si>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</si>
  <si>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</si>
  <si>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</si>
  <si>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</si>
  <si>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</si>
  <si>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</si>
  <si>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</si>
  <si>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</si>
  <si>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</si>
  <si>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</si>
  <si>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</si>
  <si>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</si>
  <si>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</si>
  <si>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</si>
  <si>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</si>
  <si>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</si>
  <si>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</si>
  <si>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</si>
  <si>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</si>
  <si>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</si>
  <si>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</si>
  <si>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</si>
  <si>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</si>
  <si>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</si>
  <si>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</si>
  <si>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</si>
  <si>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</si>
  <si>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</si>
  <si>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</si>
  <si>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</si>
  <si>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</si>
  <si>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</si>
  <si>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</si>
  <si>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</si>
  <si>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</si>
  <si>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</si>
  <si>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</si>
  <si>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</si>
  <si>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</si>
  <si>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</si>
  <si>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</si>
  <si>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</si>
  <si>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</si>
  <si>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</si>
  <si>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</si>
  <si>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</si>
  <si>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</si>
  <si>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</si>
  <si>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</si>
  <si>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</si>
  <si>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</si>
  <si>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</si>
  <si>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</si>
  <si>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</si>
  <si>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</si>
  <si>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</si>
  <si>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</si>
  <si>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</si>
  <si>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</si>
  <si>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</si>
  <si>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</si>
  <si>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</si>
  <si>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</si>
  <si>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</si>
  <si>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</si>
  <si>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</si>
  <si>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</si>
  <si>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</si>
  <si>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</si>
  <si>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</si>
  <si>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</si>
  <si>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</si>
  <si>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</si>
  <si>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</si>
  <si>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</si>
  <si>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</si>
  <si>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</si>
  <si>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</si>
  <si>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</si>
  <si>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</si>
  <si>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</si>
  <si>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</si>
  <si>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</si>
  <si>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</si>
  <si>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</si>
  <si>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</si>
  <si>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</si>
  <si>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</si>
  <si>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</si>
  <si>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</si>
  <si>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</si>
  <si>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</si>
  <si>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</si>
  <si>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</si>
  <si>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</si>
  <si>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</si>
  <si>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</si>
  <si>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</si>
  <si>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</si>
  <si>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</si>
  <si>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</si>
  <si>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</si>
  <si>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</si>
  <si>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</si>
  <si>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</si>
  <si>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</si>
  <si>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</si>
  <si>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</si>
  <si>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</si>
  <si>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</si>
  <si>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</si>
  <si>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</si>
  <si>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</si>
  <si>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</si>
  <si>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</si>
  <si>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</si>
  <si>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</si>
  <si>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</si>
  <si>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</si>
  <si>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</si>
  <si>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</si>
  <si>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</si>
  <si>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</si>
  <si>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</si>
  <si>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</si>
  <si>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</si>
  <si>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</si>
  <si>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</si>
  <si>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</si>
  <si>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</si>
  <si>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</si>
  <si>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</si>
  <si>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</si>
  <si>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</si>
  <si>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</si>
  <si>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</si>
  <si>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</si>
  <si>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</si>
  <si>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</si>
  <si>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</si>
  <si>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</si>
  <si>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</si>
  <si>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</si>
  <si>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</si>
  <si>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</si>
  <si>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</si>
  <si>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</si>
  <si>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</si>
  <si>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</si>
  <si>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</si>
  <si>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</si>
  <si>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</si>
  <si>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</si>
  <si>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</si>
  <si>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</si>
  <si>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</si>
  <si>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</si>
  <si>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</si>
  <si>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</si>
  <si>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</si>
  <si>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</si>
  <si>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</si>
  <si>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</si>
  <si>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</si>
  <si>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</si>
  <si>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</si>
  <si>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</si>
  <si>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</si>
  <si>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</si>
  <si>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</si>
  <si>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</si>
  <si>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</si>
  <si>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</si>
  <si>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</si>
  <si>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</si>
  <si>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</si>
  <si>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</si>
  <si>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</si>
  <si>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</si>
  <si>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</si>
  <si>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</si>
  <si>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</si>
  <si>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</si>
  <si>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</si>
  <si>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</si>
  <si>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</si>
  <si>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</si>
  <si>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</si>
  <si>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</si>
  <si>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</si>
  <si>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</si>
  <si>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</si>
  <si>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</si>
  <si>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</si>
  <si>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</si>
  <si>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</si>
  <si>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</si>
  <si>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</si>
  <si>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</si>
  <si>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</si>
  <si>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</si>
  <si>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</si>
  <si>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</si>
  <si>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</si>
  <si>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</si>
  <si>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</si>
  <si>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</si>
  <si>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</si>
  <si>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</si>
  <si>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</si>
  <si>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</si>
  <si>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</si>
  <si>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</si>
  <si>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</si>
  <si>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</si>
  <si>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</si>
  <si>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</si>
  <si>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</si>
  <si>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</si>
  <si>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</si>
  <si>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</si>
  <si>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</si>
  <si>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</si>
  <si>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</si>
  <si>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</si>
  <si>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</si>
  <si>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</si>
  <si>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</si>
  <si>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</si>
  <si>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</si>
  <si>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</si>
  <si>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</si>
  <si>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</si>
  <si>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</si>
  <si>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</si>
  <si>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</si>
  <si>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</si>
  <si>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</si>
  <si>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</si>
  <si>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</si>
  <si>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</si>
  <si>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</si>
  <si>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</si>
  <si>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</si>
  <si>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</si>
  <si>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</si>
  <si>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</si>
  <si>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</si>
  <si>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</si>
  <si>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</si>
  <si>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</si>
  <si>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</si>
  <si>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</si>
  <si>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</si>
  <si>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</si>
  <si>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</si>
  <si>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</si>
  <si>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</si>
  <si>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</si>
  <si>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</si>
  <si>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</si>
  <si>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</si>
  <si>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</si>
  <si>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</si>
  <si>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</si>
  <si>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</si>
  <si>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</si>
  <si>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</si>
  <si>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</si>
  <si>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</si>
  <si>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</si>
  <si>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</si>
  <si>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</si>
  <si>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</si>
  <si>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</si>
  <si>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</si>
  <si>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</si>
  <si>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</si>
  <si>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</si>
  <si>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</si>
  <si>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</si>
  <si>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</si>
  <si>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</si>
  <si>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</si>
  <si>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</si>
  <si>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</si>
  <si>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</si>
  <si>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</si>
  <si>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</si>
  <si>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</si>
  <si>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</si>
  <si>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</si>
  <si>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</si>
  <si>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</si>
  <si>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</si>
  <si>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</si>
  <si>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</si>
  <si>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</si>
  <si>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</si>
  <si>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</si>
  <si>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</si>
  <si>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</si>
  <si>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</si>
  <si>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</si>
  <si>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</si>
  <si>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</si>
  <si>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</si>
  <si>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</si>
  <si>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</si>
  <si>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</si>
  <si>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</si>
  <si>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</si>
  <si>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</si>
  <si>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</si>
  <si>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</si>
  <si>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</si>
  <si>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</si>
  <si>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</si>
  <si>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</si>
  <si>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</si>
  <si>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</si>
  <si>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</si>
  <si>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</si>
  <si>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</si>
  <si>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</si>
  <si>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</si>
  <si>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</si>
  <si>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</si>
  <si>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</si>
  <si>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</si>
  <si>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</si>
  <si>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</si>
  <si>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</si>
  <si>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</si>
  <si>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</si>
  <si>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</si>
  <si>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</si>
  <si>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</si>
  <si>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</si>
  <si>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</si>
  <si>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</si>
  <si>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</si>
  <si>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</si>
  <si>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</si>
  <si>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</si>
  <si>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</si>
  <si>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</si>
  <si>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</si>
  <si>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</si>
  <si>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</si>
  <si>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</si>
  <si>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</si>
  <si>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</si>
  <si>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</si>
  <si>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</si>
  <si>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</si>
  <si>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</si>
  <si>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</si>
  <si>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</si>
  <si>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</si>
  <si>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</si>
  <si>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</si>
  <si>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</si>
  <si>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</si>
  <si>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</si>
  <si>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</si>
  <si>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</si>
  <si>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</si>
  <si>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</si>
  <si>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</si>
  <si>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</si>
  <si>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</si>
  <si>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</si>
  <si>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</si>
  <si>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</si>
  <si>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</si>
  <si>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</si>
  <si>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</si>
  <si>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</si>
  <si>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</si>
  <si>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</si>
  <si>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</si>
  <si>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</si>
  <si>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</si>
  <si>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</si>
  <si>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</si>
  <si>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</si>
  <si>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</si>
  <si>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</si>
  <si>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</si>
  <si>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</si>
  <si>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</si>
  <si>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</si>
  <si>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</si>
  <si>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</si>
  <si>
    <t>S-2026-06-36</t>
  </si>
  <si>
    <t>S-2026-06-31</t>
  </si>
  <si>
    <t>S-2026-06-32</t>
  </si>
  <si>
    <t>S-2026-06-38</t>
  </si>
  <si>
    <t>S-2026-06-33</t>
  </si>
  <si>
    <t>S-2026-06-34</t>
  </si>
  <si>
    <t>S-2026-06-35</t>
  </si>
  <si>
    <t>S-2026-06-37</t>
  </si>
  <si>
    <t>S-2026-06-40</t>
  </si>
  <si>
    <t>S-2026-06-39</t>
  </si>
  <si>
    <t>S-2026-06-41</t>
  </si>
  <si>
    <t>S-2026-06-43</t>
  </si>
  <si>
    <t>S-2026-06-47</t>
  </si>
  <si>
    <t>S-2026-06-42</t>
  </si>
  <si>
    <t>S-2026-06-44</t>
  </si>
  <si>
    <t>S-2026-06-45</t>
  </si>
  <si>
    <t>S-2026-06-46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</si>
</sst>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change status 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4.6"/>
      <sheetName val="5.6"/>
      <sheetName val="6.6"/>
      <sheetName val="8.6"/>
      <sheetName val="9.6"/>
      <sheetName val="10.6"/>
      <sheetName val="BCN 10.6"/>
      <sheetName val="form 2 (25)"/>
      <sheetName val="In đơn"/>
      <sheetName val="Production BOM"/>
      <sheetName val="Items"/>
      <sheetName val="mm Pu"/>
      <sheetName val="master plan (2)"/>
      <sheetName val="form 2 (23)"/>
      <sheetName val="form 2 (2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 (L)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</sheetNames>
    <sheetDataSet>
      <sheetData sheetId="0"/>
      <sheetData sheetId="1"/>
      <sheetData sheetId="2"/>
      <sheetData sheetId="3"/>
      <sheetData sheetId="4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26409</v>
          </cell>
          <cell r="I2">
            <v>26409</v>
          </cell>
          <cell r="J2">
            <v>24470</v>
          </cell>
          <cell r="K2">
            <v>1939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1324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40</v>
          </cell>
          <cell r="K460">
            <v>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30</v>
          </cell>
          <cell r="K471">
            <v>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20</v>
          </cell>
          <cell r="K474">
            <v>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30</v>
          </cell>
          <cell r="K484">
            <v>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20</v>
          </cell>
          <cell r="K485">
            <v>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30</v>
          </cell>
          <cell r="K486">
            <v>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30</v>
          </cell>
          <cell r="K487">
            <v>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60</v>
          </cell>
          <cell r="K488">
            <v>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50</v>
          </cell>
          <cell r="K489">
            <v>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20</v>
          </cell>
          <cell r="K490">
            <v>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50</v>
          </cell>
          <cell r="K491">
            <v>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25</v>
          </cell>
          <cell r="K492">
            <v>0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0</v>
          </cell>
          <cell r="K493">
            <v>25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0</v>
          </cell>
          <cell r="K496">
            <v>5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0</v>
          </cell>
          <cell r="K497">
            <v>4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0</v>
          </cell>
          <cell r="K498">
            <v>5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/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0</v>
          </cell>
          <cell r="K500">
            <v>5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0</v>
          </cell>
          <cell r="K501">
            <v>4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2</v>
          </cell>
          <cell r="K502">
            <v>0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0</v>
          </cell>
          <cell r="K503">
            <v>70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/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B513"/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0</v>
          </cell>
          <cell r="K513">
            <v>40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46188</v>
          </cell>
          <cell r="R513">
            <v>46185</v>
          </cell>
          <cell r="S513">
            <v>6</v>
          </cell>
          <cell r="T513">
            <v>7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B514"/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0</v>
          </cell>
          <cell r="K514">
            <v>70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B515"/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0</v>
          </cell>
          <cell r="K515">
            <v>50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B516"/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46188</v>
          </cell>
          <cell r="R516">
            <v>46185</v>
          </cell>
          <cell r="S516">
            <v>6</v>
          </cell>
          <cell r="T516">
            <v>7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B517"/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46189</v>
          </cell>
          <cell r="R517">
            <v>46186</v>
          </cell>
          <cell r="S517">
            <v>6</v>
          </cell>
          <cell r="T517">
            <v>8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A518" t="str">
            <v>S-2026-06-31</v>
          </cell>
          <cell r="B518"/>
          <cell r="C518" t="str">
            <v>RPRO-260609-0497</v>
          </cell>
          <cell r="D518" t="str">
            <v>PUR2606080003S</v>
          </cell>
          <cell r="E518" t="str">
            <v>BDB-000116</v>
          </cell>
          <cell r="F518" t="str">
            <v>PVN-002530</v>
          </cell>
          <cell r="G518" t="str">
            <v>OrthoLite Regular-Hybrid SEEDPEARL/12-0703TPX Hybrid Flat Sheet 0.13D 25+/-4 Asker C 1.1M 2M 3mm</v>
          </cell>
          <cell r="H518">
            <v>10</v>
          </cell>
          <cell r="I518">
            <v>10</v>
          </cell>
          <cell r="J518">
            <v>0</v>
          </cell>
          <cell r="K518">
            <v>10</v>
          </cell>
          <cell r="L518" t="str">
            <v>KATE SPADE</v>
          </cell>
          <cell r="M518" t="str">
            <v>SSO-2606-00328</v>
          </cell>
          <cell r="N518" t="str">
            <v>sheet</v>
          </cell>
          <cell r="O518" t="str">
            <v>Sample</v>
          </cell>
          <cell r="P518">
            <v>46181</v>
          </cell>
          <cell r="Q518">
            <v>46189</v>
          </cell>
          <cell r="R518">
            <v>46186</v>
          </cell>
          <cell r="S518">
            <v>6</v>
          </cell>
          <cell r="T518">
            <v>8</v>
          </cell>
          <cell r="U518">
            <v>3</v>
          </cell>
          <cell r="V518">
            <v>2.1739999999999999E-2</v>
          </cell>
          <cell r="W518">
            <v>1</v>
          </cell>
        </row>
        <row r="519">
          <cell r="A519" t="str">
            <v>S-2026-06-32</v>
          </cell>
          <cell r="B519"/>
          <cell r="C519" t="str">
            <v>RPRO-260609-0498</v>
          </cell>
          <cell r="D519" t="str">
            <v>PUR2606080003S</v>
          </cell>
          <cell r="E519" t="str">
            <v>BDB-000116</v>
          </cell>
          <cell r="F519" t="str">
            <v>PVN-002710</v>
          </cell>
          <cell r="G519" t="str">
            <v>OrthoLite Regular-Hybrid SEEDPEARL/12-0703TPX Hybrid Flat Sheet 0.13D 25+/-4 Asker C 1.1M 2M 5mm</v>
          </cell>
          <cell r="H519">
            <v>10</v>
          </cell>
          <cell r="I519">
            <v>10</v>
          </cell>
          <cell r="J519">
            <v>0</v>
          </cell>
          <cell r="K519">
            <v>10</v>
          </cell>
          <cell r="L519" t="str">
            <v>KATE SPADE</v>
          </cell>
          <cell r="M519" t="str">
            <v>SSO-2606-00328</v>
          </cell>
          <cell r="N519" t="str">
            <v>sheet</v>
          </cell>
          <cell r="O519" t="str">
            <v>Sample</v>
          </cell>
          <cell r="P519">
            <v>46181</v>
          </cell>
          <cell r="Q519">
            <v>46189</v>
          </cell>
          <cell r="R519">
            <v>46186</v>
          </cell>
          <cell r="S519">
            <v>6</v>
          </cell>
          <cell r="T519">
            <v>8</v>
          </cell>
          <cell r="U519">
            <v>5</v>
          </cell>
          <cell r="V519">
            <v>3.5709999999999999E-2</v>
          </cell>
          <cell r="W519">
            <v>1</v>
          </cell>
        </row>
        <row r="520">
          <cell r="A520" t="str">
            <v>S-2026-06-33</v>
          </cell>
          <cell r="B520"/>
          <cell r="C520" t="str">
            <v>RPRO-260609-0499</v>
          </cell>
          <cell r="D520" t="str">
            <v>PUR2606090001S</v>
          </cell>
          <cell r="E520" t="str">
            <v>BDB-000243</v>
          </cell>
          <cell r="F520" t="str">
            <v>PVN-004444</v>
          </cell>
          <cell r="G520" t="str">
            <v>OrthoLite Ultra-Hybrid GREEN/16-5932TPX Hybrid Flat Sheet 0.085D 25+/-4 Asker C 1.1M 2M 4mm</v>
          </cell>
          <cell r="H520">
            <v>70</v>
          </cell>
          <cell r="I520">
            <v>70</v>
          </cell>
          <cell r="J520">
            <v>0</v>
          </cell>
          <cell r="K520">
            <v>70</v>
          </cell>
          <cell r="L520" t="str">
            <v>ADIDAS</v>
          </cell>
          <cell r="M520" t="str">
            <v>SSO-2606-00325 - URGENT (6-17)</v>
          </cell>
          <cell r="N520" t="str">
            <v>Flat sheet</v>
          </cell>
          <cell r="O520" t="str">
            <v>Sample</v>
          </cell>
          <cell r="P520">
            <v>46182</v>
          </cell>
          <cell r="Q520">
            <v>46190</v>
          </cell>
          <cell r="R520">
            <v>46187</v>
          </cell>
          <cell r="S520">
            <v>6</v>
          </cell>
          <cell r="T520">
            <v>8</v>
          </cell>
          <cell r="U520">
            <v>4</v>
          </cell>
          <cell r="V520">
            <v>2.8570000000000002E-2</v>
          </cell>
          <cell r="W520">
            <v>2</v>
          </cell>
        </row>
        <row r="521">
          <cell r="A521" t="str">
            <v>S-2026-06-34</v>
          </cell>
          <cell r="B521"/>
          <cell r="C521" t="str">
            <v>RPRO-260609-0500</v>
          </cell>
          <cell r="D521" t="str">
            <v>PUR2606090001S</v>
          </cell>
          <cell r="E521" t="str">
            <v>BDB-000123</v>
          </cell>
          <cell r="F521" t="str">
            <v>PVN-003298</v>
          </cell>
          <cell r="G521" t="str">
            <v>OrthoLite Ultra-Hybrid SEEDPEARL/12-0703TPX Hybrid 0.085D 25+/-4 Asker C 1.1M 2M 4mm</v>
          </cell>
          <cell r="H521">
            <v>100</v>
          </cell>
          <cell r="I521">
            <v>100</v>
          </cell>
          <cell r="J521">
            <v>0</v>
          </cell>
          <cell r="K521">
            <v>100</v>
          </cell>
          <cell r="L521" t="str">
            <v>ADIDAS</v>
          </cell>
          <cell r="M521" t="str">
            <v>SSO-2606-00327  - URGENT (6-17)</v>
          </cell>
          <cell r="N521" t="str">
            <v>Flat sheet</v>
          </cell>
          <cell r="O521" t="str">
            <v>Sample</v>
          </cell>
          <cell r="P521">
            <v>46182</v>
          </cell>
          <cell r="Q521">
            <v>46190</v>
          </cell>
          <cell r="R521">
            <v>46187</v>
          </cell>
          <cell r="S521">
            <v>6</v>
          </cell>
          <cell r="T521">
            <v>8</v>
          </cell>
          <cell r="U521">
            <v>4</v>
          </cell>
          <cell r="V521">
            <v>2.8570000000000002E-2</v>
          </cell>
          <cell r="W521">
            <v>3</v>
          </cell>
        </row>
        <row r="522">
          <cell r="A522" t="str">
            <v>S-2026-06-35</v>
          </cell>
          <cell r="B522"/>
          <cell r="C522" t="str">
            <v>RPRO-260609-0501</v>
          </cell>
          <cell r="D522" t="str">
            <v>PUR2606090001S</v>
          </cell>
          <cell r="E522" t="str">
            <v>BDB-000123</v>
          </cell>
          <cell r="F522" t="str">
            <v>PVN-003299</v>
          </cell>
          <cell r="G522" t="str">
            <v>OrthoLite Ultra-Hybrid SEEDPEARL/12-0703TPX Hybrid 0.085D 25+/-4 Asker C 1.1M 2M 3mm</v>
          </cell>
          <cell r="H522">
            <v>50</v>
          </cell>
          <cell r="I522">
            <v>50</v>
          </cell>
          <cell r="J522">
            <v>0</v>
          </cell>
          <cell r="K522">
            <v>50</v>
          </cell>
          <cell r="L522" t="str">
            <v>ADIDAS</v>
          </cell>
          <cell r="M522" t="str">
            <v>SSO-2606-00327  - URGENT (6-17)</v>
          </cell>
          <cell r="N522" t="str">
            <v>Flat sheet</v>
          </cell>
          <cell r="O522" t="str">
            <v>Sample</v>
          </cell>
          <cell r="P522">
            <v>46182</v>
          </cell>
          <cell r="Q522">
            <v>46190</v>
          </cell>
          <cell r="R522">
            <v>46187</v>
          </cell>
          <cell r="S522">
            <v>6</v>
          </cell>
          <cell r="T522">
            <v>8</v>
          </cell>
          <cell r="U522">
            <v>3</v>
          </cell>
          <cell r="V522">
            <v>2.1739999999999999E-2</v>
          </cell>
          <cell r="W522">
            <v>2</v>
          </cell>
        </row>
        <row r="523">
          <cell r="A523" t="str">
            <v>S-2026-06-36</v>
          </cell>
          <cell r="B523"/>
          <cell r="C523" t="str">
            <v>RPRO-260609-0502</v>
          </cell>
          <cell r="D523" t="str">
            <v>PUR-202606090002S</v>
          </cell>
          <cell r="E523" t="str">
            <v>BDB-000015</v>
          </cell>
          <cell r="F523" t="str">
            <v>PVN-000437</v>
          </cell>
          <cell r="G523" t="str">
            <v>OrthoLite Regular AIR BLUE/16-4134TPX 0.13D 25+/-4 Asker C 1.1M 2M 3.5mm</v>
          </cell>
          <cell r="H523">
            <v>20</v>
          </cell>
          <cell r="I523">
            <v>20</v>
          </cell>
          <cell r="J523">
            <v>0</v>
          </cell>
          <cell r="K523">
            <v>20</v>
          </cell>
          <cell r="L523" t="str">
            <v>ASICS</v>
          </cell>
          <cell r="M523" t="str">
            <v>Sample
URGENT (6-15)</v>
          </cell>
          <cell r="N523" t="str">
            <v>DIE-CUT</v>
          </cell>
          <cell r="O523" t="str">
            <v>Sample</v>
          </cell>
          <cell r="P523">
            <v>46182</v>
          </cell>
          <cell r="Q523">
            <v>46188</v>
          </cell>
          <cell r="R523">
            <v>46185</v>
          </cell>
          <cell r="S523">
            <v>6</v>
          </cell>
          <cell r="T523">
            <v>6</v>
          </cell>
          <cell r="U523">
            <v>3.5</v>
          </cell>
          <cell r="V523">
            <v>2.5000000000000001E-2</v>
          </cell>
          <cell r="W523">
            <v>1</v>
          </cell>
        </row>
        <row r="524">
          <cell r="A524" t="str">
            <v>S-2026-06-37</v>
          </cell>
          <cell r="B524"/>
          <cell r="C524" t="str">
            <v>RPRO-260609-0503</v>
          </cell>
          <cell r="D524" t="str">
            <v>PUR-202606090002S</v>
          </cell>
          <cell r="E524" t="str">
            <v>BDB-000123</v>
          </cell>
          <cell r="F524" t="str">
            <v>PVN-002973</v>
          </cell>
          <cell r="G524" t="str">
            <v>UltraLite-Hybrid OrthoLite SEEDPEARL/12-0703TPX Hybrid Flat Sheet 0.085D 25+/-4 Asker C 1.1M 2M 4.5mm</v>
          </cell>
          <cell r="H524">
            <v>50</v>
          </cell>
          <cell r="I524">
            <v>50</v>
          </cell>
          <cell r="J524">
            <v>0</v>
          </cell>
          <cell r="K524">
            <v>50</v>
          </cell>
          <cell r="L524" t="str">
            <v>SALOMON</v>
          </cell>
          <cell r="M524" t="str">
            <v>Sample</v>
          </cell>
          <cell r="N524" t="str">
            <v>MOLDED</v>
          </cell>
          <cell r="O524" t="str">
            <v>Sample</v>
          </cell>
          <cell r="P524">
            <v>46182</v>
          </cell>
          <cell r="Q524">
            <v>46190</v>
          </cell>
          <cell r="R524">
            <v>46187</v>
          </cell>
          <cell r="S524">
            <v>6</v>
          </cell>
          <cell r="T524">
            <v>8</v>
          </cell>
          <cell r="U524">
            <v>4.5</v>
          </cell>
          <cell r="V524">
            <v>3.2259999999999997E-2</v>
          </cell>
          <cell r="W524">
            <v>2</v>
          </cell>
        </row>
        <row r="525">
          <cell r="A525" t="str">
            <v>S-2026-06-38</v>
          </cell>
          <cell r="B525"/>
          <cell r="C525" t="str">
            <v>RPRO-260609-0504</v>
          </cell>
          <cell r="D525" t="str">
            <v>PUR2606090003S</v>
          </cell>
          <cell r="E525" t="str">
            <v>BDB-000348</v>
          </cell>
          <cell r="F525" t="str">
            <v>PVN-004195</v>
          </cell>
          <cell r="G525" t="str">
            <v>OrthoLite IMPERIAL SEEDPEARL/12-0703TPX Flat Sheet 0.22D 25+/-4 Asker C 1.1M 1.47M 4mm</v>
          </cell>
          <cell r="H525">
            <v>250</v>
          </cell>
          <cell r="I525">
            <v>250</v>
          </cell>
          <cell r="J525">
            <v>0</v>
          </cell>
          <cell r="K525">
            <v>250</v>
          </cell>
          <cell r="L525" t="str">
            <v>ADIDAS</v>
          </cell>
          <cell r="M525" t="str">
            <v>SSO-2606-00371/00379 - URGENT (6-13)</v>
          </cell>
          <cell r="N525" t="str">
            <v>Flat sheet</v>
          </cell>
          <cell r="O525" t="str">
            <v>Sample</v>
          </cell>
          <cell r="P525">
            <v>46182</v>
          </cell>
          <cell r="Q525">
            <v>46189</v>
          </cell>
          <cell r="R525">
            <v>46186</v>
          </cell>
          <cell r="S525">
            <v>6</v>
          </cell>
          <cell r="T525">
            <v>7</v>
          </cell>
          <cell r="U525">
            <v>4</v>
          </cell>
          <cell r="V525">
            <v>2.8570000000000002E-2</v>
          </cell>
          <cell r="W525">
            <v>8</v>
          </cell>
        </row>
        <row r="526">
          <cell r="A526" t="str">
            <v>S-2026-06-39</v>
          </cell>
          <cell r="B526"/>
          <cell r="C526" t="str">
            <v>RPRO-260609-0505</v>
          </cell>
          <cell r="D526" t="str">
            <v>PUR2606090003S</v>
          </cell>
          <cell r="E526" t="str">
            <v>BDB-000058</v>
          </cell>
          <cell r="F526" t="str">
            <v>PVN-001319</v>
          </cell>
          <cell r="G526" t="str">
            <v>OrthoLite Ultra GREEN/16-5932TPX Flat Sheet 0.085D 25+/-4 Asker C 1.1M 2M 5mm</v>
          </cell>
          <cell r="H526">
            <v>50</v>
          </cell>
          <cell r="I526">
            <v>50</v>
          </cell>
          <cell r="J526">
            <v>0</v>
          </cell>
          <cell r="K526">
            <v>50</v>
          </cell>
          <cell r="L526" t="str">
            <v>ADIDAS</v>
          </cell>
          <cell r="M526" t="str">
            <v>SSO-2606-00358/00359 - URGENT (6-16)</v>
          </cell>
          <cell r="N526" t="str">
            <v>Flat sheet</v>
          </cell>
          <cell r="O526" t="str">
            <v>Sample</v>
          </cell>
          <cell r="P526">
            <v>46182</v>
          </cell>
          <cell r="Q526">
            <v>46190</v>
          </cell>
          <cell r="R526">
            <v>46187</v>
          </cell>
          <cell r="S526">
            <v>6</v>
          </cell>
          <cell r="T526">
            <v>8</v>
          </cell>
          <cell r="U526">
            <v>5</v>
          </cell>
          <cell r="V526">
            <v>3.5709999999999999E-2</v>
          </cell>
          <cell r="W526">
            <v>2</v>
          </cell>
        </row>
        <row r="527">
          <cell r="A527" t="str">
            <v>S-2026-06-40</v>
          </cell>
          <cell r="B527"/>
          <cell r="C527" t="str">
            <v>RPRO-260609-0506</v>
          </cell>
          <cell r="D527" t="str">
            <v>PUR2606090003S</v>
          </cell>
          <cell r="E527" t="str">
            <v>BDB-000123</v>
          </cell>
          <cell r="F527" t="str">
            <v>PVN-003299</v>
          </cell>
          <cell r="G527" t="str">
            <v>OrthoLite Ultra-Hybrid SEEDPEARL/12-0703TPX Hybrid 0.085D 25+/-4 Asker C 1.1M 2M 3mm</v>
          </cell>
          <cell r="H527">
            <v>50</v>
          </cell>
          <cell r="I527">
            <v>50</v>
          </cell>
          <cell r="J527">
            <v>0</v>
          </cell>
          <cell r="K527">
            <v>50</v>
          </cell>
          <cell r="L527" t="str">
            <v>ADIDAS</v>
          </cell>
          <cell r="M527" t="str">
            <v>SSO-2606-00375/00400 - URGENT (6-16)</v>
          </cell>
          <cell r="N527" t="str">
            <v>Flat sheet</v>
          </cell>
          <cell r="O527" t="str">
            <v>Sample</v>
          </cell>
          <cell r="P527">
            <v>46182</v>
          </cell>
          <cell r="Q527">
            <v>46190</v>
          </cell>
          <cell r="R527">
            <v>46187</v>
          </cell>
          <cell r="S527">
            <v>6</v>
          </cell>
          <cell r="T527">
            <v>8</v>
          </cell>
          <cell r="U527">
            <v>3</v>
          </cell>
          <cell r="V527">
            <v>2.1739999999999999E-2</v>
          </cell>
          <cell r="W527">
            <v>2</v>
          </cell>
        </row>
        <row r="528">
          <cell r="A528" t="str">
            <v>S-2026-06-41</v>
          </cell>
          <cell r="B528"/>
          <cell r="C528" t="str">
            <v>RPRO-260609-0507</v>
          </cell>
          <cell r="D528" t="str">
            <v>PUR2606090003S</v>
          </cell>
          <cell r="E528" t="str">
            <v>BDB-000200</v>
          </cell>
          <cell r="F528" t="str">
            <v>PVN-003425</v>
          </cell>
          <cell r="G528" t="str">
            <v>OrthoLite Ultra SEEDPEARL/12-0703TPX Flat Sheet 0.085D 78-90 Asker F 1.1M 2M 4mm</v>
          </cell>
          <cell r="H528">
            <v>30</v>
          </cell>
          <cell r="I528">
            <v>30</v>
          </cell>
          <cell r="J528">
            <v>0</v>
          </cell>
          <cell r="K528">
            <v>30</v>
          </cell>
          <cell r="L528" t="str">
            <v>ADIDAS</v>
          </cell>
          <cell r="M528" t="str">
            <v>SSO-2606-00377 - URGENT (6-16)</v>
          </cell>
          <cell r="N528" t="str">
            <v>Flat sheet</v>
          </cell>
          <cell r="O528" t="str">
            <v>Sample</v>
          </cell>
          <cell r="P528">
            <v>46182</v>
          </cell>
          <cell r="Q528">
            <v>46190</v>
          </cell>
          <cell r="R528">
            <v>46187</v>
          </cell>
          <cell r="S528">
            <v>6</v>
          </cell>
          <cell r="T528">
            <v>8</v>
          </cell>
          <cell r="U528">
            <v>4</v>
          </cell>
          <cell r="V528">
            <v>2.8570000000000002E-2</v>
          </cell>
          <cell r="W528">
            <v>1</v>
          </cell>
        </row>
        <row r="529">
          <cell r="A529" t="str">
            <v>S-2026-06-42</v>
          </cell>
          <cell r="B529"/>
          <cell r="C529" t="str">
            <v>RPRO-260610-0503</v>
          </cell>
          <cell r="D529" t="str">
            <v>PUR2600601000001S</v>
          </cell>
          <cell r="E529" t="str">
            <v>BDB-000331</v>
          </cell>
          <cell r="F529" t="str">
            <v>PVN-004446</v>
          </cell>
          <cell r="G529" t="str">
            <v>OrthoLite X-35-Nike FOSSIL/17-0909TPX 0.145D 25+/-4 Asker C 1.1M 2M 4.5mm</v>
          </cell>
          <cell r="H529">
            <v>20</v>
          </cell>
          <cell r="I529">
            <v>20</v>
          </cell>
          <cell r="J529">
            <v>0</v>
          </cell>
          <cell r="K529">
            <v>20</v>
          </cell>
          <cell r="L529" t="str">
            <v>NIKE</v>
          </cell>
          <cell r="M529" t="str">
            <v>Sample</v>
          </cell>
          <cell r="N529" t="str">
            <v>MOLDED</v>
          </cell>
          <cell r="O529" t="str">
            <v>Sample</v>
          </cell>
          <cell r="P529">
            <v>46183</v>
          </cell>
          <cell r="Q529">
            <v>46192</v>
          </cell>
          <cell r="R529">
            <v>46189</v>
          </cell>
          <cell r="S529">
            <v>6</v>
          </cell>
          <cell r="T529">
            <v>9</v>
          </cell>
          <cell r="U529">
            <v>4.5</v>
          </cell>
          <cell r="V529">
            <v>3.125E-2</v>
          </cell>
          <cell r="W529">
            <v>1</v>
          </cell>
        </row>
        <row r="530">
          <cell r="A530" t="str">
            <v>S-2026-06-43</v>
          </cell>
          <cell r="B530"/>
          <cell r="C530" t="str">
            <v>RPRO-260610-0504</v>
          </cell>
          <cell r="D530" t="str">
            <v xml:space="preserve">PUR2606100002S  </v>
          </cell>
          <cell r="E530" t="str">
            <v>BDB-000123</v>
          </cell>
          <cell r="F530" t="str">
            <v>PVN-003299</v>
          </cell>
          <cell r="G530" t="str">
            <v>OrthoLite Ultra-Hybrid SEEDPEARL/12-0703TPX Hybrid Flat Sheet 0.085D 25+/-4 Asker C 1.1M 2M 3mm</v>
          </cell>
          <cell r="H530">
            <v>250</v>
          </cell>
          <cell r="I530">
            <v>250</v>
          </cell>
          <cell r="J530">
            <v>0</v>
          </cell>
          <cell r="K530">
            <v>250</v>
          </cell>
          <cell r="L530" t="str">
            <v>ADIDAS</v>
          </cell>
          <cell r="M530" t="str">
            <v>SSO-2606-00410/00419 - URGENT (6-14)</v>
          </cell>
          <cell r="N530" t="str">
            <v>Flat sheet</v>
          </cell>
          <cell r="O530" t="str">
            <v>Sample</v>
          </cell>
          <cell r="P530">
            <v>46183</v>
          </cell>
          <cell r="Q530">
            <v>46190</v>
          </cell>
          <cell r="R530">
            <v>46187</v>
          </cell>
          <cell r="S530">
            <v>6</v>
          </cell>
          <cell r="T530">
            <v>7</v>
          </cell>
          <cell r="U530">
            <v>3</v>
          </cell>
          <cell r="V530">
            <v>2.1739999999999999E-2</v>
          </cell>
          <cell r="W530">
            <v>6</v>
          </cell>
        </row>
        <row r="531">
          <cell r="A531" t="str">
            <v>S-2026-06-44</v>
          </cell>
          <cell r="B531"/>
          <cell r="C531" t="str">
            <v>RPRO-260610-0505</v>
          </cell>
          <cell r="D531" t="str">
            <v xml:space="preserve">PUR2606100002S  </v>
          </cell>
          <cell r="E531" t="str">
            <v>BDB-000055</v>
          </cell>
          <cell r="F531" t="str">
            <v>PVN-004155</v>
          </cell>
          <cell r="G531" t="str">
            <v>OrthoLite X-40 TRUE BLUE/19-4057TPX Flat Sheet 0.16D 35+/-4 Asker C 1.1M 1.7M 3.2mm</v>
          </cell>
          <cell r="H531">
            <v>10</v>
          </cell>
          <cell r="I531">
            <v>10</v>
          </cell>
          <cell r="J531">
            <v>0</v>
          </cell>
          <cell r="K531">
            <v>10</v>
          </cell>
          <cell r="L531" t="str">
            <v>ADIDAS</v>
          </cell>
          <cell r="M531" t="str">
            <v>Sample</v>
          </cell>
          <cell r="N531" t="str">
            <v>Molded</v>
          </cell>
          <cell r="O531" t="str">
            <v>Sample</v>
          </cell>
          <cell r="P531">
            <v>46183</v>
          </cell>
          <cell r="Q531">
            <v>46192</v>
          </cell>
          <cell r="R531">
            <v>46189</v>
          </cell>
          <cell r="S531">
            <v>6</v>
          </cell>
          <cell r="T531">
            <v>9</v>
          </cell>
          <cell r="U531">
            <v>3.2</v>
          </cell>
          <cell r="V531">
            <v>2.3259999999999999E-2</v>
          </cell>
          <cell r="W531">
            <v>1</v>
          </cell>
        </row>
        <row r="532">
          <cell r="A532" t="str">
            <v>S-2026-06-45</v>
          </cell>
          <cell r="B532"/>
          <cell r="C532" t="str">
            <v>RPRO-260610-0506</v>
          </cell>
          <cell r="D532" t="str">
            <v>PUR2606100004S</v>
          </cell>
          <cell r="E532" t="str">
            <v>BDB-000209</v>
          </cell>
          <cell r="F532" t="str">
            <v>PVN-003537</v>
          </cell>
          <cell r="G532" t="str">
            <v>OrthoLite HybridPlus-Recycled MINT GREEN/11-4805TPX Hybrid 0.12D 25+/-4 Asker C 1.1M 2M 4.5mm</v>
          </cell>
          <cell r="H532">
            <v>30</v>
          </cell>
          <cell r="I532">
            <v>30</v>
          </cell>
          <cell r="J532">
            <v>0</v>
          </cell>
          <cell r="K532">
            <v>30</v>
          </cell>
          <cell r="L532" t="str">
            <v>AKU</v>
          </cell>
          <cell r="M532" t="str">
            <v>SSO-2606-00451</v>
          </cell>
          <cell r="N532" t="str">
            <v>OE-0111A</v>
          </cell>
          <cell r="O532" t="str">
            <v>Sample</v>
          </cell>
          <cell r="P532">
            <v>46183</v>
          </cell>
          <cell r="Q532">
            <v>46192</v>
          </cell>
          <cell r="R532">
            <v>46189</v>
          </cell>
          <cell r="S532">
            <v>6</v>
          </cell>
          <cell r="T532">
            <v>9</v>
          </cell>
          <cell r="U532">
            <v>4.5</v>
          </cell>
          <cell r="V532">
            <v>3.2259999999999997E-2</v>
          </cell>
          <cell r="W532">
            <v>1</v>
          </cell>
        </row>
        <row r="533">
          <cell r="A533" t="str">
            <v>S-2026-06-46</v>
          </cell>
          <cell r="B533"/>
          <cell r="C533" t="str">
            <v>RPRO-260610-0507</v>
          </cell>
          <cell r="D533" t="str">
            <v>PUR2606100005S</v>
          </cell>
          <cell r="E533" t="str">
            <v>BDB-000083</v>
          </cell>
          <cell r="F533" t="str">
            <v>PVN-000935</v>
          </cell>
          <cell r="G533" t="str">
            <v>OrthoLite Eco LT 300C(ADIDAS BLUEBIRD) Flat Sheet 0.11D 25+/-4 Asker C 1.1M 2M 4mm</v>
          </cell>
          <cell r="H533">
            <v>200</v>
          </cell>
          <cell r="I533">
            <v>200</v>
          </cell>
          <cell r="J533">
            <v>0</v>
          </cell>
          <cell r="K533">
            <v>200</v>
          </cell>
          <cell r="L533" t="str">
            <v>ADIDAS</v>
          </cell>
          <cell r="M533" t="str">
            <v>SSO-2606-00449 - URGENT (6-20)</v>
          </cell>
          <cell r="N533" t="str">
            <v>Flat sheet</v>
          </cell>
          <cell r="O533" t="str">
            <v>Sample</v>
          </cell>
          <cell r="P533">
            <v>46183</v>
          </cell>
          <cell r="Q533">
            <v>46192</v>
          </cell>
          <cell r="R533">
            <v>46189</v>
          </cell>
          <cell r="S533">
            <v>6</v>
          </cell>
          <cell r="T533">
            <v>9</v>
          </cell>
          <cell r="U533">
            <v>4</v>
          </cell>
          <cell r="V533">
            <v>2.8570000000000002E-2</v>
          </cell>
          <cell r="W533">
            <v>6</v>
          </cell>
        </row>
        <row r="534">
          <cell r="A534" t="str">
            <v>S-2026-06-47</v>
          </cell>
          <cell r="B534"/>
          <cell r="C534" t="str">
            <v>RPRO-260610-0508</v>
          </cell>
          <cell r="D534" t="str">
            <v>PUR2606100005S</v>
          </cell>
          <cell r="E534" t="str">
            <v>BDB-000058</v>
          </cell>
          <cell r="F534" t="str">
            <v>PVN-001277</v>
          </cell>
          <cell r="G534" t="str">
            <v>OrthoLite Ultra GREEN/16-5932TPX Flat Sheet 0.085D 25+/-4 Asker C 1.1M 2M 4mm</v>
          </cell>
          <cell r="H534">
            <v>30</v>
          </cell>
          <cell r="I534">
            <v>30</v>
          </cell>
          <cell r="J534">
            <v>0</v>
          </cell>
          <cell r="K534">
            <v>30</v>
          </cell>
          <cell r="L534" t="str">
            <v>ADIDAS</v>
          </cell>
          <cell r="M534" t="str">
            <v>SSO-2606-00356 - URGENT (6-14)</v>
          </cell>
          <cell r="N534" t="str">
            <v>Flat sheet</v>
          </cell>
          <cell r="O534" t="str">
            <v>Sample</v>
          </cell>
          <cell r="P534">
            <v>46183</v>
          </cell>
          <cell r="Q534">
            <v>46191</v>
          </cell>
          <cell r="R534">
            <v>46188</v>
          </cell>
          <cell r="S534">
            <v>6</v>
          </cell>
          <cell r="T534">
            <v>8</v>
          </cell>
          <cell r="U534">
            <v>4</v>
          </cell>
          <cell r="V534">
            <v>2.8570000000000002E-2</v>
          </cell>
          <cell r="W534">
            <v>1</v>
          </cell>
        </row>
        <row r="535">
          <cell r="A535"/>
          <cell r="B535"/>
          <cell r="C535"/>
          <cell r="D535"/>
          <cell r="E535" t="str">
            <v/>
          </cell>
          <cell r="F535"/>
          <cell r="G535"/>
          <cell r="H535"/>
          <cell r="I535"/>
          <cell r="J535">
            <v>0</v>
          </cell>
          <cell r="K535">
            <v>0</v>
          </cell>
          <cell r="L535"/>
          <cell r="M535"/>
          <cell r="N535"/>
          <cell r="O535"/>
          <cell r="P535"/>
          <cell r="Q535"/>
          <cell r="R535">
            <v>-3</v>
          </cell>
          <cell r="S535">
            <v>6</v>
          </cell>
          <cell r="T535">
            <v>0</v>
          </cell>
          <cell r="U535"/>
          <cell r="V535">
            <v>0</v>
          </cell>
          <cell r="W535">
            <v>0</v>
          </cell>
        </row>
        <row r="536">
          <cell r="A536"/>
          <cell r="B536"/>
          <cell r="C536"/>
          <cell r="D536"/>
          <cell r="E536" t="str">
            <v/>
          </cell>
          <cell r="F536"/>
          <cell r="G536"/>
          <cell r="H536"/>
          <cell r="I536"/>
          <cell r="J536">
            <v>0</v>
          </cell>
          <cell r="K536">
            <v>0</v>
          </cell>
          <cell r="L536"/>
          <cell r="M536"/>
          <cell r="N536"/>
          <cell r="O536"/>
          <cell r="P536"/>
          <cell r="Q536"/>
          <cell r="R536">
            <v>-3</v>
          </cell>
          <cell r="S536">
            <v>6</v>
          </cell>
          <cell r="T536">
            <v>0</v>
          </cell>
          <cell r="U536"/>
          <cell r="V536">
            <v>0</v>
          </cell>
          <cell r="W536">
            <v>0</v>
          </cell>
        </row>
        <row r="537">
          <cell r="A537"/>
          <cell r="B537"/>
          <cell r="C537"/>
          <cell r="D537"/>
          <cell r="E537" t="str">
            <v/>
          </cell>
          <cell r="F537"/>
          <cell r="G537"/>
          <cell r="H537"/>
          <cell r="I537"/>
          <cell r="J537">
            <v>0</v>
          </cell>
          <cell r="K537">
            <v>0</v>
          </cell>
          <cell r="L537"/>
          <cell r="M537"/>
          <cell r="N537"/>
          <cell r="O537"/>
          <cell r="P537"/>
          <cell r="Q537"/>
          <cell r="R537">
            <v>-3</v>
          </cell>
          <cell r="S537">
            <v>6</v>
          </cell>
          <cell r="T537">
            <v>0</v>
          </cell>
          <cell r="U537"/>
          <cell r="V537">
            <v>0</v>
          </cell>
          <cell r="W537">
            <v>0</v>
          </cell>
        </row>
        <row r="538">
          <cell r="A538"/>
          <cell r="B538"/>
          <cell r="C538"/>
          <cell r="D538"/>
          <cell r="E538" t="str">
            <v/>
          </cell>
          <cell r="F538"/>
          <cell r="G538"/>
          <cell r="H538"/>
          <cell r="I538"/>
          <cell r="J538">
            <v>0</v>
          </cell>
          <cell r="K538">
            <v>0</v>
          </cell>
          <cell r="L538"/>
          <cell r="M538"/>
          <cell r="N538"/>
          <cell r="O538"/>
          <cell r="P538"/>
          <cell r="Q538"/>
          <cell r="R538">
            <v>-3</v>
          </cell>
          <cell r="S538">
            <v>6</v>
          </cell>
          <cell r="T538">
            <v>0</v>
          </cell>
          <cell r="U538"/>
          <cell r="V538">
            <v>0</v>
          </cell>
          <cell r="W538">
            <v>0</v>
          </cell>
        </row>
        <row r="539">
          <cell r="A539"/>
          <cell r="B539"/>
          <cell r="C539"/>
          <cell r="D539"/>
          <cell r="E539" t="str">
            <v/>
          </cell>
          <cell r="F539"/>
          <cell r="G539"/>
          <cell r="H539"/>
          <cell r="I539"/>
          <cell r="J539">
            <v>0</v>
          </cell>
          <cell r="K539">
            <v>0</v>
          </cell>
          <cell r="L539"/>
          <cell r="M539"/>
          <cell r="N539"/>
          <cell r="O539"/>
          <cell r="P539"/>
          <cell r="Q539"/>
          <cell r="R539">
            <v>-3</v>
          </cell>
          <cell r="S539">
            <v>6</v>
          </cell>
          <cell r="T539">
            <v>0</v>
          </cell>
          <cell r="U539"/>
          <cell r="V539">
            <v>0</v>
          </cell>
          <cell r="W539">
            <v>0</v>
          </cell>
        </row>
        <row r="540">
          <cell r="A540"/>
          <cell r="B540"/>
          <cell r="C540"/>
          <cell r="D540"/>
          <cell r="E540" t="str">
            <v/>
          </cell>
          <cell r="F540"/>
          <cell r="G540"/>
          <cell r="H540"/>
          <cell r="I540"/>
          <cell r="J540">
            <v>0</v>
          </cell>
          <cell r="K540">
            <v>0</v>
          </cell>
          <cell r="L540"/>
          <cell r="M540"/>
          <cell r="N540"/>
          <cell r="O540"/>
          <cell r="P540"/>
          <cell r="Q540"/>
          <cell r="R540">
            <v>-3</v>
          </cell>
          <cell r="S540">
            <v>6</v>
          </cell>
          <cell r="T540">
            <v>0</v>
          </cell>
          <cell r="U540"/>
          <cell r="V540">
            <v>0</v>
          </cell>
          <cell r="W540">
            <v>0</v>
          </cell>
        </row>
        <row r="541">
          <cell r="A541"/>
          <cell r="B541"/>
          <cell r="C541"/>
          <cell r="D541"/>
          <cell r="E541" t="str">
            <v/>
          </cell>
          <cell r="F541"/>
          <cell r="G541"/>
          <cell r="H541"/>
          <cell r="I541"/>
          <cell r="J541">
            <v>0</v>
          </cell>
          <cell r="K541">
            <v>0</v>
          </cell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</row>
        <row r="542">
          <cell r="A542"/>
          <cell r="B542"/>
          <cell r="C542"/>
          <cell r="D542"/>
          <cell r="E542" t="str">
            <v/>
          </cell>
          <cell r="F542"/>
          <cell r="G542"/>
          <cell r="H542"/>
          <cell r="I542"/>
          <cell r="J542"/>
          <cell r="K542"/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</row>
        <row r="543">
          <cell r="A543"/>
          <cell r="B543"/>
          <cell r="C543"/>
          <cell r="D543"/>
          <cell r="E543" t="str">
            <v/>
          </cell>
          <cell r="F543"/>
          <cell r="G543"/>
          <cell r="H543"/>
          <cell r="I543"/>
          <cell r="J543"/>
          <cell r="K543"/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</row>
        <row r="544">
          <cell r="A544"/>
          <cell r="B544"/>
          <cell r="C544"/>
          <cell r="D544"/>
          <cell r="E544" t="str">
            <v/>
          </cell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</row>
        <row r="545">
          <cell r="A545"/>
          <cell r="B545"/>
          <cell r="C545"/>
          <cell r="D545"/>
          <cell r="E545" t="str">
            <v/>
          </cell>
          <cell r="F545"/>
          <cell r="G545"/>
          <cell r="H545"/>
          <cell r="I545"/>
          <cell r="J545"/>
          <cell r="K545"/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</row>
        <row r="546">
          <cell r="A546"/>
          <cell r="B546"/>
          <cell r="C546"/>
          <cell r="D546"/>
          <cell r="E546" t="str">
            <v/>
          </cell>
          <cell r="F546"/>
          <cell r="G546"/>
          <cell r="H546"/>
          <cell r="I546"/>
          <cell r="J546"/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28" priority="8"/>
  </conditionalFormatting>
  <conditionalFormatting sqref="A3:A20">
    <cfRule type="duplicateValues" dxfId="127" priority="11"/>
  </conditionalFormatting>
  <conditionalFormatting sqref="A23:A1048576">
    <cfRule type="duplicateValues" dxfId="126" priority="9"/>
  </conditionalFormatting>
  <conditionalFormatting sqref="C1:C1048576">
    <cfRule type="duplicateValues" dxfId="125" priority="1"/>
    <cfRule type="duplicateValues" dxfId="124" priority="2"/>
  </conditionalFormatting>
  <conditionalFormatting sqref="I2:M2">
    <cfRule type="duplicateValues" dxfId="123" priority="7"/>
  </conditionalFormatting>
  <conditionalFormatting sqref="N1">
    <cfRule type="duplicateValues" dxfId="122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21" priority="5"/>
  </conditionalFormatting>
  <conditionalFormatting sqref="A3:A23">
    <cfRule type="duplicateValues" dxfId="120" priority="7"/>
  </conditionalFormatting>
  <conditionalFormatting sqref="A26:A1048576">
    <cfRule type="duplicateValues" dxfId="119" priority="6"/>
  </conditionalFormatting>
  <conditionalFormatting sqref="C1:C1048576">
    <cfRule type="duplicateValues" dxfId="118" priority="1"/>
    <cfRule type="duplicateValues" dxfId="117" priority="2"/>
  </conditionalFormatting>
  <conditionalFormatting sqref="I2:M2">
    <cfRule type="duplicateValues" dxfId="116" priority="4"/>
  </conditionalFormatting>
  <conditionalFormatting sqref="N1">
    <cfRule type="duplicateValues" dxfId="11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114" priority="5"/>
  </conditionalFormatting>
  <conditionalFormatting sqref="A3:A28">
    <cfRule type="duplicateValues" dxfId="113" priority="7"/>
  </conditionalFormatting>
  <conditionalFormatting sqref="A31:A1048576">
    <cfRule type="duplicateValues" dxfId="112" priority="6"/>
  </conditionalFormatting>
  <conditionalFormatting sqref="C1:C1048576">
    <cfRule type="duplicateValues" dxfId="111" priority="1"/>
    <cfRule type="duplicateValues" dxfId="110" priority="2"/>
  </conditionalFormatting>
  <conditionalFormatting sqref="I2:M2">
    <cfRule type="duplicateValues" dxfId="109" priority="4"/>
  </conditionalFormatting>
  <conditionalFormatting sqref="N1">
    <cfRule type="duplicateValues" dxfId="10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07" priority="5"/>
  </conditionalFormatting>
  <conditionalFormatting sqref="A3:A25">
    <cfRule type="duplicateValues" dxfId="106" priority="7"/>
  </conditionalFormatting>
  <conditionalFormatting sqref="A28:A1048576">
    <cfRule type="duplicateValues" dxfId="105" priority="6"/>
  </conditionalFormatting>
  <conditionalFormatting sqref="C1:C1048576">
    <cfRule type="duplicateValues" dxfId="104" priority="1"/>
    <cfRule type="duplicateValues" dxfId="103" priority="2"/>
  </conditionalFormatting>
  <conditionalFormatting sqref="I2:M2">
    <cfRule type="duplicateValues" dxfId="102" priority="4"/>
  </conditionalFormatting>
  <conditionalFormatting sqref="N1">
    <cfRule type="duplicateValues" dxfId="10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3" t="s">
        <v>1</v>
      </c>
      <c r="E7" s="83"/>
      <c r="F7" s="83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100" priority="11"/>
  </conditionalFormatting>
  <conditionalFormatting sqref="A3:A6 A14:A18">
    <cfRule type="duplicateValues" dxfId="99" priority="13"/>
  </conditionalFormatting>
  <conditionalFormatting sqref="A8">
    <cfRule type="duplicateValues" dxfId="98" priority="5"/>
  </conditionalFormatting>
  <conditionalFormatting sqref="A9:A13">
    <cfRule type="duplicateValues" dxfId="97" priority="6"/>
  </conditionalFormatting>
  <conditionalFormatting sqref="A21:A1048576">
    <cfRule type="duplicateValues" dxfId="96" priority="12"/>
  </conditionalFormatting>
  <conditionalFormatting sqref="C1:C6 C14:C1048576">
    <cfRule type="duplicateValues" dxfId="95" priority="7"/>
    <cfRule type="duplicateValues" dxfId="94" priority="8"/>
  </conditionalFormatting>
  <conditionalFormatting sqref="C7:C13">
    <cfRule type="duplicateValues" dxfId="93" priority="2"/>
    <cfRule type="duplicateValues" dxfId="92" priority="3"/>
  </conditionalFormatting>
  <conditionalFormatting sqref="I8:L8">
    <cfRule type="duplicateValues" dxfId="91" priority="4"/>
  </conditionalFormatting>
  <conditionalFormatting sqref="I2:M2">
    <cfRule type="duplicateValues" dxfId="90" priority="10"/>
  </conditionalFormatting>
  <conditionalFormatting sqref="M7">
    <cfRule type="duplicateValues" dxfId="89" priority="1"/>
  </conditionalFormatting>
  <conditionalFormatting sqref="N1">
    <cfRule type="duplicateValues" dxfId="88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87" priority="5"/>
  </conditionalFormatting>
  <conditionalFormatting sqref="A3:A15">
    <cfRule type="duplicateValues" dxfId="86" priority="8"/>
  </conditionalFormatting>
  <conditionalFormatting sqref="A16:A21">
    <cfRule type="duplicateValues" dxfId="85" priority="7"/>
  </conditionalFormatting>
  <conditionalFormatting sqref="A24:A1048576">
    <cfRule type="duplicateValues" dxfId="84" priority="6"/>
  </conditionalFormatting>
  <conditionalFormatting sqref="C1:C1048576">
    <cfRule type="duplicateValues" dxfId="83" priority="1"/>
    <cfRule type="duplicateValues" dxfId="82" priority="2"/>
  </conditionalFormatting>
  <conditionalFormatting sqref="I2:M2">
    <cfRule type="duplicateValues" dxfId="81" priority="4"/>
  </conditionalFormatting>
  <conditionalFormatting sqref="N1">
    <cfRule type="duplicateValues" dxfId="80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79" priority="5"/>
  </conditionalFormatting>
  <conditionalFormatting sqref="A3:A21">
    <cfRule type="duplicateValues" dxfId="78" priority="7"/>
  </conditionalFormatting>
  <conditionalFormatting sqref="A24:A1048576">
    <cfRule type="duplicateValues" dxfId="77" priority="6"/>
  </conditionalFormatting>
  <conditionalFormatting sqref="C1:C1048576">
    <cfRule type="duplicateValues" dxfId="76" priority="1"/>
    <cfRule type="duplicateValues" dxfId="75" priority="2"/>
  </conditionalFormatting>
  <conditionalFormatting sqref="I2:M2">
    <cfRule type="duplicateValues" dxfId="74" priority="4"/>
  </conditionalFormatting>
  <conditionalFormatting sqref="N1">
    <cfRule type="duplicateValues" dxfId="73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5" sqref="A1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72" priority="6"/>
  </conditionalFormatting>
  <conditionalFormatting sqref="A3:A24">
    <cfRule type="duplicateValues" dxfId="71" priority="8"/>
  </conditionalFormatting>
  <conditionalFormatting sqref="A27:A1048576">
    <cfRule type="duplicateValues" dxfId="70" priority="7"/>
  </conditionalFormatting>
  <conditionalFormatting sqref="C1:C1048576">
    <cfRule type="duplicateValues" dxfId="69" priority="1"/>
    <cfRule type="duplicateValues" dxfId="68" priority="2"/>
    <cfRule type="duplicateValues" dxfId="67" priority="3"/>
  </conditionalFormatting>
  <conditionalFormatting sqref="I2:M2">
    <cfRule type="duplicateValues" dxfId="66" priority="5"/>
  </conditionalFormatting>
  <conditionalFormatting sqref="N1">
    <cfRule type="duplicateValues" dxfId="65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64" priority="5"/>
  </conditionalFormatting>
  <conditionalFormatting sqref="A3:A20">
    <cfRule type="duplicateValues" dxfId="63" priority="7"/>
  </conditionalFormatting>
  <conditionalFormatting sqref="A23:A1048576">
    <cfRule type="duplicateValues" dxfId="62" priority="6"/>
  </conditionalFormatting>
  <conditionalFormatting sqref="C1:C1048576">
    <cfRule type="duplicateValues" dxfId="61" priority="1"/>
    <cfRule type="duplicateValues" dxfId="60" priority="2"/>
  </conditionalFormatting>
  <conditionalFormatting sqref="I2:M2">
    <cfRule type="duplicateValues" dxfId="59" priority="4"/>
  </conditionalFormatting>
  <conditionalFormatting sqref="N1">
    <cfRule type="duplicateValues" dxfId="5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9" sqref="A1:O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57" priority="5"/>
  </conditionalFormatting>
  <conditionalFormatting sqref="A3:A23">
    <cfRule type="duplicateValues" dxfId="56" priority="7"/>
  </conditionalFormatting>
  <conditionalFormatting sqref="A26:A1048576">
    <cfRule type="duplicateValues" dxfId="55" priority="6"/>
  </conditionalFormatting>
  <conditionalFormatting sqref="C1:C1048576">
    <cfRule type="duplicateValues" dxfId="54" priority="1"/>
    <cfRule type="duplicateValues" dxfId="53" priority="2"/>
  </conditionalFormatting>
  <conditionalFormatting sqref="I2:M2">
    <cfRule type="duplicateValues" dxfId="52" priority="4"/>
  </conditionalFormatting>
  <conditionalFormatting sqref="N1">
    <cfRule type="duplicateValues" dxfId="5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50" priority="5"/>
  </conditionalFormatting>
  <conditionalFormatting sqref="A3:A22">
    <cfRule type="duplicateValues" dxfId="49" priority="7"/>
  </conditionalFormatting>
  <conditionalFormatting sqref="A25:A1048576">
    <cfRule type="duplicateValues" dxfId="48" priority="6"/>
  </conditionalFormatting>
  <conditionalFormatting sqref="C1:C1048576">
    <cfRule type="duplicateValues" dxfId="47" priority="1"/>
    <cfRule type="duplicateValues" dxfId="46" priority="2"/>
  </conditionalFormatting>
  <conditionalFormatting sqref="I2:M2">
    <cfRule type="duplicateValues" dxfId="45" priority="4"/>
  </conditionalFormatting>
  <conditionalFormatting sqref="N1">
    <cfRule type="duplicateValues" dxfId="4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</sheetPr>
  <dimension ref="A1:N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6" sqref="D1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4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4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4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4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4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4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43" priority="5"/>
  </conditionalFormatting>
  <conditionalFormatting sqref="A3:A21">
    <cfRule type="duplicateValues" dxfId="42" priority="7"/>
  </conditionalFormatting>
  <conditionalFormatting sqref="A24:A1048576">
    <cfRule type="duplicateValues" dxfId="41" priority="6"/>
  </conditionalFormatting>
  <conditionalFormatting sqref="C1:C1048576">
    <cfRule type="duplicateValues" dxfId="40" priority="1"/>
    <cfRule type="duplicateValues" dxfId="39" priority="2"/>
  </conditionalFormatting>
  <conditionalFormatting sqref="I2:M2">
    <cfRule type="duplicateValues" dxfId="38" priority="4"/>
  </conditionalFormatting>
  <conditionalFormatting sqref="N1">
    <cfRule type="duplicateValues" dxfId="3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12" activePane="bottomRight" state="frozen"/>
      <selection activeCell="E27" sqref="E27"/>
      <selection pane="topRight" activeCell="E27" sqref="E27"/>
      <selection pane="bottomLeft" activeCell="E27" sqref="E27"/>
      <selection pane="bottomRight" activeCell="O15" sqref="O15:O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58">
        <v>46332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  <c r="O16" s="58">
        <v>46332</v>
      </c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58">
        <v>46332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36" priority="5"/>
  </conditionalFormatting>
  <conditionalFormatting sqref="A3:A24">
    <cfRule type="duplicateValues" dxfId="35" priority="7"/>
  </conditionalFormatting>
  <conditionalFormatting sqref="A27:A1048576">
    <cfRule type="duplicateValues" dxfId="34" priority="6"/>
  </conditionalFormatting>
  <conditionalFormatting sqref="C1:C1048576">
    <cfRule type="duplicateValues" dxfId="33" priority="1"/>
    <cfRule type="duplicateValues" dxfId="32" priority="2"/>
  </conditionalFormatting>
  <conditionalFormatting sqref="D3:D19">
    <cfRule type="duplicateValues" dxfId="31" priority="8"/>
  </conditionalFormatting>
  <conditionalFormatting sqref="I2:M2">
    <cfRule type="duplicateValues" dxfId="30" priority="4"/>
  </conditionalFormatting>
  <conditionalFormatting sqref="N1">
    <cfRule type="duplicateValues" dxfId="29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28" priority="4"/>
  </conditionalFormatting>
  <conditionalFormatting sqref="A3:A17">
    <cfRule type="duplicateValues" dxfId="27" priority="6"/>
  </conditionalFormatting>
  <conditionalFormatting sqref="A20:A1048576">
    <cfRule type="duplicateValues" dxfId="26" priority="5"/>
  </conditionalFormatting>
  <conditionalFormatting sqref="C1:C1048576">
    <cfRule type="duplicateValues" dxfId="25" priority="1"/>
    <cfRule type="duplicateValues" dxfId="24" priority="2"/>
  </conditionalFormatting>
  <conditionalFormatting sqref="I2:M2">
    <cfRule type="duplicateValues" dxfId="23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O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3" sqref="O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513</v>
      </c>
      <c r="B3" s="18" t="s">
        <v>514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 t="s">
        <v>246</v>
      </c>
      <c r="N3" s="28">
        <v>46185</v>
      </c>
    </row>
    <row r="4" spans="1:15" s="3" customFormat="1" ht="70" customHeight="1" x14ac:dyDescent="0.35">
      <c r="A4" s="17" t="s">
        <v>515</v>
      </c>
      <c r="B4" s="18" t="s">
        <v>516</v>
      </c>
      <c r="C4" s="19" t="s">
        <v>202</v>
      </c>
      <c r="D4" s="20" t="s">
        <v>517</v>
      </c>
      <c r="E4" s="21" t="s">
        <v>518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5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5" s="3" customFormat="1" ht="70" customHeight="1" x14ac:dyDescent="0.35">
      <c r="A6" s="17" t="s">
        <v>519</v>
      </c>
      <c r="B6" s="18" t="s">
        <v>520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  <c r="O6" s="3" t="s">
        <v>325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5" s="3" customFormat="1" ht="70" customHeight="1" x14ac:dyDescent="0.35">
      <c r="A8" s="17" t="s">
        <v>521</v>
      </c>
      <c r="B8" s="18" t="s">
        <v>522</v>
      </c>
      <c r="C8" s="19" t="s">
        <v>523</v>
      </c>
      <c r="D8" s="20" t="s">
        <v>524</v>
      </c>
      <c r="E8" s="21" t="s">
        <v>525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  <c r="O8" s="3" t="s">
        <v>325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526</v>
      </c>
      <c r="B10" s="18" t="s">
        <v>527</v>
      </c>
      <c r="C10" s="19" t="s">
        <v>528</v>
      </c>
      <c r="D10" s="20" t="s">
        <v>529</v>
      </c>
      <c r="E10" s="21" t="s">
        <v>530</v>
      </c>
      <c r="F10" s="22">
        <v>20</v>
      </c>
      <c r="G10" s="23">
        <v>2</v>
      </c>
      <c r="H10" s="24">
        <v>2</v>
      </c>
      <c r="I10" s="25" t="s">
        <v>531</v>
      </c>
      <c r="J10" s="25" t="s">
        <v>27</v>
      </c>
      <c r="K10" s="25" t="s">
        <v>59</v>
      </c>
      <c r="L10" s="26">
        <v>2</v>
      </c>
      <c r="M10" s="27"/>
      <c r="N10" s="28">
        <v>46185</v>
      </c>
      <c r="O10" s="3" t="s">
        <v>246</v>
      </c>
    </row>
    <row r="11" spans="1:15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5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5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22" priority="5"/>
  </conditionalFormatting>
  <conditionalFormatting sqref="A3:A20">
    <cfRule type="duplicateValues" dxfId="21" priority="7"/>
  </conditionalFormatting>
  <conditionalFormatting sqref="A23:A1048576">
    <cfRule type="duplicateValues" dxfId="20" priority="6"/>
  </conditionalFormatting>
  <conditionalFormatting sqref="C1:C1048576">
    <cfRule type="duplicateValues" dxfId="19" priority="1"/>
    <cfRule type="duplicateValues" dxfId="18" priority="2"/>
  </conditionalFormatting>
  <conditionalFormatting sqref="I2:M2">
    <cfRule type="duplicateValues" dxfId="17" priority="4"/>
  </conditionalFormatting>
  <conditionalFormatting sqref="N1">
    <cfRule type="duplicateValues" dxfId="16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E40-D7AA-487D-B762-5C6D7005823B}">
  <sheetPr filterMode="1">
    <tabColor theme="4"/>
  </sheetPr>
  <dimension ref="A1:O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G12" sqref="G12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25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532</v>
      </c>
      <c r="B3" s="18" t="str">
        <f>VLOOKUP(A3,'[2]master plan'!A:C,3,0)</f>
        <v>RPRO-260609-0502</v>
      </c>
      <c r="C3" s="19" t="str">
        <f>VLOOKUP($A3,'[2]master plan'!$A:$N,5,0)</f>
        <v>BDB-000015</v>
      </c>
      <c r="D3" s="20" t="str">
        <f>VLOOKUP($A3,'[2]master plan'!$A:$N,6,0)</f>
        <v>PVN-000437</v>
      </c>
      <c r="E3" s="21" t="str">
        <f>VLOOKUP(A3,'[2]master plan'!A:G,7,0)</f>
        <v>OrthoLite Regular AIR BLUE/16-4134TPX 0.13D 25+/-4 Asker C 1.1M 2M 3.5mm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ASICS</v>
      </c>
      <c r="J3" s="25" t="str">
        <f>VLOOKUP($A3,'[2]master plan'!$A:$N,13,0)</f>
        <v>Sample
URGENT (6-15)</v>
      </c>
      <c r="K3" s="25" t="str">
        <f>VLOOKUP($A3,'[2]master plan'!$A:$N,14,0)</f>
        <v>DIE-CUT</v>
      </c>
      <c r="L3" s="26">
        <v>1</v>
      </c>
      <c r="M3" s="27"/>
      <c r="N3" s="28">
        <f>_xlfn.IFNA(VLOOKUP(A3,'[2]master plan'!A:R,18,0),"")</f>
        <v>46185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533</v>
      </c>
      <c r="B5" s="18" t="str">
        <f>VLOOKUP(A5,'[2]master plan'!A:C,3,0)</f>
        <v>RPRO-260609-0497</v>
      </c>
      <c r="C5" s="19" t="str">
        <f>VLOOKUP($A5,'[2]master plan'!$A:$N,5,0)</f>
        <v>BDB-000116</v>
      </c>
      <c r="D5" s="20" t="str">
        <f>VLOOKUP($A5,'[2]master plan'!$A:$N,6,0)</f>
        <v>PVN-002530</v>
      </c>
      <c r="E5" s="21" t="str">
        <f>VLOOKUP(A5,'[2]master plan'!A:G,7,0)</f>
        <v>OrthoLite Regular-Hybrid SEEDPEARL/12-0703TPX Hybrid Flat Sheet 0.13D 25+/-4 Asker C 1.1M 2M 3mm</v>
      </c>
      <c r="F5" s="22">
        <f>VLOOKUP(A5,'[2]master plan'!A:H,8,0)</f>
        <v>10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KATE SPADE</v>
      </c>
      <c r="J5" s="25" t="str">
        <f>VLOOKUP($A5,'[2]master plan'!$A:$N,13,0)</f>
        <v>SSO-2606-00328</v>
      </c>
      <c r="K5" s="25" t="str">
        <f>VLOOKUP($A5,'[2]master plan'!$A:$N,14,0)</f>
        <v>sheet</v>
      </c>
      <c r="L5" s="26">
        <v>2</v>
      </c>
      <c r="M5" s="27"/>
      <c r="N5" s="28">
        <f>_xlfn.IFNA(VLOOKUP(A5,'[2]master plan'!A:R,18,0),"")</f>
        <v>46186</v>
      </c>
      <c r="O5" s="3" t="s">
        <v>325</v>
      </c>
    </row>
    <row r="6" spans="1:15" s="3" customFormat="1" ht="70" customHeight="1" x14ac:dyDescent="0.35">
      <c r="A6" s="17" t="s">
        <v>534</v>
      </c>
      <c r="B6" s="18" t="str">
        <f>VLOOKUP(A6,'[2]master plan'!A:C,3,0)</f>
        <v>RPRO-260609-0498</v>
      </c>
      <c r="C6" s="19" t="str">
        <f>VLOOKUP($A6,'[2]master plan'!$A:$N,5,0)</f>
        <v>BDB-000116</v>
      </c>
      <c r="D6" s="20" t="str">
        <f>VLOOKUP($A6,'[2]master plan'!$A:$N,6,0)</f>
        <v>PVN-002710</v>
      </c>
      <c r="E6" s="21" t="str">
        <f>VLOOKUP(A6,'[2]master plan'!A:G,7,0)</f>
        <v>OrthoLite Regular-Hybrid SEEDPEARL/12-0703TPX Hybrid Flat Sheet 0.13D 25+/-4 Asker C 1.1M 2M 5mm</v>
      </c>
      <c r="F6" s="22">
        <f>VLOOKUP(A6,'[2]master plan'!A:H,8,0)</f>
        <v>10</v>
      </c>
      <c r="G6" s="23">
        <f>VLOOKUP(A6,'[2]master plan'!A:W,23,0)</f>
        <v>1</v>
      </c>
      <c r="H6" s="24">
        <f>VLOOKUP(A6,'[2]master plan'!A:W,23,0)</f>
        <v>1</v>
      </c>
      <c r="I6" s="25" t="str">
        <f>VLOOKUP($A6,'[2]master plan'!$A:$N,12,0)</f>
        <v>KATE SPADE</v>
      </c>
      <c r="J6" s="25" t="str">
        <f>VLOOKUP($A6,'[2]master plan'!$A:$N,13,0)</f>
        <v>SSO-2606-00328</v>
      </c>
      <c r="K6" s="25" t="str">
        <f>VLOOKUP($A6,'[2]master plan'!$A:$N,14,0)</f>
        <v>sheet</v>
      </c>
      <c r="L6" s="26"/>
      <c r="M6" s="27"/>
      <c r="N6" s="28">
        <f>_xlfn.IFNA(VLOOKUP(A6,'[2]master plan'!A:R,18,0),"")</f>
        <v>46186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2"/>
      <c r="N7" s="76"/>
    </row>
    <row r="8" spans="1:15" s="3" customFormat="1" ht="67.5" customHeight="1" x14ac:dyDescent="0.35">
      <c r="A8" s="17" t="s">
        <v>535</v>
      </c>
      <c r="B8" s="18" t="str">
        <f>VLOOKUP(A8,'[2]master plan'!A:C,3,0)</f>
        <v>RPRO-260609-0504</v>
      </c>
      <c r="C8" s="19" t="str">
        <f>VLOOKUP($A8,'[2]master plan'!$A:$N,5,0)</f>
        <v>BDB-000348</v>
      </c>
      <c r="D8" s="20" t="str">
        <f>VLOOKUP($A8,'[2]master plan'!$A:$N,6,0)</f>
        <v>PVN-004195</v>
      </c>
      <c r="E8" s="21" t="str">
        <f>VLOOKUP(A8,'[2]master plan'!A:G,7,0)</f>
        <v>OrthoLite IMPERIAL SEEDPEARL/12-0703TPX Flat Sheet 0.22D 25+/-4 Asker C 1.1M 1.47M 4mm</v>
      </c>
      <c r="F8" s="22">
        <f>VLOOKUP(A8,'[2]master plan'!A:H,8,0)</f>
        <v>250</v>
      </c>
      <c r="G8" s="23">
        <f>VLOOKUP(A8,'[2]master plan'!A:W,23,0)</f>
        <v>8</v>
      </c>
      <c r="H8" s="24">
        <f>VLOOKUP(A8,'[2]master plan'!A:W,23,0)</f>
        <v>8</v>
      </c>
      <c r="I8" s="25" t="str">
        <f>VLOOKUP($A8,'[2]master plan'!$A:$N,12,0)</f>
        <v>ADIDAS</v>
      </c>
      <c r="J8" s="25" t="str">
        <f>VLOOKUP($A8,'[2]master plan'!$A:$N,13,0)</f>
        <v>SSO-2606-00371/00379 - URGENT (6-13)</v>
      </c>
      <c r="K8" s="25" t="str">
        <f>VLOOKUP($A8,'[2]master plan'!$A:$N,14,0)</f>
        <v>Flat sheet</v>
      </c>
      <c r="L8" s="26">
        <v>8</v>
      </c>
      <c r="M8" s="27"/>
      <c r="N8" s="28">
        <f>_xlfn.IFNA(VLOOKUP(A8,'[2]master plan'!A:R,18,0),"")</f>
        <v>46186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536</v>
      </c>
      <c r="B10" s="18" t="str">
        <f>VLOOKUP(A10,'[2]master plan'!A:C,3,0)</f>
        <v>RPRO-260609-0499</v>
      </c>
      <c r="C10" s="19" t="str">
        <f>VLOOKUP($A10,'[2]master plan'!$A:$N,5,0)</f>
        <v>BDB-000243</v>
      </c>
      <c r="D10" s="20" t="str">
        <f>VLOOKUP($A10,'[2]master plan'!$A:$N,6,0)</f>
        <v>PVN-004444</v>
      </c>
      <c r="E10" s="21" t="str">
        <f>VLOOKUP(A10,'[2]master plan'!A:G,7,0)</f>
        <v>OrthoLite Ultra-Hybrid GREEN/16-5932TPX Hybrid Flat Sheet 0.085D 25+/-4 Asker C 1.1M 2M 4mm</v>
      </c>
      <c r="F10" s="22">
        <f>VLOOKUP(A10,'[2]master plan'!A:H,8,0)</f>
        <v>70</v>
      </c>
      <c r="G10" s="23">
        <f>VLOOKUP(A10,'[2]master plan'!A:W,23,0)</f>
        <v>2</v>
      </c>
      <c r="H10" s="24">
        <f>VLOOKUP(A10,'[2]master plan'!A:W,23,0)</f>
        <v>2</v>
      </c>
      <c r="I10" s="25" t="str">
        <f>VLOOKUP($A10,'[2]master plan'!$A:$N,12,0)</f>
        <v>ADIDAS</v>
      </c>
      <c r="J10" s="25" t="str">
        <f>VLOOKUP($A10,'[2]master plan'!$A:$N,13,0)</f>
        <v>SSO-2606-00325 - URGENT (6-17)</v>
      </c>
      <c r="K10" s="25" t="str">
        <f>VLOOKUP($A10,'[2]master plan'!$A:$N,14,0)</f>
        <v>Flat sheet</v>
      </c>
      <c r="L10" s="26">
        <v>2</v>
      </c>
      <c r="M10" s="40"/>
      <c r="N10" s="28">
        <f>_xlfn.IFNA(VLOOKUP(A10,'[2]master plan'!A:R,18,0),"")</f>
        <v>46187</v>
      </c>
      <c r="O10" s="3" t="s">
        <v>246</v>
      </c>
    </row>
    <row r="11" spans="1:15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3"/>
      <c r="N11" s="76"/>
    </row>
    <row r="12" spans="1:15" s="3" customFormat="1" ht="70" customHeight="1" x14ac:dyDescent="0.35">
      <c r="A12" s="17" t="s">
        <v>537</v>
      </c>
      <c r="B12" s="18" t="str">
        <f>VLOOKUP(A12,'[2]master plan'!A:C,3,0)</f>
        <v>RPRO-260609-0500</v>
      </c>
      <c r="C12" s="19" t="str">
        <f>VLOOKUP($A12,'[2]master plan'!$A:$N,5,0)</f>
        <v>BDB-000123</v>
      </c>
      <c r="D12" s="20" t="str">
        <f>VLOOKUP($A12,'[2]master plan'!$A:$N,6,0)</f>
        <v>PVN-003298</v>
      </c>
      <c r="E12" s="21" t="str">
        <f>VLOOKUP(A12,'[2]master plan'!A:G,7,0)</f>
        <v>OrthoLite Ultra-Hybrid SEEDPEARL/12-0703TPX Hybrid 0.085D 25+/-4 Asker C 1.1M 2M 4mm</v>
      </c>
      <c r="F12" s="22">
        <f>VLOOKUP(A12,'[2]master plan'!A:H,8,0)</f>
        <v>100</v>
      </c>
      <c r="G12" s="23">
        <f>VLOOKUP(A12,'[2]master plan'!A:W,23,0)</f>
        <v>3</v>
      </c>
      <c r="H12" s="24">
        <f>VLOOKUP(A12,'[2]master plan'!A:W,23,0)</f>
        <v>3</v>
      </c>
      <c r="I12" s="25" t="str">
        <f>VLOOKUP($A12,'[2]master plan'!$A:$N,12,0)</f>
        <v>ADIDAS</v>
      </c>
      <c r="J12" s="25" t="str">
        <f>VLOOKUP($A12,'[2]master plan'!$A:$N,13,0)</f>
        <v>SSO-2606-00327  - URGENT (6-17)</v>
      </c>
      <c r="K12" s="25" t="str">
        <f>VLOOKUP($A12,'[2]master plan'!$A:$N,14,0)</f>
        <v>Flat sheet</v>
      </c>
      <c r="L12" s="26">
        <v>9</v>
      </c>
      <c r="M12" s="27"/>
      <c r="N12" s="28">
        <f>_xlfn.IFNA(VLOOKUP(A12,'[2]master plan'!A:R,18,0),"")</f>
        <v>46187</v>
      </c>
      <c r="O12" s="3" t="s">
        <v>246</v>
      </c>
    </row>
    <row r="13" spans="1:15" s="3" customFormat="1" ht="70" customHeight="1" x14ac:dyDescent="0.35">
      <c r="A13" s="17" t="s">
        <v>538</v>
      </c>
      <c r="B13" s="18" t="str">
        <f>VLOOKUP(A13,'[2]master plan'!A:C,3,0)</f>
        <v>RPRO-260609-0501</v>
      </c>
      <c r="C13" s="19" t="str">
        <f>VLOOKUP($A13,'[2]master plan'!$A:$N,5,0)</f>
        <v>BDB-000123</v>
      </c>
      <c r="D13" s="20" t="str">
        <f>VLOOKUP($A13,'[2]master plan'!$A:$N,6,0)</f>
        <v>PVN-003299</v>
      </c>
      <c r="E13" s="21" t="str">
        <f>VLOOKUP(A13,'[2]master plan'!A:G,7,0)</f>
        <v>OrthoLite Ultra-Hybrid SEEDPEARL/12-0703TPX Hybrid 0.085D 25+/-4 Asker C 1.1M 2M 3mm</v>
      </c>
      <c r="F13" s="22">
        <f>VLOOKUP(A13,'[2]master plan'!A:H,8,0)</f>
        <v>50</v>
      </c>
      <c r="G13" s="23">
        <f>VLOOKUP(A13,'[2]master plan'!A:W,23,0)</f>
        <v>2</v>
      </c>
      <c r="H13" s="24">
        <f>VLOOKUP(A13,'[2]master plan'!A:W,23,0)</f>
        <v>2</v>
      </c>
      <c r="I13" s="25" t="str">
        <f>VLOOKUP($A13,'[2]master plan'!$A:$N,12,0)</f>
        <v>ADIDAS</v>
      </c>
      <c r="J13" s="25" t="str">
        <f>VLOOKUP($A13,'[2]master plan'!$A:$N,13,0)</f>
        <v>SSO-2606-00327  - URGENT (6-17)</v>
      </c>
      <c r="K13" s="25" t="str">
        <f>VLOOKUP($A13,'[2]master plan'!$A:$N,14,0)</f>
        <v>Flat sheet</v>
      </c>
      <c r="L13" s="26"/>
      <c r="M13" s="27"/>
      <c r="N13" s="28">
        <f>_xlfn.IFNA(VLOOKUP(A13,'[2]master plan'!A:R,18,0),"")</f>
        <v>46187</v>
      </c>
    </row>
    <row r="14" spans="1:15" s="3" customFormat="1" ht="70" customHeight="1" x14ac:dyDescent="0.35">
      <c r="A14" s="17" t="s">
        <v>539</v>
      </c>
      <c r="B14" s="18" t="str">
        <f>VLOOKUP(A14,'[2]master plan'!A:C,3,0)</f>
        <v>RPRO-260609-0503</v>
      </c>
      <c r="C14" s="19" t="str">
        <f>VLOOKUP($A14,'[2]master plan'!$A:$N,5,0)</f>
        <v>BDB-000123</v>
      </c>
      <c r="D14" s="20" t="str">
        <f>VLOOKUP($A14,'[2]master plan'!$A:$N,6,0)</f>
        <v>PVN-002973</v>
      </c>
      <c r="E14" s="21" t="str">
        <f>VLOOKUP(A14,'[2]master plan'!A:G,7,0)</f>
        <v>UltraLite-Hybrid OrthoLite SEEDPEARL/12-0703TPX Hybrid Flat Sheet 0.085D 25+/-4 Asker C 1.1M 2M 4.5mm</v>
      </c>
      <c r="F14" s="22">
        <f>VLOOKUP(A14,'[2]master plan'!A:H,8,0)</f>
        <v>50</v>
      </c>
      <c r="G14" s="23">
        <f>VLOOKUP(A14,'[2]master plan'!A:W,23,0)</f>
        <v>2</v>
      </c>
      <c r="H14" s="24">
        <f>VLOOKUP(A14,'[2]master plan'!A:W,23,0)</f>
        <v>2</v>
      </c>
      <c r="I14" s="25" t="str">
        <f>VLOOKUP($A14,'[2]master plan'!$A:$N,12,0)</f>
        <v>SALOMON</v>
      </c>
      <c r="J14" s="25" t="str">
        <f>VLOOKUP($A14,'[2]master plan'!$A:$N,13,0)</f>
        <v>Sample</v>
      </c>
      <c r="K14" s="25" t="str">
        <f>VLOOKUP($A14,'[2]master plan'!$A:$N,14,0)</f>
        <v>MOLDED</v>
      </c>
      <c r="L14" s="26"/>
      <c r="M14" s="40"/>
      <c r="N14" s="28">
        <f>_xlfn.IFNA(VLOOKUP(A14,'[2]master plan'!A:R,18,0),"")</f>
        <v>46187</v>
      </c>
    </row>
    <row r="15" spans="1:15" s="3" customFormat="1" ht="70" customHeight="1" x14ac:dyDescent="0.35">
      <c r="A15" s="17" t="s">
        <v>540</v>
      </c>
      <c r="B15" s="18" t="str">
        <f>VLOOKUP(A15,'[2]master plan'!A:C,3,0)</f>
        <v>RPRO-260609-0506</v>
      </c>
      <c r="C15" s="19" t="str">
        <f>VLOOKUP($A15,'[2]master plan'!$A:$N,5,0)</f>
        <v>BDB-000123</v>
      </c>
      <c r="D15" s="20" t="str">
        <f>VLOOKUP($A15,'[2]master plan'!$A:$N,6,0)</f>
        <v>PVN-003299</v>
      </c>
      <c r="E15" s="21" t="str">
        <f>VLOOKUP(A15,'[2]master plan'!A:G,7,0)</f>
        <v>OrthoLite Ultra-Hybrid SEEDPEARL/12-0703TPX Hybrid 0.085D 25+/-4 Asker C 1.1M 2M 3mm</v>
      </c>
      <c r="F15" s="22">
        <f>VLOOKUP(A15,'[2]master plan'!A:H,8,0)</f>
        <v>50</v>
      </c>
      <c r="G15" s="23">
        <f>VLOOKUP(A15,'[2]master plan'!A:W,23,0)</f>
        <v>2</v>
      </c>
      <c r="H15" s="24">
        <f>VLOOKUP(A15,'[2]master plan'!A:W,23,0)</f>
        <v>2</v>
      </c>
      <c r="I15" s="25" t="str">
        <f>VLOOKUP($A15,'[2]master plan'!$A:$N,12,0)</f>
        <v>ADIDAS</v>
      </c>
      <c r="J15" s="25" t="str">
        <f>VLOOKUP($A15,'[2]master plan'!$A:$N,13,0)</f>
        <v>SSO-2606-00375/00400 - URGENT (6-16)</v>
      </c>
      <c r="K15" s="25" t="str">
        <f>VLOOKUP($A15,'[2]master plan'!$A:$N,14,0)</f>
        <v>Flat sheet</v>
      </c>
      <c r="L15" s="26"/>
      <c r="M15" s="40"/>
      <c r="N15" s="28">
        <f>_xlfn.IFNA(VLOOKUP(A15,'[2]master plan'!A:R,18,0),"")</f>
        <v>46187</v>
      </c>
    </row>
    <row r="16" spans="1:15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70"/>
      <c r="K16" s="70"/>
      <c r="L16" s="71"/>
      <c r="M16" s="72"/>
      <c r="N16" s="76"/>
    </row>
    <row r="17" spans="1:15" s="3" customFormat="1" ht="70" customHeight="1" x14ac:dyDescent="0.35">
      <c r="A17" s="17" t="s">
        <v>541</v>
      </c>
      <c r="B17" s="18" t="str">
        <f>VLOOKUP(A17,'[2]master plan'!A:C,3,0)</f>
        <v>RPRO-260609-0505</v>
      </c>
      <c r="C17" s="19" t="str">
        <f>VLOOKUP($A17,'[2]master plan'!$A:$N,5,0)</f>
        <v>BDB-000058</v>
      </c>
      <c r="D17" s="20" t="str">
        <f>VLOOKUP($A17,'[2]master plan'!$A:$N,6,0)</f>
        <v>PVN-001319</v>
      </c>
      <c r="E17" s="21" t="str">
        <f>VLOOKUP(A17,'[2]master plan'!A:G,7,0)</f>
        <v>OrthoLite Ultra GREEN/16-5932TPX Flat Sheet 0.085D 25+/-4 Asker C 1.1M 2M 5mm</v>
      </c>
      <c r="F17" s="22">
        <f>VLOOKUP(A17,'[2]master plan'!A:H,8,0)</f>
        <v>50</v>
      </c>
      <c r="G17" s="23">
        <f>VLOOKUP(A17,'[2]master plan'!A:W,23,0)</f>
        <v>2</v>
      </c>
      <c r="H17" s="24">
        <f>VLOOKUP(A17,'[2]master plan'!A:W,23,0)</f>
        <v>2</v>
      </c>
      <c r="I17" s="25" t="str">
        <f>VLOOKUP($A17,'[2]master plan'!$A:$N,12,0)</f>
        <v>ADIDAS</v>
      </c>
      <c r="J17" s="25" t="str">
        <f>VLOOKUP($A17,'[2]master plan'!$A:$N,13,0)</f>
        <v>SSO-2606-00358/00359 - URGENT (6-16)</v>
      </c>
      <c r="K17" s="25" t="str">
        <f>VLOOKUP($A17,'[2]master plan'!$A:$N,14,0)</f>
        <v>Flat sheet</v>
      </c>
      <c r="L17" s="26">
        <v>2</v>
      </c>
      <c r="M17" s="27"/>
      <c r="N17" s="28">
        <f>_xlfn.IFNA(VLOOKUP(A17,'[2]master plan'!A:R,18,0),"")</f>
        <v>46187</v>
      </c>
      <c r="O17" s="3" t="s">
        <v>246</v>
      </c>
    </row>
    <row r="18" spans="1:15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70"/>
      <c r="L18" s="71"/>
      <c r="M18" s="73"/>
      <c r="N18" s="76"/>
    </row>
    <row r="19" spans="1:15" s="3" customFormat="1" ht="70" customHeight="1" x14ac:dyDescent="0.35">
      <c r="A19" s="17" t="s">
        <v>542</v>
      </c>
      <c r="B19" s="18" t="str">
        <f>VLOOKUP(A19,'[2]master plan'!A:C,3,0)</f>
        <v>RPRO-260609-0507</v>
      </c>
      <c r="C19" s="19" t="str">
        <f>VLOOKUP($A19,'[2]master plan'!$A:$N,5,0)</f>
        <v>BDB-000200</v>
      </c>
      <c r="D19" s="20" t="str">
        <f>VLOOKUP($A19,'[2]master plan'!$A:$N,6,0)</f>
        <v>PVN-003425</v>
      </c>
      <c r="E19" s="21" t="str">
        <f>VLOOKUP(A19,'[2]master plan'!A:G,7,0)</f>
        <v>OrthoLite Ultra SEEDPEARL/12-0703TPX Flat Sheet 0.085D 78-90 Asker F 1.1M 2M 4mm</v>
      </c>
      <c r="F19" s="22">
        <f>VLOOKUP(A19,'[2]master plan'!A:H,8,0)</f>
        <v>30</v>
      </c>
      <c r="G19" s="23">
        <f>VLOOKUP(A19,'[2]master plan'!A:W,23,0)</f>
        <v>1</v>
      </c>
      <c r="H19" s="24">
        <f>VLOOKUP(A19,'[2]master plan'!A:W,23,0)</f>
        <v>1</v>
      </c>
      <c r="I19" s="25" t="str">
        <f>VLOOKUP($A19,'[2]master plan'!$A:$N,12,0)</f>
        <v>ADIDAS</v>
      </c>
      <c r="J19" s="25" t="str">
        <f>VLOOKUP($A19,'[2]master plan'!$A:$N,13,0)</f>
        <v>SSO-2606-00377 - URGENT (6-16)</v>
      </c>
      <c r="K19" s="25" t="str">
        <f>VLOOKUP($A19,'[2]master plan'!$A:$N,14,0)</f>
        <v>Flat sheet</v>
      </c>
      <c r="L19" s="26">
        <v>1</v>
      </c>
      <c r="M19" s="40"/>
      <c r="N19" s="28">
        <f>_xlfn.IFNA(VLOOKUP(A19,'[2]master plan'!A:R,18,0),"")</f>
        <v>46187</v>
      </c>
      <c r="O19" s="3" t="s">
        <v>246</v>
      </c>
    </row>
    <row r="20" spans="1:15" s="3" customFormat="1" ht="70" hidden="1" customHeight="1" x14ac:dyDescent="0.35">
      <c r="A20" s="78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2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3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5" ht="74.25" customHeight="1" x14ac:dyDescent="0.35">
      <c r="L25" s="56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5" ht="74.25" customHeight="1" x14ac:dyDescent="0.35">
      <c r="L29" s="56"/>
    </row>
    <row r="30" spans="1:15" ht="74.25" customHeight="1" x14ac:dyDescent="0.35">
      <c r="L30" s="56"/>
    </row>
    <row r="31" spans="1:15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  <protectedRange algorithmName="SHA-512" hashValue="e1FOu1UlwA7reaiyQlEGzbU6dAFPyHPlKfgo6VzFBBobawyOfUsh2c/+wjC8bICpcXVPmRerMGA9+qKsw5p7Iw==" saltValue="UD2tVZrxqZTGI3vDzMBrHw==" spinCount="100000" sqref="A20" name="Range1"/>
  </protectedRanges>
  <autoFilter ref="A2:N24" xr:uid="{E2BC4C4A-3703-4A99-A30B-53817C3A378F}">
    <filterColumn colId="2">
      <filters blank="1">
        <filter val="BDB-000015"/>
        <filter val="BDB-000058"/>
        <filter val="BDB-000116"/>
        <filter val="BDB-000123"/>
        <filter val="BDB-000200"/>
        <filter val="BDB-000243"/>
        <filter val="BDB-000348"/>
      </filters>
    </filterColumn>
  </autoFilter>
  <mergeCells count="1">
    <mergeCell ref="D1:F1"/>
  </mergeCells>
  <conditionalFormatting sqref="A2">
    <cfRule type="duplicateValues" dxfId="15" priority="8"/>
  </conditionalFormatting>
  <conditionalFormatting sqref="A20">
    <cfRule type="duplicateValues" dxfId="14" priority="1"/>
    <cfRule type="duplicateValues" dxfId="13" priority="2"/>
  </conditionalFormatting>
  <conditionalFormatting sqref="A21:A23 A3:A19">
    <cfRule type="duplicateValues" dxfId="12" priority="7"/>
  </conditionalFormatting>
  <conditionalFormatting sqref="A26:A1048576">
    <cfRule type="duplicateValues" dxfId="11" priority="6"/>
  </conditionalFormatting>
  <conditionalFormatting sqref="C1:C1048576">
    <cfRule type="duplicateValues" dxfId="10" priority="3"/>
    <cfRule type="duplicateValues" dxfId="9" priority="4"/>
  </conditionalFormatting>
  <conditionalFormatting sqref="I2:M2">
    <cfRule type="duplicateValues" dxfId="8" priority="9"/>
  </conditionalFormatting>
  <conditionalFormatting sqref="N1">
    <cfRule type="duplicateValues" dxfId="7" priority="5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F773E-A39E-4B13-B24A-BDA1F62B9A92}">
  <sheetPr filterMode="1">
    <tabColor theme="4"/>
  </sheetPr>
  <dimension ref="A1:O666"/>
  <sheetViews>
    <sheetView tabSelected="1" view="pageBreakPreview" zoomScale="25" zoomScaleNormal="40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O9" sqref="O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3" style="2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46184.373055439813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543</v>
      </c>
      <c r="B3" s="18" t="str">
        <f>VLOOKUP(A3,'[2]master plan'!A:C,3,0)</f>
        <v>RPRO-260610-0504</v>
      </c>
      <c r="C3" s="19" t="str">
        <f>VLOOKUP($A3,'[2]master plan'!$A:$N,5,0)</f>
        <v>BDB-000123</v>
      </c>
      <c r="D3" s="20" t="str">
        <f>VLOOKUP($A3,'[2]master plan'!$A:$N,6,0)</f>
        <v>PVN-003299</v>
      </c>
      <c r="E3" s="21" t="str">
        <f>VLOOKUP(A3,'[2]master plan'!A:G,7,0)</f>
        <v>OrthoLite Ultra-Hybrid SEEDPEARL/12-0703TPX Hybrid Flat Sheet 0.085D 25+/-4 Asker C 1.1M 2M 3mm</v>
      </c>
      <c r="F3" s="22">
        <f>VLOOKUP(A3,'[2]master plan'!A:H,8,0)</f>
        <v>250</v>
      </c>
      <c r="G3" s="23">
        <f>VLOOKUP(A3,'[2]master plan'!A:W,23,0)</f>
        <v>6</v>
      </c>
      <c r="H3" s="24">
        <f>VLOOKUP(A3,'[2]master plan'!A:W,23,0)</f>
        <v>6</v>
      </c>
      <c r="I3" s="25" t="str">
        <f>VLOOKUP($A3,'[2]master plan'!$A:$N,12,0)</f>
        <v>ADIDAS</v>
      </c>
      <c r="J3" s="25" t="str">
        <f>VLOOKUP($A3,'[2]master plan'!$A:$N,13,0)</f>
        <v>SSO-2606-00410/00419 - URGENT (6-14)</v>
      </c>
      <c r="K3" s="25" t="str">
        <f>VLOOKUP($A3,'[2]master plan'!$A:$N,14,0)</f>
        <v>Flat sheet</v>
      </c>
      <c r="L3" s="26">
        <v>6</v>
      </c>
      <c r="M3" s="27"/>
      <c r="N3" s="28">
        <f>_xlfn.IFNA(VLOOKUP(A3,'[2]master plan'!A:R,18,0),"")</f>
        <v>46187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544</v>
      </c>
      <c r="B5" s="18" t="str">
        <f>VLOOKUP(A5,'[2]master plan'!A:C,3,0)</f>
        <v>RPRO-260610-0508</v>
      </c>
      <c r="C5" s="19" t="str">
        <f>VLOOKUP($A5,'[2]master plan'!$A:$N,5,0)</f>
        <v>BDB-000058</v>
      </c>
      <c r="D5" s="20" t="str">
        <f>VLOOKUP($A5,'[2]master plan'!$A:$N,6,0)</f>
        <v>PVN-001277</v>
      </c>
      <c r="E5" s="21" t="str">
        <f>VLOOKUP(A5,'[2]master plan'!A:G,7,0)</f>
        <v>OrthoLite Ultra GREEN/16-5932TPX Flat Sheet 0.085D 25+/-4 Asker C 1.1M 2M 4mm</v>
      </c>
      <c r="F5" s="22">
        <f>VLOOKUP(A5,'[2]master plan'!A:H,8,0)</f>
        <v>30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ADIDAS</v>
      </c>
      <c r="J5" s="25" t="str">
        <f>VLOOKUP($A5,'[2]master plan'!$A:$N,13,0)</f>
        <v>SSO-2606-00356 - URGENT (6-14)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46188</v>
      </c>
      <c r="O5" s="3" t="s">
        <v>246</v>
      </c>
    </row>
    <row r="6" spans="1:15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5" s="3" customFormat="1" ht="70" customHeight="1" x14ac:dyDescent="0.35">
      <c r="A7" s="17" t="s">
        <v>545</v>
      </c>
      <c r="B7" s="18" t="str">
        <f>VLOOKUP(A7,'[2]master plan'!A:C,3,0)</f>
        <v>RPRO-260610-0503</v>
      </c>
      <c r="C7" s="19" t="str">
        <f>VLOOKUP($A7,'[2]master plan'!$A:$N,5,0)</f>
        <v>BDB-000331</v>
      </c>
      <c r="D7" s="20" t="str">
        <f>VLOOKUP($A7,'[2]master plan'!$A:$N,6,0)</f>
        <v>PVN-004446</v>
      </c>
      <c r="E7" s="21" t="str">
        <f>VLOOKUP(A7,'[2]master plan'!A:G,7,0)</f>
        <v>OrthoLite X-35-Nike FOSSIL/17-0909TPX 0.145D 25+/-4 Asker C 1.1M 2M 4.5mm</v>
      </c>
      <c r="F7" s="22">
        <f>VLOOKUP(A7,'[2]master plan'!A:H,8,0)</f>
        <v>20</v>
      </c>
      <c r="G7" s="23">
        <f>VLOOKUP(A7,'[2]master plan'!A:W,23,0)</f>
        <v>1</v>
      </c>
      <c r="H7" s="24">
        <f>VLOOKUP(A7,'[2]master plan'!A:W,23,0)</f>
        <v>1</v>
      </c>
      <c r="I7" s="25" t="str">
        <f>VLOOKUP($A7,'[2]master plan'!$A:$N,12,0)</f>
        <v>NIKE</v>
      </c>
      <c r="J7" s="25" t="str">
        <f>VLOOKUP($A7,'[2]master plan'!$A:$N,13,0)</f>
        <v>Sample</v>
      </c>
      <c r="K7" s="25" t="str">
        <f>VLOOKUP($A7,'[2]master plan'!$A:$N,14,0)</f>
        <v>MOLDED</v>
      </c>
      <c r="L7" s="26">
        <v>1</v>
      </c>
      <c r="M7" s="27"/>
      <c r="N7" s="28">
        <f>_xlfn.IFNA(VLOOKUP(A7,'[2]master plan'!A:R,18,0),"")</f>
        <v>46189</v>
      </c>
      <c r="O7" s="58">
        <v>46332</v>
      </c>
    </row>
    <row r="8" spans="1:15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70"/>
      <c r="L8" s="71"/>
      <c r="M8" s="72"/>
      <c r="N8" s="76"/>
    </row>
    <row r="9" spans="1:15" s="3" customFormat="1" ht="70" customHeight="1" x14ac:dyDescent="0.35">
      <c r="A9" s="17" t="s">
        <v>546</v>
      </c>
      <c r="B9" s="18" t="str">
        <f>VLOOKUP(A9,'[2]master plan'!A:C,3,0)</f>
        <v>RPRO-260610-0505</v>
      </c>
      <c r="C9" s="19" t="str">
        <f>VLOOKUP($A9,'[2]master plan'!$A:$N,5,0)</f>
        <v>BDB-000055</v>
      </c>
      <c r="D9" s="20" t="str">
        <f>VLOOKUP($A9,'[2]master plan'!$A:$N,6,0)</f>
        <v>PVN-004155</v>
      </c>
      <c r="E9" s="21" t="str">
        <f>VLOOKUP(A9,'[2]master plan'!A:G,7,0)</f>
        <v>OrthoLite X-40 TRUE BLUE/19-4057TPX Flat Sheet 0.16D 35+/-4 Asker C 1.1M 1.7M 3.2mm</v>
      </c>
      <c r="F9" s="22">
        <f>VLOOKUP(A9,'[2]master plan'!A:H,8,0)</f>
        <v>10</v>
      </c>
      <c r="G9" s="23">
        <f>VLOOKUP(A9,'[2]master plan'!A:W,23,0)</f>
        <v>1</v>
      </c>
      <c r="H9" s="24">
        <f>VLOOKUP(A9,'[2]master plan'!A:W,23,0)</f>
        <v>1</v>
      </c>
      <c r="I9" s="25" t="str">
        <f>VLOOKUP($A9,'[2]master plan'!$A:$N,12,0)</f>
        <v>ADIDAS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40"/>
      <c r="N9" s="28">
        <f>_xlfn.IFNA(VLOOKUP(A9,'[2]master plan'!A:R,18,0),"")</f>
        <v>46189</v>
      </c>
      <c r="O9" s="58">
        <v>46332</v>
      </c>
    </row>
    <row r="10" spans="1:15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3"/>
      <c r="N10" s="76"/>
    </row>
    <row r="11" spans="1:15" s="3" customFormat="1" ht="70" customHeight="1" x14ac:dyDescent="0.35">
      <c r="A11" s="17" t="s">
        <v>547</v>
      </c>
      <c r="B11" s="18" t="str">
        <f>VLOOKUP(A11,'[2]master plan'!A:C,3,0)</f>
        <v>RPRO-260610-0506</v>
      </c>
      <c r="C11" s="19" t="str">
        <f>VLOOKUP($A11,'[2]master plan'!$A:$N,5,0)</f>
        <v>BDB-000209</v>
      </c>
      <c r="D11" s="20" t="str">
        <f>VLOOKUP($A11,'[2]master plan'!$A:$N,6,0)</f>
        <v>PVN-003537</v>
      </c>
      <c r="E11" s="21" t="str">
        <f>VLOOKUP(A11,'[2]master plan'!A:G,7,0)</f>
        <v>OrthoLite HybridPlus-Recycled MINT GREEN/11-4805TPX Hybrid 0.12D 25+/-4 Asker C 1.1M 2M 4.5mm</v>
      </c>
      <c r="F11" s="22">
        <f>VLOOKUP(A11,'[2]master plan'!A:H,8,0)</f>
        <v>30</v>
      </c>
      <c r="G11" s="23">
        <f>VLOOKUP(A11,'[2]master plan'!A:W,23,0)</f>
        <v>1</v>
      </c>
      <c r="H11" s="24">
        <f>VLOOKUP(A11,'[2]master plan'!A:W,23,0)</f>
        <v>1</v>
      </c>
      <c r="I11" s="25" t="str">
        <f>VLOOKUP($A11,'[2]master plan'!$A:$N,12,0)</f>
        <v>AKU</v>
      </c>
      <c r="J11" s="25" t="str">
        <f>VLOOKUP($A11,'[2]master plan'!$A:$N,13,0)</f>
        <v>SSO-2606-00451</v>
      </c>
      <c r="K11" s="25" t="str">
        <f>VLOOKUP($A11,'[2]master plan'!$A:$N,14,0)</f>
        <v>OE-0111A</v>
      </c>
      <c r="L11" s="26">
        <v>1</v>
      </c>
      <c r="M11" s="27"/>
      <c r="N11" s="28">
        <f>_xlfn.IFNA(VLOOKUP(A11,'[2]master plan'!A:R,18,0),"")</f>
        <v>46189</v>
      </c>
      <c r="O11" s="3" t="s">
        <v>320</v>
      </c>
    </row>
    <row r="12" spans="1:15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76"/>
    </row>
    <row r="13" spans="1:15" s="3" customFormat="1" ht="72" customHeight="1" x14ac:dyDescent="0.35">
      <c r="A13" s="17" t="s">
        <v>548</v>
      </c>
      <c r="B13" s="18" t="str">
        <f>VLOOKUP(A13,'[2]master plan'!A:C,3,0)</f>
        <v>RPRO-260610-0507</v>
      </c>
      <c r="C13" s="19" t="str">
        <f>VLOOKUP($A13,'[2]master plan'!$A:$N,5,0)</f>
        <v>BDB-000083</v>
      </c>
      <c r="D13" s="20" t="str">
        <f>VLOOKUP($A13,'[2]master plan'!$A:$N,6,0)</f>
        <v>PVN-000935</v>
      </c>
      <c r="E13" s="21" t="str">
        <f>VLOOKUP(A13,'[2]master plan'!A:G,7,0)</f>
        <v>OrthoLite Eco LT 300C(ADIDAS BLUEBIRD) Flat Sheet 0.11D 25+/-4 Asker C 1.1M 2M 4mm</v>
      </c>
      <c r="F13" s="22">
        <f>VLOOKUP(A13,'[2]master plan'!A:H,8,0)</f>
        <v>200</v>
      </c>
      <c r="G13" s="23">
        <f>VLOOKUP(A13,'[2]master plan'!A:W,23,0)</f>
        <v>6</v>
      </c>
      <c r="H13" s="24">
        <f>VLOOKUP(A13,'[2]master plan'!A:W,23,0)</f>
        <v>6</v>
      </c>
      <c r="I13" s="25" t="str">
        <f>VLOOKUP($A13,'[2]master plan'!$A:$N,12,0)</f>
        <v>ADIDAS</v>
      </c>
      <c r="J13" s="25" t="str">
        <f>VLOOKUP($A13,'[2]master plan'!$A:$N,13,0)</f>
        <v>SSO-2606-00449 - URGENT (6-20)</v>
      </c>
      <c r="K13" s="25" t="str">
        <f>VLOOKUP($A13,'[2]master plan'!$A:$N,14,0)</f>
        <v>Flat sheet</v>
      </c>
      <c r="L13" s="26">
        <v>6</v>
      </c>
      <c r="M13" s="27"/>
      <c r="N13" s="28">
        <f>_xlfn.IFNA(VLOOKUP(A13,'[2]master plan'!A:R,18,0),"")</f>
        <v>46189</v>
      </c>
      <c r="O13" s="3" t="s">
        <v>246</v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1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10-0503"/>
        <filter val="RPRO-260610-0504"/>
        <filter val="RPRO-260610-0505"/>
        <filter val="RPRO-260610-0506"/>
        <filter val="RPRO-260610-0507"/>
        <filter val="RPRO-260610-0508"/>
      </filters>
    </filterColumn>
  </autoFilter>
  <mergeCells count="1">
    <mergeCell ref="D1:F1"/>
  </mergeCells>
  <conditionalFormatting sqref="A2">
    <cfRule type="duplicateValues" dxfId="6" priority="5"/>
  </conditionalFormatting>
  <conditionalFormatting sqref="A3:A22">
    <cfRule type="duplicateValues" dxfId="5" priority="7"/>
  </conditionalFormatting>
  <conditionalFormatting sqref="A25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3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9.6</vt:lpstr>
      <vt:lpstr>10.6</vt:lpstr>
      <vt:lpstr>'1.6'!Print_Area</vt:lpstr>
      <vt:lpstr>'10.6'!Print_Area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'9.6'!Print_Area</vt:lpstr>
      <vt:lpstr>'1.6'!Print_Titles</vt:lpstr>
      <vt:lpstr>'10.6'!Print_Titles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  <vt:lpstr>'9.6'!Print_Titles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2026-06-11T01:57:18Z</dcterms:modified>
</cp:coreProperties>
</file>