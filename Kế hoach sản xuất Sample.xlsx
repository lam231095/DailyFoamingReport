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04" documentId="8_{C12FF075-160F-4BB4-977C-4D56BABB08BC}" xr6:coauthVersionLast="47" xr6:coauthVersionMax="47" xr10:uidLastSave="{6D650652-9D11-44C1-8210-99001EF99009}"/>
  <bookViews>
    <workbookView xWindow="-110" yWindow="-110" windowWidth="19420" windowHeight="11500" firstSheet="2" activeTab="12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  <sheet name="5.6" sheetId="13" r:id="rId13"/>
  </sheets>
  <externalReferences>
    <externalReference r:id="rId14"/>
    <externalReference r:id="rId15"/>
  </externalReferences>
  <definedNames>
    <definedName name="_xlnm._FilterDatabase" localSheetId="8" hidden="1">'1.6'!$A$2:$N$21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_xlnm._FilterDatabase" localSheetId="12" hidden="1">'5.6'!$A$2:$N$25</definedName>
    <definedName name="AE" localSheetId="8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AE" localSheetId="12">'[1]Molding-báo cáo BUn'!#REF!</definedName>
    <definedName name="_xlnm.Print_Area" localSheetId="8">'1.6'!$A$1:$N$21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Area" localSheetId="12">'5.6'!$A$1:$N$25</definedName>
    <definedName name="_xlnm.Print_Titles" localSheetId="8">'1.6'!$1:$2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_xlnm.Print_Titles" localSheetId="12">'5.6'!$1:$2</definedName>
    <definedName name="Z_1811EAD5_BD80_4EFF_9596_8EF0EFF4AD2A_.wvu.FilterData" localSheetId="8" hidden="1">'1.6'!$A$2:$N$2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FilterData" localSheetId="12" hidden="1">'5.6'!$A$2:$N$2</definedName>
    <definedName name="Z_1811EAD5_BD80_4EFF_9596_8EF0EFF4AD2A_.wvu.PrintTitles" localSheetId="8" hidden="1">'1.6'!$1:$2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11EAD5_BD80_4EFF_9596_8EF0EFF4AD2A_.wvu.PrintTitles" localSheetId="12" hidden="1">'5.6'!$1:$2</definedName>
    <definedName name="Z_18A7E0A3_1642_489C_8130_3CC9FF80B04E_.wvu.FilterData" localSheetId="8" hidden="1">'1.6'!$B$2:$M$2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18A7E0A3_1642_489C_8130_3CC9FF80B04E_.wvu.FilterData" localSheetId="12" hidden="1">'5.6'!$B$2:$M$2</definedName>
    <definedName name="Z_2653C0F9_59B0_4DB3_BD8D_CACC833527F0_.wvu.FilterData" localSheetId="8" hidden="1">'1.6'!$A$2:$N$2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653C0F9_59B0_4DB3_BD8D_CACC833527F0_.wvu.FilterData" localSheetId="12" hidden="1">'5.6'!$A$2:$N$2</definedName>
    <definedName name="Z_289C1146_6484_4C42_9E78_5D7EBC42FBCC_.wvu.FilterData" localSheetId="8" hidden="1">'1.6'!$A$2:$N$2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FilterData" localSheetId="12" hidden="1">'5.6'!$A$2:$N$2</definedName>
    <definedName name="Z_289C1146_6484_4C42_9E78_5D7EBC42FBCC_.wvu.PrintTitles" localSheetId="8" hidden="1">'1.6'!$1:$2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PrintTitles" localSheetId="12" hidden="1">'5.6'!$1:$2</definedName>
    <definedName name="Z_289C1146_6484_4C42_9E78_5D7EBC42FBCC_.wvu.Rows" localSheetId="8" hidden="1">'1.6'!#REF!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289C1146_6484_4C42_9E78_5D7EBC42FBCC_.wvu.Rows" localSheetId="12" hidden="1">'5.6'!#REF!</definedName>
    <definedName name="Z_314949E3_0D3B_4560_AE70_4D3C4970782A_.wvu.FilterData" localSheetId="8" hidden="1">'1.6'!$B$2:$M$2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4949E3_0D3B_4560_AE70_4D3C4970782A_.wvu.FilterData" localSheetId="12" hidden="1">'5.6'!$B$2:$M$2</definedName>
    <definedName name="Z_318C8B1E_0627_4DC9_8089_60901FDA475B_.wvu.FilterData" localSheetId="8" hidden="1">'1.6'!$B$2:$N$2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FilterData" localSheetId="12" hidden="1">'5.6'!$B$2:$N$2</definedName>
    <definedName name="Z_318C8B1E_0627_4DC9_8089_60901FDA475B_.wvu.PrintTitles" localSheetId="8" hidden="1">'1.6'!$1:$2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18C8B1E_0627_4DC9_8089_60901FDA475B_.wvu.PrintTitles" localSheetId="12" hidden="1">'5.6'!$1:$2</definedName>
    <definedName name="Z_323B6797_06D8_47A1_B001_797373BE57F2_.wvu.FilterData" localSheetId="8" hidden="1">'1.6'!$B$2:$M$2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323B6797_06D8_47A1_B001_797373BE57F2_.wvu.FilterData" localSheetId="12" hidden="1">'5.6'!$B$2:$M$2</definedName>
    <definedName name="Z_6A9DC2EA_1959_4EB9_A839_907E58591C36_.wvu.FilterData" localSheetId="8" hidden="1">'1.6'!$B$2:$M$2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6A9DC2EA_1959_4EB9_A839_907E58591C36_.wvu.FilterData" localSheetId="12" hidden="1">'5.6'!$B$2:$M$2</definedName>
    <definedName name="Z_866BE165_7CE2_41D4_AD4C_D79698D432B1_.wvu.FilterData" localSheetId="8" hidden="1">'1.6'!$B$2:$M$2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BE165_7CE2_41D4_AD4C_D79698D432B1_.wvu.FilterData" localSheetId="12" hidden="1">'5.6'!$B$2:$M$2</definedName>
    <definedName name="Z_866CB300_9BE2_4E49_BCB4_72634A7939D7_.wvu.FilterData" localSheetId="8" hidden="1">'1.6'!$B$2:$N$2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66CB300_9BE2_4E49_BCB4_72634A7939D7_.wvu.FilterData" localSheetId="12" hidden="1">'5.6'!$B$2:$N$2</definedName>
    <definedName name="Z_8CF255E0_B8BB_4016_A366_4FCF106965CF_.wvu.FilterData" localSheetId="8" hidden="1">'1.6'!$A$2:$N$2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8CF255E0_B8BB_4016_A366_4FCF106965CF_.wvu.FilterData" localSheetId="12" hidden="1">'5.6'!$A$2:$N$2</definedName>
    <definedName name="Z_A4A1FC39_A54C_43AC_9912_8824EB6833F5_.wvu.FilterData" localSheetId="8" hidden="1">'1.6'!$A$2:$N$2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4A1FC39_A54C_43AC_9912_8824EB6833F5_.wvu.FilterData" localSheetId="12" hidden="1">'5.6'!$A$2:$N$2</definedName>
    <definedName name="Z_AF6B2EAC_2950_4809_A605_2107D254FC8D_.wvu.FilterData" localSheetId="8" hidden="1">'1.6'!$B$2:$N$2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FilterData" localSheetId="12" hidden="1">'5.6'!$B$2:$N$2</definedName>
    <definedName name="Z_AF6B2EAC_2950_4809_A605_2107D254FC8D_.wvu.PrintTitles" localSheetId="8" hidden="1">'1.6'!$1:$2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AF6B2EAC_2950_4809_A605_2107D254FC8D_.wvu.PrintTitles" localSheetId="12" hidden="1">'5.6'!$1:$2</definedName>
    <definedName name="Z_CA92E8A2_92C9_4575_A139_6FE5DA69269F_.wvu.FilterData" localSheetId="8" hidden="1">'1.6'!$B$2:$M$2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CA92E8A2_92C9_4575_A139_6FE5DA69269F_.wvu.FilterData" localSheetId="12" hidden="1">'5.6'!$B$2:$M$2</definedName>
    <definedName name="Z_DF644A2B_B913_48D6_B430_E57F3B482B79_.wvu.FilterData" localSheetId="8" hidden="1">'1.6'!$A$2:$N$2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FilterData" localSheetId="12" hidden="1">'5.6'!$A$2:$N$2</definedName>
    <definedName name="Z_DF644A2B_B913_48D6_B430_E57F3B482B79_.wvu.PrintTitles" localSheetId="8" hidden="1">'1.6'!$1:$2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  <definedName name="Z_DF644A2B_B913_48D6_B430_E57F3B482B79_.wvu.PrintTitles" localSheetId="12" hidden="1">'5.6'!$1:$2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13" l="1"/>
  <c r="K24" i="13"/>
  <c r="J24" i="13"/>
  <c r="I24" i="13"/>
  <c r="H24" i="13"/>
  <c r="G24" i="13"/>
  <c r="F24" i="13"/>
  <c r="E24" i="13"/>
  <c r="D24" i="13"/>
  <c r="C24" i="13"/>
  <c r="B24" i="13"/>
  <c r="N23" i="13"/>
  <c r="K23" i="13"/>
  <c r="J23" i="13"/>
  <c r="I23" i="13"/>
  <c r="H23" i="13"/>
  <c r="G23" i="13"/>
  <c r="F23" i="13"/>
  <c r="E23" i="13"/>
  <c r="D23" i="13"/>
  <c r="C23" i="13"/>
  <c r="B23" i="13"/>
  <c r="N22" i="13"/>
  <c r="K22" i="13"/>
  <c r="J22" i="13"/>
  <c r="I22" i="13"/>
  <c r="H22" i="13"/>
  <c r="G22" i="13"/>
  <c r="F22" i="13"/>
  <c r="E22" i="13"/>
  <c r="D22" i="13"/>
  <c r="C22" i="13"/>
  <c r="B22" i="13"/>
  <c r="N21" i="13"/>
  <c r="K21" i="13"/>
  <c r="J21" i="13"/>
  <c r="I21" i="13"/>
  <c r="H21" i="13"/>
  <c r="G21" i="13"/>
  <c r="F21" i="13"/>
  <c r="E21" i="13"/>
  <c r="D21" i="13"/>
  <c r="C21" i="13"/>
  <c r="B21" i="13"/>
  <c r="N20" i="13"/>
  <c r="K20" i="13"/>
  <c r="J20" i="13"/>
  <c r="I20" i="13"/>
  <c r="H20" i="13"/>
  <c r="G20" i="13"/>
  <c r="F20" i="13"/>
  <c r="E20" i="13"/>
  <c r="D20" i="13"/>
  <c r="C20" i="13"/>
  <c r="B20" i="13"/>
  <c r="N19" i="13"/>
  <c r="K19" i="13"/>
  <c r="J19" i="13"/>
  <c r="I19" i="13"/>
  <c r="H19" i="13"/>
  <c r="C19" i="13"/>
  <c r="N17" i="13"/>
  <c r="K17" i="13"/>
  <c r="J17" i="13"/>
  <c r="I17" i="13"/>
  <c r="H17" i="13"/>
  <c r="C17" i="13"/>
  <c r="N15" i="13"/>
  <c r="K15" i="13"/>
  <c r="J15" i="13"/>
  <c r="I15" i="13"/>
  <c r="H15" i="13"/>
  <c r="C15" i="13"/>
  <c r="N13" i="13"/>
  <c r="K13" i="13"/>
  <c r="J13" i="13"/>
  <c r="I13" i="13"/>
  <c r="H13" i="13"/>
  <c r="C13" i="13"/>
  <c r="N11" i="13"/>
  <c r="K11" i="13"/>
  <c r="J11" i="13"/>
  <c r="I11" i="13"/>
  <c r="H11" i="13"/>
  <c r="C11" i="13"/>
  <c r="N9" i="13"/>
  <c r="K9" i="13"/>
  <c r="J9" i="13"/>
  <c r="I9" i="13"/>
  <c r="H9" i="13"/>
  <c r="C9" i="13"/>
  <c r="N8" i="13"/>
  <c r="K8" i="13"/>
  <c r="J8" i="13"/>
  <c r="I8" i="13"/>
  <c r="H8" i="13"/>
  <c r="C8" i="13"/>
  <c r="N7" i="13"/>
  <c r="K7" i="13"/>
  <c r="J7" i="13"/>
  <c r="I7" i="13"/>
  <c r="H7" i="13"/>
  <c r="C7" i="13"/>
  <c r="N5" i="13"/>
  <c r="K5" i="13"/>
  <c r="J5" i="13"/>
  <c r="I5" i="13"/>
  <c r="H5" i="13"/>
  <c r="C5" i="13"/>
  <c r="N3" i="13"/>
  <c r="K3" i="13"/>
  <c r="J3" i="13"/>
  <c r="I3" i="13"/>
  <c r="H3" i="13"/>
  <c r="C3" i="13"/>
  <c r="L1" i="13"/>
  <c r="B1" i="13"/>
  <c r="N5" i="12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<sst xmlns="http://schemas.openxmlformats.org/spreadsheetml/2006/main" count="1073" uniqueCount="512">
  <si>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</si>
  <si>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</si>
  <si>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</si>
  <si>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</si>
  <si>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</si>
  <si>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</si>
  <si>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</si>
  <si>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</si>
  <si>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</si>
  <si>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</si>
  <si>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</si>
  <si>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</si>
  <si>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</si>
  <si>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</si>
  <si>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</si>
  <si>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</si>
  <si>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</si>
  <si>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</si>
  <si>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</si>
  <si>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</si>
  <si>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</si>
  <si>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</si>
  <si>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</si>
  <si>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</si>
  <si>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</si>
  <si>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</si>
  <si>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</si>
  <si>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</si>
  <si>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</si>
  <si>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</si>
  <si>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</si>
  <si>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</si>
  <si>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</si>
  <si>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</si>
  <si>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</si>
  <si>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</si>
  <si>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</si>
  <si>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</si>
  <si>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</si>
  <si>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</si>
  <si>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</si>
  <si>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</si>
  <si>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</si>
  <si>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</si>
  <si>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</si>
  <si>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</si>
  <si>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</si>
  <si>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</si>
  <si>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</si>
  <si>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</si>
  <si>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</si>
  <si>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</si>
  <si>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</si>
  <si>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</si>
  <si>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</si>
  <si>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</si>
  <si>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</si>
  <si>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</si>
  <si>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</si>
  <si>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</si>
  <si>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</si>
  <si>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</si>
  <si>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</si>
  <si>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</si>
  <si>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</si>
  <si>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</si>
  <si>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</si>
  <si>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</si>
  <si>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</si>
  <si>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</si>
  <si>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</si>
  <si>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</si>
  <si>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</si>
  <si>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</si>
  <si>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</si>
  <si>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</si>
  <si>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</si>
  <si>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</si>
  <si>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</si>
  <si>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</si>
  <si>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</si>
  <si>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</si>
  <si>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</si>
  <si>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</si>
  <si>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</si>
  <si>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</si>
  <si>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</si>
  <si>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</si>
  <si>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</si>
  <si>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</si>
  <si>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</si>
  <si>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</si>
  <si>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</si>
  <si>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</si>
  <si>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</si>
  <si>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</si>
  <si>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</si>
  <si>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</si>
  <si>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</si>
  <si>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</si>
  <si>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</si>
  <si>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</si>
  <si>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</si>
  <si>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</si>
  <si>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</si>
  <si>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</si>
  <si>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</si>
  <si>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</si>
  <si>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</si>
  <si>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</si>
  <si>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</si>
  <si>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</si>
  <si>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</si>
  <si>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</si>
  <si>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</si>
  <si>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</si>
  <si>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</si>
  <si>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</si>
  <si>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</si>
  <si>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</si>
  <si>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</si>
  <si>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</si>
  <si>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</si>
  <si>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</si>
  <si>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</si>
  <si>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</si>
  <si>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</si>
  <si>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</si>
  <si>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</si>
  <si>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</si>
  <si>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</si>
  <si>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</si>
  <si>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</si>
  <si>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</si>
  <si>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</si>
  <si>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</si>
  <si>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</si>
  <si>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</si>
  <si>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</si>
  <si>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</si>
  <si>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</si>
  <si>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</si>
  <si>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</si>
  <si>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</si>
  <si>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</si>
  <si>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</si>
  <si>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</si>
  <si>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</si>
  <si>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</si>
  <si>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</si>
  <si>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</si>
  <si>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</si>
  <si>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</si>
  <si>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</si>
  <si>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</si>
  <si>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</si>
  <si>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</si>
  <si>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</si>
  <si>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</si>
  <si>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</si>
  <si>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</si>
  <si>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</si>
  <si>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</si>
  <si>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</si>
  <si>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</si>
  <si>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</si>
  <si>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</si>
  <si>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</si>
  <si>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</si>
  <si>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</si>
  <si>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</si>
  <si>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</si>
  <si>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</si>
  <si>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</si>
  <si>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</si>
  <si>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</si>
  <si>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</si>
  <si>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</si>
  <si>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</si>
  <si>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</si>
  <si>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</si>
  <si>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</si>
  <si>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</si>
  <si>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</si>
  <si>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</si>
  <si>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</si>
  <si>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</si>
  <si>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</si>
  <si>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</si>
  <si>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</si>
  <si>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</si>
  <si>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</si>
  <si>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</si>
  <si>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</si>
  <si>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</si>
  <si>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</si>
  <si>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</si>
  <si>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</si>
  <si>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</si>
  <si>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</si>
  <si>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</si>
  <si>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</si>
  <si>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</si>
  <si>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</si>
  <si>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</si>
  <si>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</si>
  <si>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</si>
  <si>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</si>
  <si>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</si>
  <si>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</si>
  <si>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</si>
  <si>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</si>
  <si>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</si>
  <si>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</si>
  <si>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</si>
  <si>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</si>
  <si>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</si>
  <si>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</si>
  <si>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</si>
  <si>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</si>
  <si>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</si>
  <si>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</si>
  <si>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</si>
  <si>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</si>
  <si>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</si>
  <si>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</si>
  <si>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</si>
  <si>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</si>
  <si>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</si>
  <si>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</si>
  <si>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</si>
  <si>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</si>
  <si>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</si>
  <si>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</si>
  <si>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</si>
  <si>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</si>
  <si>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</si>
  <si>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</si>
  <si>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</si>
  <si>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</si>
  <si>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</si>
  <si>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</si>
  <si>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</si>
  <si>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</si>
  <si>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</si>
  <si>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</si>
  <si>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</si>
  <si>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</si>
  <si>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</si>
  <si>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</si>
  <si>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</si>
  <si>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</si>
  <si>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</si>
  <si>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</si>
  <si>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</si>
  <si>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</si>
  <si>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</si>
  <si>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</si>
  <si>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</si>
  <si>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</si>
  <si>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</si>
  <si>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</si>
  <si>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</si>
  <si>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</si>
  <si>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</si>
  <si>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</si>
  <si>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</si>
  <si>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</si>
  <si>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</si>
  <si>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</si>
  <si>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</si>
  <si>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</si>
  <si>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</si>
  <si>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</si>
  <si>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</si>
  <si>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</si>
  <si>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</si>
  <si>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</si>
  <si>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</si>
  <si>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</si>
  <si>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</si>
  <si>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</si>
  <si>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</si>
  <si>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</si>
  <si>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</si>
  <si>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</si>
  <si>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</si>
  <si>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</si>
  <si>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</si>
  <si>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</si>
  <si>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</si>
  <si>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</si>
  <si>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</si>
  <si>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</si>
  <si>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</si>
  <si>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</si>
  <si>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</si>
  <si>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</si>
  <si>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</si>
  <si>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</si>
  <si>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</si>
  <si>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</si>
  <si>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</si>
  <si>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</si>
  <si>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</si>
  <si>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</si>
  <si>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</si>
  <si>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</si>
  <si>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</si>
  <si>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</si>
  <si>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</si>
  <si>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</si>
  <si>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</si>
  <si>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</si>
  <si>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</si>
  <si>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</si>
  <si>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</si>
  <si>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</si>
  <si>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</si>
  <si>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</si>
  <si>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</si>
  <si>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</si>
  <si>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</si>
  <si>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</si>
  <si>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</si>
  <si>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</si>
  <si>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</si>
  <si>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</si>
  <si>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</si>
  <si>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</si>
  <si>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</si>
  <si>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</si>
  <si>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</si>
  <si>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</si>
  <si>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</si>
  <si>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</si>
  <si>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</si>
  <si>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</si>
  <si>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</si>
  <si>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</si>
  <si>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</si>
  <si>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</si>
  <si>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</si>
  <si>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</si>
  <si>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</si>
  <si>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</si>
  <si>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</si>
  <si>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</si>
  <si>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</si>
  <si>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</si>
  <si>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</si>
  <si>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</si>
  <si>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</si>
  <si>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</si>
  <si>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</si>
  <si>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</si>
  <si>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</si>
  <si>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</si>
  <si>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</si>
  <si>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</si>
  <si>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</si>
  <si>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</si>
  <si>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</si>
  <si>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</si>
  <si>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</si>
  <si>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</si>
  <si>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</si>
  <si>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</si>
  <si>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</si>
  <si>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</si>
  <si>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</si>
  <si>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</si>
  <si>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</si>
  <si>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</si>
  <si>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</si>
  <si>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</si>
  <si>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</si>
  <si>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</si>
  <si>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</si>
  <si>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</si>
  <si>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</si>
  <si>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</si>
  <si>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</si>
  <si>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</si>
  <si>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</si>
  <si>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</si>
  <si>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</si>
  <si>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</si>
  <si>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</si>
  <si>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</si>
  <si>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</si>
  <si>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</si>
  <si>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</si>
  <si>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</si>
  <si>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</si>
  <si>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</si>
  <si>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</si>
  <si>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</si>
  <si>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</si>
  <si>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</si>
  <si>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</si>
  <si>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</si>
  <si>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</si>
  <si>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</si>
  <si>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</si>
  <si>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</si>
  <si>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</si>
  <si>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</si>
  <si>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</si>
  <si>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</si>
  <si>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</si>
  <si>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</si>
  <si>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</si>
  <si>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</si>
  <si>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</si>
  <si>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</si>
  <si>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</si>
  <si>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</si>
  <si>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</si>
  <si>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</si>
  <si>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</si>
  <si>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</si>
  <si>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</si>
  <si>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</si>
  <si>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</si>
  <si>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</si>
  <si>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</si>
  <si>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</si>
  <si>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</si>
  <si>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</si>
  <si>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</si>
  <si>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</si>
  <si>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</si>
  <si>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</si>
  <si>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</si>
  <si>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</si>
  <si>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</si>
  <si>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</si>
  <si>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</si>
  <si>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</si>
  <si>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</si>
  <si>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</si>
  <si>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</si>
  <si>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</si>
  <si>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</si>
  <si>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</si>
  <si>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</si>
  <si>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</si>
  <si>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</si>
  <si>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</si>
  <si>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</si>
  <si>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</si>
  <si>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</si>
  <si>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</si>
  <si>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</si>
  <si>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</si>
  <si>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</si>
  <si>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</si>
  <si>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</si>
  <si>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</si>
  <si>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</si>
  <si>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</si>
  <si>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</si>
  <si>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</si>
  <si>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</si>
  <si>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</si>
  <si>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</si>
  <si>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</si>
  <si>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</si>
  <si>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</si>
  <si>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</si>
  <si>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</si>
  <si>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</si>
  <si>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</si>
  <si>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</si>
  <si>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</si>
  <si>
    <t>S-2026-06-16</t>
  </si>
  <si>
    <t>RPRO-260605-0678</t>
  </si>
  <si>
    <t>PVN-004438</t>
  </si>
  <si>
    <t>Ortholite X-25 GREEN/16-5932TPX Flat Sheet 0.12D 20+/-4 Asker C 1.1M 2M 6.2mm</t>
  </si>
  <si>
    <t>S-2026-06-17</t>
  </si>
  <si>
    <t>RPRO-260605-0679</t>
  </si>
  <si>
    <t>PVN-004350</t>
  </si>
  <si>
    <t>OrthoLite Regular SEEDPEARL/12-0703TPX Flat Sheet 0.13D 35+/-4 Asker C 1.1M 1.47M 13mm</t>
  </si>
  <si>
    <t>S-2026-06-18</t>
  </si>
  <si>
    <t>RPRO-260605-0680</t>
  </si>
  <si>
    <t>PVN-002539</t>
  </si>
  <si>
    <t>OrthoLite Ultra-Hybrid SEEDPEARL/12-0703TPX Hybrid Flat Sheet 0.085D 25+/-4 Asker C 1.1M 2M 5mm</t>
  </si>
  <si>
    <t>S-2026-06-19</t>
  </si>
  <si>
    <t>RPRO-260605-0681</t>
  </si>
  <si>
    <t>S-2026-06-24</t>
  </si>
  <si>
    <t>RPRO-260605-0686</t>
  </si>
  <si>
    <t>S-2026-06-20</t>
  </si>
  <si>
    <t>RPRO-260605-0682</t>
  </si>
  <si>
    <t>PVN-001452</t>
  </si>
  <si>
    <t>OrthoLite Ultra SEEDPEARL/12-0703TPX Flat Sheet 0.085D 25+/-4 Asker C 1.1M 2M 4.5mm</t>
  </si>
  <si>
    <t>S-2026-06-21</t>
  </si>
  <si>
    <t>RPRO-260605-0683</t>
  </si>
  <si>
    <t>PVN-004076</t>
  </si>
  <si>
    <t>OrthoLite Regular NEUTRAL GRAY/17-4402TPX Flat Sheet 0.13D 15+/-4 Asker C 1.1M 2M 24mm</t>
  </si>
  <si>
    <t>S-2026-06-22</t>
  </si>
  <si>
    <t>RPRO-260605-0684</t>
  </si>
  <si>
    <t>PVN-003327</t>
  </si>
  <si>
    <t>OrthoLite X-40 TRUE BLUE/19-4057TPX 0.16D 35+/-4 Asker C 1.1M 1.7M 4mm</t>
  </si>
  <si>
    <t>S-2026-06-23</t>
  </si>
  <si>
    <t>RPRO-260605-0685</t>
  </si>
  <si>
    <t>PVN-004212</t>
  </si>
  <si>
    <t>OrthoLite X-40-Hybrid TRUE BLUE/19-4057TPX Hybrid Flat Sheet 0.16D 25+/-4 Asker C 1.1M 2M 3mm</t>
  </si>
  <si>
    <t>S-2026-05-84</t>
  </si>
  <si>
    <t>RPRO-260605-0687</t>
  </si>
  <si>
    <t>PVN-004430</t>
  </si>
  <si>
    <t>OrthoLite HybridPlus-Recycled COLORO 063-98-46 (fluorescent) Hybrid 0.12D 25+/-4 Asker C 1.1M 2M 6mm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</si>
</sst>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  <font>
      <b/>
      <sz val="26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4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164" fontId="32" fillId="2" borderId="5" xfId="1" applyNumberFormat="1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3.6"/>
      <sheetName val="4.6"/>
      <sheetName val="5.6"/>
      <sheetName val="form 2 (20)"/>
      <sheetName val="In đơn"/>
      <sheetName val="Production BOM"/>
      <sheetName val="Items"/>
      <sheetName val="mm Pu"/>
      <sheetName val="master plan (2)"/>
      <sheetName val="form 2 (18)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6.6"/>
      <sheetName val="9.6"/>
      <sheetName val="9.6 (L)"/>
      <sheetName val="10.6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4)"/>
      <sheetName val="form 2 (3)"/>
      <sheetName val="form 2"/>
      <sheetName val="25.4 (2)"/>
      <sheetName val="form 2 (9)"/>
    </sheetNames>
    <sheetDataSet>
      <sheetData sheetId="0"/>
      <sheetData sheetId="1"/>
      <sheetData sheetId="2"/>
      <sheetData sheetId="3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24949</v>
          </cell>
          <cell r="I2">
            <v>24949</v>
          </cell>
          <cell r="J2">
            <v>23583</v>
          </cell>
          <cell r="K2">
            <v>1366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1271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 xml:space="preserve">sx xin dời ETD 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0</v>
          </cell>
          <cell r="K458">
            <v>100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46179</v>
          </cell>
          <cell r="R458">
            <v>46176</v>
          </cell>
          <cell r="S458">
            <v>6</v>
          </cell>
          <cell r="T458">
            <v>12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/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0</v>
          </cell>
          <cell r="K460">
            <v>40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46185</v>
          </cell>
          <cell r="R460">
            <v>46182</v>
          </cell>
          <cell r="S460">
            <v>6</v>
          </cell>
          <cell r="T460">
            <v>18</v>
          </cell>
          <cell r="U460">
            <v>6</v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B461"/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/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/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/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/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/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/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B468"/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B469"/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50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/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30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/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0</v>
          </cell>
          <cell r="K471">
            <v>30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46178</v>
          </cell>
          <cell r="R471">
            <v>46175</v>
          </cell>
          <cell r="S471">
            <v>6</v>
          </cell>
          <cell r="T471">
            <v>7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/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/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/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0</v>
          </cell>
          <cell r="K474">
            <v>20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46178</v>
          </cell>
          <cell r="R474">
            <v>46175</v>
          </cell>
          <cell r="S474">
            <v>6</v>
          </cell>
          <cell r="T474">
            <v>7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/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0</v>
          </cell>
          <cell r="K475">
            <v>30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/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B477"/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0</v>
          </cell>
          <cell r="K477">
            <v>100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B478"/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0</v>
          </cell>
          <cell r="K478">
            <v>30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B479"/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0</v>
          </cell>
          <cell r="K479">
            <v>50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B480"/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0</v>
          </cell>
          <cell r="K480">
            <v>30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B481"/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0</v>
          </cell>
          <cell r="K481">
            <v>50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B482"/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0</v>
          </cell>
          <cell r="K482">
            <v>10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>
            <v>15</v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B483"/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0</v>
          </cell>
          <cell r="K483">
            <v>30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B484"/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0</v>
          </cell>
          <cell r="K484">
            <v>30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B485"/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0</v>
          </cell>
          <cell r="K485">
            <v>20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B486"/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0</v>
          </cell>
          <cell r="K486">
            <v>30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B487"/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0</v>
          </cell>
          <cell r="K487">
            <v>30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B488"/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0</v>
          </cell>
          <cell r="K488">
            <v>60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B489"/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0</v>
          </cell>
          <cell r="K489">
            <v>50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0</v>
          </cell>
          <cell r="K490">
            <v>20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>
            <v>5</v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B491"/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0</v>
          </cell>
          <cell r="K491">
            <v>50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B492"/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0</v>
          </cell>
          <cell r="K492">
            <v>25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B493"/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0</v>
          </cell>
          <cell r="K493">
            <v>25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 xml:space="preserve">Gấp 6.6 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0</v>
          </cell>
          <cell r="K494">
            <v>50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B495"/>
          <cell r="C495" t="str">
            <v>RPRO-260604-0522</v>
          </cell>
          <cell r="D495" t="str">
            <v>PUR2606030002S</v>
          </cell>
          <cell r="E495" t="str">
            <v>BDB-000307</v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0</v>
          </cell>
          <cell r="K495">
            <v>20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>
            <v>8</v>
          </cell>
          <cell r="V495">
            <v>5.5559999999999998E-2</v>
          </cell>
          <cell r="W495">
            <v>2</v>
          </cell>
        </row>
        <row r="496">
          <cell r="A496" t="str">
            <v>L-2026-06-01</v>
          </cell>
          <cell r="B496"/>
          <cell r="C496" t="str">
            <v>RPRO-260604-0523</v>
          </cell>
          <cell r="D496" t="str">
            <v xml:space="preserve">&lt;nguyet.bui@ortholite.vn&gt; </v>
          </cell>
          <cell r="E496" t="str">
            <v>BDB-000131</v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0</v>
          </cell>
          <cell r="K496">
            <v>5</v>
          </cell>
          <cell r="L496" t="str">
            <v>NIKE-POU CHEN VÀ CONVERSE</v>
          </cell>
          <cell r="M496"/>
          <cell r="N496"/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>
            <v>3.5</v>
          </cell>
          <cell r="V496">
            <v>2.5000000000000001E-2</v>
          </cell>
          <cell r="W496">
            <v>1</v>
          </cell>
        </row>
        <row r="497">
          <cell r="A497" t="str">
            <v>L-2026-06-02</v>
          </cell>
          <cell r="B497"/>
          <cell r="C497" t="str">
            <v>RPRO-260604-0524</v>
          </cell>
          <cell r="D497" t="str">
            <v xml:space="preserve">&lt;nguyet.bui@ortholite.vn&gt; </v>
          </cell>
          <cell r="E497" t="str">
            <v>BDB-000131</v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0</v>
          </cell>
          <cell r="K497">
            <v>4</v>
          </cell>
          <cell r="L497" t="str">
            <v>NIKE-POU CHEN VÀ CONVERSE</v>
          </cell>
          <cell r="M497"/>
          <cell r="N497"/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>
            <v>10</v>
          </cell>
          <cell r="V497">
            <v>7.6920000000000002E-2</v>
          </cell>
          <cell r="W497">
            <v>1</v>
          </cell>
        </row>
        <row r="498">
          <cell r="A498" t="str">
            <v>L-2026-06-03</v>
          </cell>
          <cell r="B498"/>
          <cell r="C498" t="str">
            <v>RPRO-260604-0525</v>
          </cell>
          <cell r="D498" t="str">
            <v xml:space="preserve">&lt;nguyet.bui@ortholite.vn&gt; </v>
          </cell>
          <cell r="E498" t="str">
            <v>BDB-000221</v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0</v>
          </cell>
          <cell r="K498">
            <v>5</v>
          </cell>
          <cell r="L498" t="str">
            <v>NIKE-POU CHEN VÀ CONVERSE</v>
          </cell>
          <cell r="M498"/>
          <cell r="N498"/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>
            <v>3</v>
          </cell>
          <cell r="V498">
            <v>2.1739999999999999E-2</v>
          </cell>
          <cell r="W498">
            <v>1</v>
          </cell>
        </row>
        <row r="499">
          <cell r="A499" t="str">
            <v>L-2026-06-04</v>
          </cell>
          <cell r="B499"/>
          <cell r="C499" t="str">
            <v>RPRO-260604-0526</v>
          </cell>
          <cell r="D499" t="str">
            <v xml:space="preserve">&lt;nguyet.bui@ortholite.vn&gt; </v>
          </cell>
          <cell r="E499" t="str">
            <v>BDB-000221</v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4</v>
          </cell>
          <cell r="L499" t="str">
            <v>NIKE-POU CHEN VÀ CONVERSE</v>
          </cell>
          <cell r="M499"/>
          <cell r="N499"/>
          <cell r="O499" t="str">
            <v>Lab test</v>
          </cell>
          <cell r="P499">
            <v>46177</v>
          </cell>
          <cell r="Q499">
            <v>46184</v>
          </cell>
          <cell r="R499">
            <v>46181</v>
          </cell>
          <cell r="S499">
            <v>6</v>
          </cell>
          <cell r="T499">
            <v>7</v>
          </cell>
          <cell r="U499">
            <v>10</v>
          </cell>
          <cell r="V499">
            <v>7.6920000000000002E-2</v>
          </cell>
          <cell r="W499">
            <v>1</v>
          </cell>
        </row>
        <row r="500">
          <cell r="A500" t="str">
            <v>L-2026-06-05</v>
          </cell>
          <cell r="B500"/>
          <cell r="C500" t="str">
            <v>RPRO-260604-0527</v>
          </cell>
          <cell r="D500" t="str">
            <v xml:space="preserve">&lt;nguyet.bui@ortholite.vn&gt; </v>
          </cell>
          <cell r="E500" t="str">
            <v>BDB-000097</v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0</v>
          </cell>
          <cell r="K500">
            <v>5</v>
          </cell>
          <cell r="L500" t="str">
            <v>NIKE-POU CHEN VÀ CONVERSE</v>
          </cell>
          <cell r="M500"/>
          <cell r="N500"/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>
            <v>10</v>
          </cell>
          <cell r="V500">
            <v>7.6920000000000002E-2</v>
          </cell>
          <cell r="W500">
            <v>1</v>
          </cell>
        </row>
        <row r="501">
          <cell r="A501" t="str">
            <v>L-2026-06-06</v>
          </cell>
          <cell r="B501"/>
          <cell r="C501" t="str">
            <v>RPRO-260604-0528</v>
          </cell>
          <cell r="D501" t="str">
            <v xml:space="preserve">&lt;nguyet.bui@ortholite.vn&gt; </v>
          </cell>
          <cell r="E501" t="str">
            <v>BDB-000097</v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0</v>
          </cell>
          <cell r="K501">
            <v>4</v>
          </cell>
          <cell r="L501" t="str">
            <v>NIKE-POU CHEN VÀ CONVERSE</v>
          </cell>
          <cell r="M501"/>
          <cell r="N501"/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>
            <v>4</v>
          </cell>
          <cell r="V501">
            <v>2.8570000000000002E-2</v>
          </cell>
          <cell r="W501">
            <v>1</v>
          </cell>
        </row>
        <row r="502">
          <cell r="A502" t="str">
            <v>L-2026-06-07</v>
          </cell>
          <cell r="B502"/>
          <cell r="C502" t="str">
            <v>RPRO-260604-0529</v>
          </cell>
          <cell r="D502" t="str">
            <v xml:space="preserve">&lt;anne.tran@ortholite.vn&gt; </v>
          </cell>
          <cell r="E502" t="str">
            <v>BDB-000113</v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0</v>
          </cell>
          <cell r="K502">
            <v>2</v>
          </cell>
          <cell r="L502" t="str">
            <v>SHYANG HUNG TAH</v>
          </cell>
          <cell r="M502"/>
          <cell r="N502"/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>
            <v>4.5</v>
          </cell>
          <cell r="V502">
            <v>3.2259999999999997E-2</v>
          </cell>
          <cell r="W502">
            <v>1</v>
          </cell>
        </row>
        <row r="503">
          <cell r="A503" t="str">
            <v>S-2026-06-16</v>
          </cell>
          <cell r="B503"/>
          <cell r="C503" t="str">
            <v>RPRO-260605-0678</v>
          </cell>
          <cell r="D503" t="str">
            <v>PUR2606040001S</v>
          </cell>
          <cell r="E503" t="str">
            <v>BDB-000393</v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0</v>
          </cell>
          <cell r="K503">
            <v>70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>
            <v>6.2</v>
          </cell>
          <cell r="V503">
            <v>4.3479999999999998E-2</v>
          </cell>
          <cell r="W503">
            <v>4</v>
          </cell>
        </row>
        <row r="504">
          <cell r="A504" t="str">
            <v>S-2026-06-17</v>
          </cell>
          <cell r="B504"/>
          <cell r="C504" t="str">
            <v>RPRO-260605-0679</v>
          </cell>
          <cell r="D504" t="str">
            <v>PUR2606050002S</v>
          </cell>
          <cell r="E504" t="str">
            <v>BDB-000353</v>
          </cell>
          <cell r="F504" t="str">
            <v>PVN-004350</v>
          </cell>
          <cell r="G504" t="str">
            <v>OrthoLite Regular SEEDPEARL/12-0703TPX Flat Sheet 0.13D 35+/-4 Asker C 1.1M 1.47M 13mm</v>
          </cell>
          <cell r="H504">
            <v>10</v>
          </cell>
          <cell r="I504">
            <v>10</v>
          </cell>
          <cell r="J504">
            <v>0</v>
          </cell>
          <cell r="K504">
            <v>10</v>
          </cell>
          <cell r="L504" t="str">
            <v>CAMPER</v>
          </cell>
          <cell r="M504" t="str">
            <v>SSO-2606-00239  - URGENT (6-13)</v>
          </cell>
          <cell r="N504" t="str">
            <v>Flat sheet</v>
          </cell>
          <cell r="O504" t="str">
            <v>Sample</v>
          </cell>
          <cell r="P504">
            <v>46178</v>
          </cell>
          <cell r="Q504">
            <v>46185</v>
          </cell>
          <cell r="R504">
            <v>46182</v>
          </cell>
          <cell r="S504">
            <v>6</v>
          </cell>
          <cell r="T504">
            <v>7</v>
          </cell>
          <cell r="U504">
            <v>13</v>
          </cell>
          <cell r="V504">
            <v>0.1</v>
          </cell>
          <cell r="W504">
            <v>1</v>
          </cell>
        </row>
        <row r="505">
          <cell r="A505" t="str">
            <v>S-2026-06-18</v>
          </cell>
          <cell r="B505"/>
          <cell r="C505" t="str">
            <v>RPRO-260605-0680</v>
          </cell>
          <cell r="D505" t="str">
            <v>PUR2606050002S</v>
          </cell>
          <cell r="E505" t="str">
            <v>BDB-000123</v>
          </cell>
          <cell r="F505" t="str">
            <v>PVN-002539</v>
          </cell>
          <cell r="G505" t="str">
            <v>OrthoLite Ultra-Hybrid SEEDPEARL/12-0703TPX Hybrid Flat Sheet 0.085D 25+/-4 Asker C 1.1M 2M 5mm</v>
          </cell>
          <cell r="H505">
            <v>50</v>
          </cell>
          <cell r="I505">
            <v>50</v>
          </cell>
          <cell r="J505">
            <v>0</v>
          </cell>
          <cell r="K505">
            <v>50</v>
          </cell>
          <cell r="L505" t="str">
            <v>ADIDAS</v>
          </cell>
          <cell r="M505" t="str">
            <v>Sample - URGENT (6-13)</v>
          </cell>
          <cell r="N505" t="str">
            <v>Flat sheet + Die Cut</v>
          </cell>
          <cell r="O505" t="str">
            <v>Sample</v>
          </cell>
          <cell r="P505">
            <v>46178</v>
          </cell>
          <cell r="Q505">
            <v>46185</v>
          </cell>
          <cell r="R505">
            <v>46182</v>
          </cell>
          <cell r="S505">
            <v>6</v>
          </cell>
          <cell r="T505">
            <v>7</v>
          </cell>
          <cell r="U505">
            <v>5</v>
          </cell>
          <cell r="V505">
            <v>3.5709999999999999E-2</v>
          </cell>
          <cell r="W505">
            <v>2</v>
          </cell>
        </row>
        <row r="506">
          <cell r="A506" t="str">
            <v>S-2026-06-19</v>
          </cell>
          <cell r="B506"/>
          <cell r="C506" t="str">
            <v>RPRO-260605-0681</v>
          </cell>
          <cell r="D506" t="str">
            <v>PUR2606050002S</v>
          </cell>
          <cell r="E506" t="str">
            <v>BDB-000123</v>
          </cell>
          <cell r="F506" t="str">
            <v>PVN-003300</v>
          </cell>
          <cell r="G506" t="str">
            <v>OrthoLite Ultra-Hybrid SEEDPEARL/12-0703TPX Hybrid Flat Sheet 0.085D 25+/-4 Asker C 1.1M 2M 2mm</v>
          </cell>
          <cell r="H506">
            <v>50</v>
          </cell>
          <cell r="I506">
            <v>50</v>
          </cell>
          <cell r="J506">
            <v>0</v>
          </cell>
          <cell r="K506">
            <v>50</v>
          </cell>
          <cell r="L506" t="str">
            <v>ADIDAS</v>
          </cell>
          <cell r="M506" t="str">
            <v>SSO-2606-00242 - URGENT (6-13)</v>
          </cell>
          <cell r="N506" t="str">
            <v>Flat sheet</v>
          </cell>
          <cell r="O506" t="str">
            <v>Sample</v>
          </cell>
          <cell r="P506">
            <v>46178</v>
          </cell>
          <cell r="Q506">
            <v>46185</v>
          </cell>
          <cell r="R506">
            <v>46182</v>
          </cell>
          <cell r="S506">
            <v>6</v>
          </cell>
          <cell r="T506">
            <v>7</v>
          </cell>
          <cell r="U506">
            <v>2</v>
          </cell>
          <cell r="V506">
            <v>1.4290000000000001E-2</v>
          </cell>
          <cell r="W506">
            <v>1</v>
          </cell>
        </row>
        <row r="507">
          <cell r="A507" t="str">
            <v>S-2026-06-20</v>
          </cell>
          <cell r="B507"/>
          <cell r="C507" t="str">
            <v>RPRO-260605-0682</v>
          </cell>
          <cell r="D507" t="str">
            <v>PUR-202606050001S</v>
          </cell>
          <cell r="E507" t="str">
            <v>BDB-000067</v>
          </cell>
          <cell r="F507" t="str">
            <v>PVN-001452</v>
          </cell>
          <cell r="G507" t="str">
            <v>OrthoLite Ultra SEEDPEARL/12-0703TPX Flat Sheet 0.085D 25+/-4 Asker C 1.1M 2M 4.5mm</v>
          </cell>
          <cell r="H507">
            <v>10</v>
          </cell>
          <cell r="I507">
            <v>10</v>
          </cell>
          <cell r="J507">
            <v>0</v>
          </cell>
          <cell r="K507">
            <v>10</v>
          </cell>
          <cell r="L507" t="str">
            <v>PUMA</v>
          </cell>
          <cell r="M507" t="str">
            <v>Sample</v>
          </cell>
          <cell r="N507" t="str">
            <v>MOLDED</v>
          </cell>
          <cell r="O507" t="str">
            <v>Sample</v>
          </cell>
          <cell r="P507">
            <v>46178</v>
          </cell>
          <cell r="Q507">
            <v>46185</v>
          </cell>
          <cell r="R507">
            <v>46182</v>
          </cell>
          <cell r="S507">
            <v>6</v>
          </cell>
          <cell r="T507">
            <v>7</v>
          </cell>
          <cell r="U507">
            <v>4.5</v>
          </cell>
          <cell r="V507">
            <v>3.2259999999999997E-2</v>
          </cell>
          <cell r="W507">
            <v>1</v>
          </cell>
        </row>
        <row r="508">
          <cell r="A508" t="str">
            <v>S-2026-06-21</v>
          </cell>
          <cell r="B508"/>
          <cell r="C508" t="str">
            <v>RPRO-260605-0683</v>
          </cell>
          <cell r="D508" t="str">
            <v>PUR-202606050001S</v>
          </cell>
          <cell r="E508" t="str">
            <v>BDB-000317</v>
          </cell>
          <cell r="F508" t="str">
            <v>PVN-004076</v>
          </cell>
          <cell r="G508" t="str">
            <v>OrthoLite Regular NEUTRAL GRAY/17-4402TPX Flat Sheet 0.13D 15+/-4 Asker C 1.1M 2M 24mm</v>
          </cell>
          <cell r="H508">
            <v>20</v>
          </cell>
          <cell r="I508">
            <v>20</v>
          </cell>
          <cell r="J508">
            <v>0</v>
          </cell>
          <cell r="K508">
            <v>20</v>
          </cell>
          <cell r="L508" t="str">
            <v>ASICS</v>
          </cell>
          <cell r="M508" t="str">
            <v>Sample</v>
          </cell>
          <cell r="N508" t="str">
            <v>MOLDED</v>
          </cell>
          <cell r="O508" t="str">
            <v>Sample</v>
          </cell>
          <cell r="P508">
            <v>46178</v>
          </cell>
          <cell r="Q508">
            <v>46185</v>
          </cell>
          <cell r="R508">
            <v>46182</v>
          </cell>
          <cell r="S508">
            <v>6</v>
          </cell>
          <cell r="T508">
            <v>7</v>
          </cell>
          <cell r="U508">
            <v>24</v>
          </cell>
          <cell r="V508">
            <v>0.2</v>
          </cell>
          <cell r="W508">
            <v>4</v>
          </cell>
        </row>
        <row r="509">
          <cell r="A509" t="str">
            <v>S-2026-06-22</v>
          </cell>
          <cell r="B509"/>
          <cell r="C509" t="str">
            <v>RPRO-260605-0684</v>
          </cell>
          <cell r="D509" t="str">
            <v>PUR-202606050001S</v>
          </cell>
          <cell r="E509" t="str">
            <v>BDB-000055</v>
          </cell>
          <cell r="F509" t="str">
            <v>PVN-003327</v>
          </cell>
          <cell r="G509" t="str">
            <v>OrthoLite X-40 TRUE BLUE/19-4057TPX 0.16D 35+/-4 Asker C 1.1M 1.7M 4mm</v>
          </cell>
          <cell r="H509">
            <v>30</v>
          </cell>
          <cell r="I509">
            <v>30</v>
          </cell>
          <cell r="J509">
            <v>0</v>
          </cell>
          <cell r="K509">
            <v>30</v>
          </cell>
          <cell r="L509" t="str">
            <v>ASICS</v>
          </cell>
          <cell r="M509" t="str">
            <v>Sample</v>
          </cell>
          <cell r="N509" t="str">
            <v>MOLDED</v>
          </cell>
          <cell r="O509" t="str">
            <v>Sample</v>
          </cell>
          <cell r="P509">
            <v>46178</v>
          </cell>
          <cell r="Q509">
            <v>46185</v>
          </cell>
          <cell r="R509">
            <v>46182</v>
          </cell>
          <cell r="S509">
            <v>6</v>
          </cell>
          <cell r="T509">
            <v>7</v>
          </cell>
          <cell r="U509">
            <v>4</v>
          </cell>
          <cell r="V509">
            <v>2.8570000000000002E-2</v>
          </cell>
          <cell r="W509">
            <v>1</v>
          </cell>
        </row>
        <row r="510">
          <cell r="A510" t="str">
            <v>S-2026-06-23</v>
          </cell>
          <cell r="B510"/>
          <cell r="C510" t="str">
            <v>RPRO-260605-0685</v>
          </cell>
          <cell r="D510" t="str">
            <v>PUR-202606050001S</v>
          </cell>
          <cell r="E510" t="str">
            <v>BDB-000328</v>
          </cell>
          <cell r="F510" t="str">
            <v>PVN-004212</v>
          </cell>
          <cell r="G510" t="str">
            <v>OrthoLite X-40-Hybrid TRUE BLUE/19-4057TPX Hybrid Flat Sheet 0.16D 25+/-4 Asker C 1.1M 2M 3mm</v>
          </cell>
          <cell r="H510">
            <v>20</v>
          </cell>
          <cell r="I510">
            <v>20</v>
          </cell>
          <cell r="J510">
            <v>0</v>
          </cell>
          <cell r="K510">
            <v>20</v>
          </cell>
          <cell r="L510" t="str">
            <v>ASICS</v>
          </cell>
          <cell r="M510" t="str">
            <v>Sample</v>
          </cell>
          <cell r="N510" t="str">
            <v>DIE-CUT</v>
          </cell>
          <cell r="O510" t="str">
            <v>Sample</v>
          </cell>
          <cell r="P510">
            <v>46178</v>
          </cell>
          <cell r="Q510">
            <v>46185</v>
          </cell>
          <cell r="R510">
            <v>46182</v>
          </cell>
          <cell r="S510">
            <v>6</v>
          </cell>
          <cell r="T510">
            <v>7</v>
          </cell>
          <cell r="U510">
            <v>3</v>
          </cell>
          <cell r="V510">
            <v>2.1739999999999999E-2</v>
          </cell>
          <cell r="W510">
            <v>1</v>
          </cell>
        </row>
        <row r="511">
          <cell r="A511" t="str">
            <v>S-2026-06-24</v>
          </cell>
          <cell r="B511"/>
          <cell r="C511" t="str">
            <v>RPRO-260605-0686</v>
          </cell>
          <cell r="D511" t="str">
            <v>PUR-202606050001S</v>
          </cell>
          <cell r="E511" t="str">
            <v>BDB-000123</v>
          </cell>
          <cell r="F511" t="str">
            <v>PVN-002973</v>
          </cell>
          <cell r="G511" t="str">
            <v>UltraLite-Hybrid OrthoLite SEEDPEARL/12-0703TPX Hybrid Flat Sheet 0.085D 25+/-4 Asker C 1.1M 2M 4.5mm</v>
          </cell>
          <cell r="H511">
            <v>30</v>
          </cell>
          <cell r="I511">
            <v>30</v>
          </cell>
          <cell r="J511">
            <v>0</v>
          </cell>
          <cell r="K511">
            <v>30</v>
          </cell>
          <cell r="L511" t="str">
            <v>WILSON</v>
          </cell>
          <cell r="M511" t="str">
            <v>Sample</v>
          </cell>
          <cell r="N511" t="str">
            <v>MOLDED</v>
          </cell>
          <cell r="O511" t="str">
            <v>Sample</v>
          </cell>
          <cell r="P511">
            <v>46178</v>
          </cell>
          <cell r="Q511">
            <v>46185</v>
          </cell>
          <cell r="R511">
            <v>46182</v>
          </cell>
          <cell r="S511">
            <v>6</v>
          </cell>
          <cell r="T511">
            <v>7</v>
          </cell>
          <cell r="U511">
            <v>4.5</v>
          </cell>
          <cell r="V511">
            <v>3.2259999999999997E-2</v>
          </cell>
          <cell r="W511">
            <v>1</v>
          </cell>
        </row>
        <row r="512">
          <cell r="A512"/>
          <cell r="B512"/>
          <cell r="C512"/>
          <cell r="D512"/>
          <cell r="E512"/>
          <cell r="F512"/>
          <cell r="G512"/>
          <cell r="H512"/>
          <cell r="I512"/>
          <cell r="J512">
            <v>0</v>
          </cell>
          <cell r="K512">
            <v>0</v>
          </cell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</row>
        <row r="513">
          <cell r="A513"/>
          <cell r="B513"/>
          <cell r="C513"/>
          <cell r="D513"/>
          <cell r="E513"/>
          <cell r="F513"/>
          <cell r="G513"/>
          <cell r="H513"/>
          <cell r="I513"/>
          <cell r="J513">
            <v>0</v>
          </cell>
          <cell r="K513">
            <v>0</v>
          </cell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</row>
        <row r="514">
          <cell r="A514"/>
          <cell r="B514"/>
          <cell r="C514"/>
          <cell r="D514"/>
          <cell r="E514"/>
          <cell r="F514"/>
          <cell r="G514"/>
          <cell r="H514"/>
          <cell r="I514"/>
          <cell r="J514">
            <v>0</v>
          </cell>
          <cell r="K514">
            <v>0</v>
          </cell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</row>
        <row r="515">
          <cell r="A515"/>
          <cell r="B515"/>
          <cell r="C515"/>
          <cell r="D515"/>
          <cell r="E515"/>
          <cell r="F515"/>
          <cell r="G515"/>
          <cell r="H515"/>
          <cell r="I515"/>
          <cell r="J515">
            <v>0</v>
          </cell>
          <cell r="K515">
            <v>0</v>
          </cell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</row>
        <row r="516">
          <cell r="A516"/>
          <cell r="B516"/>
          <cell r="C516"/>
          <cell r="D516"/>
          <cell r="E516"/>
          <cell r="F516"/>
          <cell r="G516"/>
          <cell r="H516"/>
          <cell r="I516"/>
          <cell r="J516">
            <v>0</v>
          </cell>
          <cell r="K516">
            <v>0</v>
          </cell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</row>
        <row r="517">
          <cell r="A517"/>
          <cell r="B517"/>
          <cell r="C517"/>
          <cell r="D517"/>
          <cell r="E517"/>
          <cell r="F517"/>
          <cell r="G517"/>
          <cell r="H517"/>
          <cell r="I517"/>
          <cell r="J517">
            <v>0</v>
          </cell>
          <cell r="K517">
            <v>0</v>
          </cell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</row>
        <row r="518">
          <cell r="A518"/>
          <cell r="B518"/>
          <cell r="C518"/>
          <cell r="D518"/>
          <cell r="E518"/>
          <cell r="F518"/>
          <cell r="G518"/>
          <cell r="H518"/>
          <cell r="I518"/>
          <cell r="J518">
            <v>0</v>
          </cell>
          <cell r="K518">
            <v>0</v>
          </cell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</row>
        <row r="519">
          <cell r="A519"/>
          <cell r="B519"/>
          <cell r="C519"/>
          <cell r="D519"/>
          <cell r="E519"/>
          <cell r="F519"/>
          <cell r="G519"/>
          <cell r="H519"/>
          <cell r="I519"/>
          <cell r="J519">
            <v>0</v>
          </cell>
          <cell r="K519">
            <v>0</v>
          </cell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</row>
        <row r="520">
          <cell r="A520"/>
          <cell r="B520"/>
          <cell r="C520"/>
          <cell r="D520"/>
          <cell r="E520"/>
          <cell r="F520"/>
          <cell r="G520"/>
          <cell r="H520"/>
          <cell r="I520"/>
          <cell r="J520">
            <v>0</v>
          </cell>
          <cell r="K520">
            <v>0</v>
          </cell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1">
          <cell r="F1" t="str">
            <v>No_Item</v>
          </cell>
        </row>
      </sheetData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99" priority="8"/>
  </conditionalFormatting>
  <conditionalFormatting sqref="A3:A20">
    <cfRule type="duplicateValues" dxfId="98" priority="11"/>
  </conditionalFormatting>
  <conditionalFormatting sqref="A23:A1048576">
    <cfRule type="duplicateValues" dxfId="97" priority="9"/>
  </conditionalFormatting>
  <conditionalFormatting sqref="C1:C1048576">
    <cfRule type="duplicateValues" dxfId="96" priority="1"/>
    <cfRule type="duplicateValues" dxfId="95" priority="2"/>
  </conditionalFormatting>
  <conditionalFormatting sqref="I2:M2">
    <cfRule type="duplicateValues" dxfId="94" priority="7"/>
  </conditionalFormatting>
  <conditionalFormatting sqref="N1">
    <cfRule type="duplicateValues" dxfId="93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92" priority="5"/>
  </conditionalFormatting>
  <conditionalFormatting sqref="A3:A23">
    <cfRule type="duplicateValues" dxfId="91" priority="7"/>
  </conditionalFormatting>
  <conditionalFormatting sqref="A26:A1048576">
    <cfRule type="duplicateValues" dxfId="90" priority="6"/>
  </conditionalFormatting>
  <conditionalFormatting sqref="C1:C1048576">
    <cfRule type="duplicateValues" dxfId="89" priority="1"/>
    <cfRule type="duplicateValues" dxfId="88" priority="2"/>
  </conditionalFormatting>
  <conditionalFormatting sqref="I2:M2">
    <cfRule type="duplicateValues" dxfId="87" priority="4"/>
  </conditionalFormatting>
  <conditionalFormatting sqref="N1">
    <cfRule type="duplicateValues" dxfId="86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85" priority="5"/>
  </conditionalFormatting>
  <conditionalFormatting sqref="A3:A28">
    <cfRule type="duplicateValues" dxfId="84" priority="7"/>
  </conditionalFormatting>
  <conditionalFormatting sqref="A31:A1048576">
    <cfRule type="duplicateValues" dxfId="83" priority="6"/>
  </conditionalFormatting>
  <conditionalFormatting sqref="C1:C1048576">
    <cfRule type="duplicateValues" dxfId="82" priority="1"/>
    <cfRule type="duplicateValues" dxfId="81" priority="2"/>
  </conditionalFormatting>
  <conditionalFormatting sqref="I2:M2">
    <cfRule type="duplicateValues" dxfId="80" priority="4"/>
  </conditionalFormatting>
  <conditionalFormatting sqref="N1">
    <cfRule type="duplicateValues" dxfId="79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78" priority="5"/>
  </conditionalFormatting>
  <conditionalFormatting sqref="A3:A25">
    <cfRule type="duplicateValues" dxfId="77" priority="7"/>
  </conditionalFormatting>
  <conditionalFormatting sqref="A28:A1048576">
    <cfRule type="duplicateValues" dxfId="76" priority="6"/>
  </conditionalFormatting>
  <conditionalFormatting sqref="C1:C1048576">
    <cfRule type="duplicateValues" dxfId="75" priority="1"/>
    <cfRule type="duplicateValues" dxfId="74" priority="2"/>
  </conditionalFormatting>
  <conditionalFormatting sqref="I2:M2">
    <cfRule type="duplicateValues" dxfId="73" priority="4"/>
  </conditionalFormatting>
  <conditionalFormatting sqref="N1">
    <cfRule type="duplicateValues" dxfId="7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3" t="s">
        <v>1</v>
      </c>
      <c r="E7" s="83"/>
      <c r="F7" s="83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71" priority="11"/>
  </conditionalFormatting>
  <conditionalFormatting sqref="A3:A6 A14:A18">
    <cfRule type="duplicateValues" dxfId="70" priority="13"/>
  </conditionalFormatting>
  <conditionalFormatting sqref="A8">
    <cfRule type="duplicateValues" dxfId="69" priority="5"/>
  </conditionalFormatting>
  <conditionalFormatting sqref="A9:A13">
    <cfRule type="duplicateValues" dxfId="68" priority="6"/>
  </conditionalFormatting>
  <conditionalFormatting sqref="A21:A1048576">
    <cfRule type="duplicateValues" dxfId="67" priority="12"/>
  </conditionalFormatting>
  <conditionalFormatting sqref="C1:C6 C14:C1048576">
    <cfRule type="duplicateValues" dxfId="66" priority="7"/>
    <cfRule type="duplicateValues" dxfId="65" priority="8"/>
  </conditionalFormatting>
  <conditionalFormatting sqref="C7:C13">
    <cfRule type="duplicateValues" dxfId="64" priority="2"/>
    <cfRule type="duplicateValues" dxfId="63" priority="3"/>
  </conditionalFormatting>
  <conditionalFormatting sqref="I8:L8">
    <cfRule type="duplicateValues" dxfId="62" priority="4"/>
  </conditionalFormatting>
  <conditionalFormatting sqref="I2:M2">
    <cfRule type="duplicateValues" dxfId="61" priority="10"/>
  </conditionalFormatting>
  <conditionalFormatting sqref="M7">
    <cfRule type="duplicateValues" dxfId="60" priority="1"/>
  </conditionalFormatting>
  <conditionalFormatting sqref="N1">
    <cfRule type="duplicateValues" dxfId="59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58" priority="5"/>
  </conditionalFormatting>
  <conditionalFormatting sqref="A3:A15">
    <cfRule type="duplicateValues" dxfId="57" priority="8"/>
  </conditionalFormatting>
  <conditionalFormatting sqref="A16:A21">
    <cfRule type="duplicateValues" dxfId="56" priority="7"/>
  </conditionalFormatting>
  <conditionalFormatting sqref="A24:A1048576">
    <cfRule type="duplicateValues" dxfId="55" priority="6"/>
  </conditionalFormatting>
  <conditionalFormatting sqref="C1:C1048576">
    <cfRule type="duplicateValues" dxfId="54" priority="1"/>
    <cfRule type="duplicateValues" dxfId="53" priority="2"/>
  </conditionalFormatting>
  <conditionalFormatting sqref="I2:M2">
    <cfRule type="duplicateValues" dxfId="52" priority="4"/>
  </conditionalFormatting>
  <conditionalFormatting sqref="N1">
    <cfRule type="duplicateValues" dxfId="51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50" priority="5"/>
  </conditionalFormatting>
  <conditionalFormatting sqref="A3:A21">
    <cfRule type="duplicateValues" dxfId="49" priority="7"/>
  </conditionalFormatting>
  <conditionalFormatting sqref="A24:A1048576">
    <cfRule type="duplicateValues" dxfId="48" priority="6"/>
  </conditionalFormatting>
  <conditionalFormatting sqref="C1:C1048576">
    <cfRule type="duplicateValues" dxfId="47" priority="1"/>
    <cfRule type="duplicateValues" dxfId="46" priority="2"/>
  </conditionalFormatting>
  <conditionalFormatting sqref="I2:M2">
    <cfRule type="duplicateValues" dxfId="45" priority="4"/>
  </conditionalFormatting>
  <conditionalFormatting sqref="N1">
    <cfRule type="duplicateValues" dxfId="44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12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43" priority="6"/>
  </conditionalFormatting>
  <conditionalFormatting sqref="A3:A24">
    <cfRule type="duplicateValues" dxfId="42" priority="8"/>
  </conditionalFormatting>
  <conditionalFormatting sqref="A27:A1048576">
    <cfRule type="duplicateValues" dxfId="41" priority="7"/>
  </conditionalFormatting>
  <conditionalFormatting sqref="C1:C1048576">
    <cfRule type="duplicateValues" dxfId="40" priority="1"/>
    <cfRule type="duplicateValues" dxfId="39" priority="2"/>
    <cfRule type="duplicateValues" dxfId="38" priority="3"/>
  </conditionalFormatting>
  <conditionalFormatting sqref="I2:M2">
    <cfRule type="duplicateValues" dxfId="37" priority="5"/>
  </conditionalFormatting>
  <conditionalFormatting sqref="N1">
    <cfRule type="duplicateValues" dxfId="36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9" sqref="M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35" priority="5"/>
  </conditionalFormatting>
  <conditionalFormatting sqref="A3:A20">
    <cfRule type="duplicateValues" dxfId="34" priority="7"/>
  </conditionalFormatting>
  <conditionalFormatting sqref="A23:A1048576">
    <cfRule type="duplicateValues" dxfId="33" priority="6"/>
  </conditionalFormatting>
  <conditionalFormatting sqref="C1:C1048576">
    <cfRule type="duplicateValues" dxfId="32" priority="1"/>
    <cfRule type="duplicateValues" dxfId="31" priority="2"/>
  </conditionalFormatting>
  <conditionalFormatting sqref="I2:M2">
    <cfRule type="duplicateValues" dxfId="30" priority="4"/>
  </conditionalFormatting>
  <conditionalFormatting sqref="N1">
    <cfRule type="duplicateValues" dxfId="29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28" priority="5"/>
  </conditionalFormatting>
  <conditionalFormatting sqref="A3:A23">
    <cfRule type="duplicateValues" dxfId="27" priority="7"/>
  </conditionalFormatting>
  <conditionalFormatting sqref="A26:A1048576">
    <cfRule type="duplicateValues" dxfId="26" priority="6"/>
  </conditionalFormatting>
  <conditionalFormatting sqref="C1:C1048576">
    <cfRule type="duplicateValues" dxfId="25" priority="1"/>
    <cfRule type="duplicateValues" dxfId="24" priority="2"/>
  </conditionalFormatting>
  <conditionalFormatting sqref="I2:M2">
    <cfRule type="duplicateValues" dxfId="23" priority="4"/>
  </conditionalFormatting>
  <conditionalFormatting sqref="N1">
    <cfRule type="duplicateValues" dxfId="2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6" sqref="M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21" priority="5"/>
  </conditionalFormatting>
  <conditionalFormatting sqref="A3:A22">
    <cfRule type="duplicateValues" dxfId="20" priority="7"/>
  </conditionalFormatting>
  <conditionalFormatting sqref="A25:A1048576">
    <cfRule type="duplicateValues" dxfId="19" priority="6"/>
  </conditionalFormatting>
  <conditionalFormatting sqref="C1:C1048576">
    <cfRule type="duplicateValues" dxfId="18" priority="1"/>
    <cfRule type="duplicateValues" dxfId="17" priority="2"/>
  </conditionalFormatting>
  <conditionalFormatting sqref="I2:M2">
    <cfRule type="duplicateValues" dxfId="16" priority="4"/>
  </conditionalFormatting>
  <conditionalFormatting sqref="N1">
    <cfRule type="duplicateValues" dxfId="1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</sheetPr>
  <dimension ref="A1:N665"/>
  <sheetViews>
    <sheetView zoomScale="25" zoomScaleNormal="25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D10" sqref="D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4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4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4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4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4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4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14" priority="5"/>
  </conditionalFormatting>
  <conditionalFormatting sqref="A3:A21">
    <cfRule type="duplicateValues" dxfId="13" priority="7"/>
  </conditionalFormatting>
  <conditionalFormatting sqref="A24:A1048576">
    <cfRule type="duplicateValues" dxfId="12" priority="6"/>
  </conditionalFormatting>
  <conditionalFormatting sqref="C1:C1048576">
    <cfRule type="duplicateValues" dxfId="11" priority="1"/>
    <cfRule type="duplicateValues" dxfId="10" priority="2"/>
  </conditionalFormatting>
  <conditionalFormatting sqref="I2:M2">
    <cfRule type="duplicateValues" dxfId="9" priority="4"/>
  </conditionalFormatting>
  <conditionalFormatting sqref="N1">
    <cfRule type="duplicateValues" dxfId="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2257-794B-4F96-B62F-69670D0E4B1D}">
  <sheetPr filterMode="1">
    <tabColor theme="4"/>
  </sheetPr>
  <dimension ref="A1:O668"/>
  <sheetViews>
    <sheetView tabSelected="1" view="pageBreakPreview" zoomScale="34" zoomScaleNormal="3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C3" sqref="C3:E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1.5" customHeight="1" x14ac:dyDescent="0.35">
      <c r="A1" s="1" t="s">
        <v>0</v>
      </c>
      <c r="B1" s="1">
        <f ca="1">NOW()</f>
        <v>46178.924539467589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18</v>
      </c>
      <c r="M1" s="7"/>
      <c r="N1" s="9"/>
    </row>
    <row r="2" spans="1:15" s="16" customFormat="1" ht="96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1.25" customHeight="1" x14ac:dyDescent="0.35">
      <c r="A3" s="17" t="s">
        <v>476</v>
      </c>
      <c r="B3" s="18" t="s">
        <v>477</v>
      </c>
      <c r="C3" s="19" t="str">
        <f>VLOOKUP($A3,'[2]master plan'!$A:$N,5,0)</f>
        <v>BDB-000393</v>
      </c>
      <c r="D3" s="20" t="s">
        <v>478</v>
      </c>
      <c r="E3" s="21" t="s">
        <v>479</v>
      </c>
      <c r="F3" s="22">
        <v>70</v>
      </c>
      <c r="G3" s="23">
        <v>70</v>
      </c>
      <c r="H3" s="24">
        <f>VLOOKUP(A3,'[2]master plan'!A:W,23,0)</f>
        <v>4</v>
      </c>
      <c r="I3" s="25" t="str">
        <f>VLOOKUP($A3,'[2]master plan'!$A:$N,12,0)</f>
        <v>ADIDAS</v>
      </c>
      <c r="J3" s="25" t="str">
        <f>VLOOKUP($A3,'[2]master plan'!$A:$N,13,0)</f>
        <v>SSO-2606-00156  - URGENT (6-10)</v>
      </c>
      <c r="K3" s="25" t="str">
        <f>VLOOKUP($A3,'[2]master plan'!$A:$N,14,0)</f>
        <v>Molded</v>
      </c>
      <c r="L3" s="26">
        <v>4</v>
      </c>
      <c r="M3" s="81" t="s">
        <v>301</v>
      </c>
      <c r="N3" s="28">
        <f>_xlfn.IFNA(VLOOKUP(A3,'[2]master plan'!A:R,18,0),"")</f>
        <v>46180</v>
      </c>
      <c r="O3" s="82">
        <v>46148</v>
      </c>
    </row>
    <row r="4" spans="1:15" s="3" customFormat="1" ht="71.25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5" s="3" customFormat="1" ht="71.25" customHeight="1" x14ac:dyDescent="0.35">
      <c r="A5" s="17" t="s">
        <v>480</v>
      </c>
      <c r="B5" s="18" t="s">
        <v>481</v>
      </c>
      <c r="C5" s="19" t="str">
        <f>VLOOKUP($A5,'[2]master plan'!$A:$N,5,0)</f>
        <v>BDB-000353</v>
      </c>
      <c r="D5" s="20" t="s">
        <v>482</v>
      </c>
      <c r="E5" s="21" t="s">
        <v>483</v>
      </c>
      <c r="F5" s="22">
        <v>10</v>
      </c>
      <c r="G5" s="23">
        <v>10</v>
      </c>
      <c r="H5" s="24">
        <f>VLOOKUP(A5,'[2]master plan'!A:W,23,0)</f>
        <v>1</v>
      </c>
      <c r="I5" s="25" t="str">
        <f>VLOOKUP($A5,'[2]master plan'!$A:$N,12,0)</f>
        <v>CAMPER</v>
      </c>
      <c r="J5" s="25" t="str">
        <f>VLOOKUP($A5,'[2]master plan'!$A:$N,13,0)</f>
        <v>SSO-2606-00239  - URGENT (6-13)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46182</v>
      </c>
      <c r="O5" s="3" t="s">
        <v>320</v>
      </c>
    </row>
    <row r="6" spans="1:15" s="3" customFormat="1" ht="71.25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5" s="3" customFormat="1" ht="71.25" customHeight="1" x14ac:dyDescent="0.35">
      <c r="A7" s="17" t="s">
        <v>484</v>
      </c>
      <c r="B7" s="18" t="s">
        <v>485</v>
      </c>
      <c r="C7" s="19" t="str">
        <f>VLOOKUP($A7,'[2]master plan'!$A:$N,5,0)</f>
        <v>BDB-000123</v>
      </c>
      <c r="D7" s="20" t="s">
        <v>486</v>
      </c>
      <c r="E7" s="21" t="s">
        <v>487</v>
      </c>
      <c r="F7" s="22">
        <v>50</v>
      </c>
      <c r="G7" s="23">
        <v>50</v>
      </c>
      <c r="H7" s="24">
        <f>VLOOKUP(A7,'[2]master plan'!A:W,23,0)</f>
        <v>2</v>
      </c>
      <c r="I7" s="25" t="str">
        <f>VLOOKUP($A7,'[2]master plan'!$A:$N,12,0)</f>
        <v>ADIDAS</v>
      </c>
      <c r="J7" s="25" t="str">
        <f>VLOOKUP($A7,'[2]master plan'!$A:$N,13,0)</f>
        <v>Sample - URGENT (6-13)</v>
      </c>
      <c r="K7" s="25" t="str">
        <f>VLOOKUP($A7,'[2]master plan'!$A:$N,14,0)</f>
        <v>Flat sheet + Die Cut</v>
      </c>
      <c r="L7" s="26">
        <v>3</v>
      </c>
      <c r="M7" s="40"/>
      <c r="N7" s="28">
        <f>_xlfn.IFNA(VLOOKUP(A7,'[2]master plan'!A:R,18,0),"")</f>
        <v>46182</v>
      </c>
      <c r="O7" s="3" t="s">
        <v>325</v>
      </c>
    </row>
    <row r="8" spans="1:15" s="3" customFormat="1" ht="71.25" customHeight="1" x14ac:dyDescent="0.35">
      <c r="A8" s="17" t="s">
        <v>488</v>
      </c>
      <c r="B8" s="18" t="s">
        <v>489</v>
      </c>
      <c r="C8" s="19" t="str">
        <f>VLOOKUP($A8,'[2]master plan'!$A:$N,5,0)</f>
        <v>BDB-000123</v>
      </c>
      <c r="D8" s="20" t="s">
        <v>404</v>
      </c>
      <c r="E8" s="21" t="s">
        <v>405</v>
      </c>
      <c r="F8" s="22">
        <v>50</v>
      </c>
      <c r="G8" s="23">
        <v>50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SSO-2606-00242 - URGENT (6-13)</v>
      </c>
      <c r="K8" s="25" t="str">
        <f>VLOOKUP($A8,'[2]master plan'!$A:$N,14,0)</f>
        <v>Flat sheet</v>
      </c>
      <c r="L8" s="26"/>
      <c r="M8" s="27"/>
      <c r="N8" s="28">
        <f>_xlfn.IFNA(VLOOKUP(A8,'[2]master plan'!A:R,18,0),"")</f>
        <v>46182</v>
      </c>
      <c r="O8" s="3" t="s">
        <v>325</v>
      </c>
    </row>
    <row r="9" spans="1:15" s="3" customFormat="1" ht="71.25" customHeight="1" x14ac:dyDescent="0.35">
      <c r="A9" s="17" t="s">
        <v>490</v>
      </c>
      <c r="B9" s="18" t="s">
        <v>491</v>
      </c>
      <c r="C9" s="19" t="str">
        <f>VLOOKUP($A9,'[2]master plan'!$A:$N,5,0)</f>
        <v>BDB-000123</v>
      </c>
      <c r="D9" s="20" t="s">
        <v>359</v>
      </c>
      <c r="E9" s="21" t="s">
        <v>360</v>
      </c>
      <c r="F9" s="22">
        <v>30</v>
      </c>
      <c r="G9" s="23">
        <v>30</v>
      </c>
      <c r="H9" s="24">
        <f>VLOOKUP(A9,'[2]master plan'!A:W,23,0)</f>
        <v>1</v>
      </c>
      <c r="I9" s="25" t="str">
        <f>VLOOKUP($A9,'[2]master plan'!$A:$N,12,0)</f>
        <v>WILSON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27"/>
      <c r="N9" s="28">
        <f>_xlfn.IFNA(VLOOKUP(A9,'[2]master plan'!A:R,18,0),"")</f>
        <v>46182</v>
      </c>
      <c r="O9" s="3" t="s">
        <v>325</v>
      </c>
    </row>
    <row r="10" spans="1:15" s="3" customFormat="1" ht="71.25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76"/>
    </row>
    <row r="11" spans="1:15" s="3" customFormat="1" ht="71.25" customHeight="1" x14ac:dyDescent="0.35">
      <c r="A11" s="17" t="s">
        <v>492</v>
      </c>
      <c r="B11" s="18" t="s">
        <v>493</v>
      </c>
      <c r="C11" s="19" t="str">
        <f>VLOOKUP($A11,'[2]master plan'!$A:$N,5,0)</f>
        <v>BDB-000067</v>
      </c>
      <c r="D11" s="20" t="s">
        <v>494</v>
      </c>
      <c r="E11" s="21" t="s">
        <v>495</v>
      </c>
      <c r="F11" s="22">
        <v>10</v>
      </c>
      <c r="G11" s="23">
        <v>10</v>
      </c>
      <c r="H11" s="24">
        <f>VLOOKUP(A11,'[2]master plan'!A:W,23,0)</f>
        <v>1</v>
      </c>
      <c r="I11" s="25" t="str">
        <f>VLOOKUP($A11,'[2]master plan'!$A:$N,12,0)</f>
        <v>PUMA</v>
      </c>
      <c r="J11" s="25" t="str">
        <f>VLOOKUP($A11,'[2]master plan'!$A:$N,13,0)</f>
        <v>Sample</v>
      </c>
      <c r="K11" s="25" t="str">
        <f>VLOOKUP($A11,'[2]master plan'!$A:$N,14,0)</f>
        <v>MOLDED</v>
      </c>
      <c r="L11" s="26">
        <v>1</v>
      </c>
      <c r="M11" s="27"/>
      <c r="N11" s="28">
        <f>_xlfn.IFNA(VLOOKUP(A11,'[2]master plan'!A:R,18,0),"")</f>
        <v>46182</v>
      </c>
    </row>
    <row r="12" spans="1:15" s="3" customFormat="1" ht="71.25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1.25" customHeight="1" x14ac:dyDescent="0.35">
      <c r="A13" s="17" t="s">
        <v>496</v>
      </c>
      <c r="B13" s="18" t="s">
        <v>497</v>
      </c>
      <c r="C13" s="19" t="str">
        <f>VLOOKUP($A13,'[2]master plan'!$A:$N,5,0)</f>
        <v>BDB-000317</v>
      </c>
      <c r="D13" s="20" t="s">
        <v>498</v>
      </c>
      <c r="E13" s="21" t="s">
        <v>499</v>
      </c>
      <c r="F13" s="22">
        <v>20</v>
      </c>
      <c r="G13" s="23">
        <v>20</v>
      </c>
      <c r="H13" s="24">
        <f>VLOOKUP(A13,'[2]master plan'!A:W,23,0)</f>
        <v>4</v>
      </c>
      <c r="I13" s="25" t="str">
        <f>VLOOKUP($A13,'[2]master plan'!$A:$N,12,0)</f>
        <v>ASICS</v>
      </c>
      <c r="J13" s="25" t="str">
        <f>VLOOKUP($A13,'[2]master plan'!$A:$N,13,0)</f>
        <v>Sample</v>
      </c>
      <c r="K13" s="25" t="str">
        <f>VLOOKUP($A13,'[2]master plan'!$A:$N,14,0)</f>
        <v>MOLDED</v>
      </c>
      <c r="L13" s="26">
        <v>4</v>
      </c>
      <c r="M13" s="27"/>
      <c r="N13" s="28">
        <f>_xlfn.IFNA(VLOOKUP(A13,'[2]master plan'!A:R,18,0),"")</f>
        <v>46182</v>
      </c>
      <c r="O13" s="82">
        <v>46179</v>
      </c>
    </row>
    <row r="14" spans="1:15" s="3" customFormat="1" ht="71.25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76"/>
    </row>
    <row r="15" spans="1:15" s="3" customFormat="1" ht="71.25" customHeight="1" x14ac:dyDescent="0.35">
      <c r="A15" s="17" t="s">
        <v>500</v>
      </c>
      <c r="B15" s="18" t="s">
        <v>501</v>
      </c>
      <c r="C15" s="19" t="str">
        <f>VLOOKUP($A15,'[2]master plan'!$A:$N,5,0)</f>
        <v>BDB-000055</v>
      </c>
      <c r="D15" s="20" t="s">
        <v>502</v>
      </c>
      <c r="E15" s="21" t="s">
        <v>503</v>
      </c>
      <c r="F15" s="22">
        <v>30</v>
      </c>
      <c r="G15" s="23">
        <v>30</v>
      </c>
      <c r="H15" s="24">
        <f>VLOOKUP(A15,'[2]master plan'!A:W,23,0)</f>
        <v>1</v>
      </c>
      <c r="I15" s="25" t="str">
        <f>VLOOKUP($A15,'[2]master plan'!$A:$N,12,0)</f>
        <v>ASICS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1</v>
      </c>
      <c r="M15" s="40"/>
      <c r="N15" s="28">
        <f>_xlfn.IFNA(VLOOKUP(A15,'[2]master plan'!A:R,18,0),"")</f>
        <v>46182</v>
      </c>
    </row>
    <row r="16" spans="1:15" s="3" customFormat="1" ht="71.25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76"/>
    </row>
    <row r="17" spans="1:15" s="3" customFormat="1" ht="71.25" customHeight="1" x14ac:dyDescent="0.35">
      <c r="A17" s="17" t="s">
        <v>504</v>
      </c>
      <c r="B17" s="18" t="s">
        <v>505</v>
      </c>
      <c r="C17" s="19" t="str">
        <f>VLOOKUP($A17,'[2]master plan'!$A:$N,5,0)</f>
        <v>BDB-000328</v>
      </c>
      <c r="D17" s="20" t="s">
        <v>506</v>
      </c>
      <c r="E17" s="21" t="s">
        <v>507</v>
      </c>
      <c r="F17" s="22">
        <v>20</v>
      </c>
      <c r="G17" s="23">
        <v>20</v>
      </c>
      <c r="H17" s="24">
        <f>VLOOKUP(A17,'[2]master plan'!A:W,23,0)</f>
        <v>1</v>
      </c>
      <c r="I17" s="25" t="str">
        <f>VLOOKUP($A17,'[2]master plan'!$A:$N,12,0)</f>
        <v>ASICS</v>
      </c>
      <c r="J17" s="25" t="str">
        <f>VLOOKUP($A17,'[2]master plan'!$A:$N,13,0)</f>
        <v>Sample</v>
      </c>
      <c r="K17" s="25" t="str">
        <f>VLOOKUP($A17,'[2]master plan'!$A:$N,14,0)</f>
        <v>DIE-CUT</v>
      </c>
      <c r="L17" s="26">
        <v>1</v>
      </c>
      <c r="M17" s="27"/>
      <c r="N17" s="28">
        <f>_xlfn.IFNA(VLOOKUP(A17,'[2]master plan'!A:R,18,0),"")</f>
        <v>46182</v>
      </c>
    </row>
    <row r="18" spans="1:15" s="3" customFormat="1" ht="71.25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25"/>
      <c r="K18" s="70"/>
      <c r="L18" s="71"/>
      <c r="M18" s="72"/>
      <c r="N18" s="76"/>
    </row>
    <row r="19" spans="1:15" s="3" customFormat="1" ht="71.25" customHeight="1" x14ac:dyDescent="0.35">
      <c r="A19" s="17" t="s">
        <v>508</v>
      </c>
      <c r="B19" s="18" t="s">
        <v>509</v>
      </c>
      <c r="C19" s="19" t="str">
        <f>VLOOKUP($A19,'[2]master plan'!$A:$N,5,0)</f>
        <v>BDB-000391</v>
      </c>
      <c r="D19" s="20" t="s">
        <v>510</v>
      </c>
      <c r="E19" s="21" t="s">
        <v>511</v>
      </c>
      <c r="F19" s="22">
        <v>40</v>
      </c>
      <c r="G19" s="23">
        <v>40</v>
      </c>
      <c r="H19" s="24">
        <f>VLOOKUP(A19,'[2]master plan'!A:W,23,0)</f>
        <v>2</v>
      </c>
      <c r="I19" s="25" t="str">
        <f>VLOOKUP($A19,'[2]master plan'!$A:$N,12,0)</f>
        <v>ON RUNNING</v>
      </c>
      <c r="J19" s="25" t="str">
        <f>VLOOKUP($A19,'[2]master plan'!$A:$N,13,0)</f>
        <v>SSO-2605-00765</v>
      </c>
      <c r="K19" s="25" t="str">
        <f>VLOOKUP($A19,'[2]master plan'!$A:$N,14,0)</f>
        <v>OV-0408</v>
      </c>
      <c r="L19" s="26">
        <v>2</v>
      </c>
      <c r="M19" s="40"/>
      <c r="N19" s="28">
        <f>_xlfn.IFNA(VLOOKUP(A19,'[2]master plan'!A:R,18,0),"")</f>
        <v>46182</v>
      </c>
      <c r="O19" s="82">
        <v>46179</v>
      </c>
    </row>
    <row r="20" spans="1:15" s="3" customFormat="1" ht="70" hidden="1" customHeight="1" x14ac:dyDescent="0.35">
      <c r="A20" s="62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3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2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0" hidden="1" customHeight="1" x14ac:dyDescent="0.35">
      <c r="A24" s="62"/>
      <c r="B24" s="63" t="e">
        <f>VLOOKUP(A24,'[2]master plan'!A:C,3,0)</f>
        <v>#N/A</v>
      </c>
      <c r="C24" s="64" t="e">
        <f>VLOOKUP($A24,'[2]master plan'!$A:$N,5,0)</f>
        <v>#N/A</v>
      </c>
      <c r="D24" s="65" t="e">
        <f>VLOOKUP($A24,'[2]master plan'!$A:$N,6,0)</f>
        <v>#N/A</v>
      </c>
      <c r="E24" s="66" t="e">
        <f>VLOOKUP(A24,'[2]master plan'!A:G,7,0)</f>
        <v>#N/A</v>
      </c>
      <c r="F24" s="67" t="e">
        <f>VLOOKUP(A24,'[2]master plan'!A:H,8,0)</f>
        <v>#N/A</v>
      </c>
      <c r="G24" s="68" t="e">
        <f>VLOOKUP(A24,'[2]master plan'!A:W,23,0)</f>
        <v>#N/A</v>
      </c>
      <c r="H24" s="69" t="e">
        <f>VLOOKUP(A24,'[2]master plan'!A:W,23,0)</f>
        <v>#N/A</v>
      </c>
      <c r="I24" s="70" t="e">
        <f>VLOOKUP($A24,'[2]master plan'!$A:$N,12,0)</f>
        <v>#N/A</v>
      </c>
      <c r="J24" s="25" t="e">
        <f>VLOOKUP($A24,'[2]master plan'!$A:$N,13,0)</f>
        <v>#N/A</v>
      </c>
      <c r="K24" s="70" t="e">
        <f>VLOOKUP($A24,'[2]master plan'!$A:$N,14,0)</f>
        <v>#N/A</v>
      </c>
      <c r="L24" s="71"/>
      <c r="M24" s="73"/>
      <c r="N24" s="76" t="str">
        <f>_xlfn.IFNA(VLOOKUP(A24,'[2]master plan'!A:R,18,0),"")</f>
        <v/>
      </c>
    </row>
    <row r="25" spans="1:15" s="3" customFormat="1" ht="63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ht="74.25" customHeight="1" x14ac:dyDescent="0.35">
      <c r="L28" s="56"/>
    </row>
    <row r="29" spans="1:15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5" ht="74.25" customHeight="1" x14ac:dyDescent="0.35">
      <c r="L30" s="56"/>
    </row>
    <row r="31" spans="1:15" ht="74.25" customHeight="1" x14ac:dyDescent="0.35">
      <c r="L31" s="56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3">
      <filters blank="1">
        <filter val="PVN-001452"/>
        <filter val="PVN-002539"/>
        <filter val="PVN-002973"/>
        <filter val="PVN-003300"/>
        <filter val="PVN-003327"/>
        <filter val="PVN-004076"/>
        <filter val="PVN-004212"/>
        <filter val="PVN-004350"/>
        <filter val="PVN-004430"/>
        <filter val="PVN-004438"/>
      </filters>
    </filterColumn>
  </autoFilter>
  <mergeCells count="1">
    <mergeCell ref="D1:F1"/>
  </mergeCells>
  <conditionalFormatting sqref="A2">
    <cfRule type="duplicateValues" dxfId="7" priority="5"/>
  </conditionalFormatting>
  <conditionalFormatting sqref="A3:A24">
    <cfRule type="duplicateValues" dxfId="6" priority="7"/>
  </conditionalFormatting>
  <conditionalFormatting sqref="A27:A1048576">
    <cfRule type="duplicateValues" dxfId="5" priority="6"/>
  </conditionalFormatting>
  <conditionalFormatting sqref="C1:C1048576">
    <cfRule type="duplicateValues" dxfId="4" priority="1"/>
    <cfRule type="duplicateValues" dxfId="3" priority="2"/>
  </conditionalFormatting>
  <conditionalFormatting sqref="D3:D19">
    <cfRule type="duplicateValues" dxfId="2" priority="8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5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26</vt:i4>
      </vt:variant>
    </vt:vector>
  </HeadingPairs>
  <TitlesOfParts>
    <vt:vector size="39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5.6</vt:lpstr>
      <vt:lpstr>'1.6'!Print_Area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'5.6'!Print_Area</vt:lpstr>
      <vt:lpstr>'1.6'!Print_Titles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  <vt:lpstr>'5.6'!Print_Titles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2026-06-05T15:12:41Z</dcterms:modified>
</cp:coreProperties>
</file>