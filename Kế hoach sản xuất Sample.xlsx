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117" documentId="8_{C12FF075-160F-4BB4-977C-4D56BABB08BC}" xr6:coauthVersionLast="47" xr6:coauthVersionMax="47" xr10:uidLastSave="{75102B01-28E5-4879-8A68-12ED4C094023}"/>
  <bookViews>
    <workbookView xWindow="-110" yWindow="-110" windowWidth="19420" windowHeight="11500" firstSheet="4" activeTab="10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  <sheet name="25.5" sheetId="6" r:id="rId6"/>
    <sheet name="27.5" sheetId="7" r:id="rId7"/>
    <sheet name="29.5 - L2" sheetId="8" r:id="rId8"/>
    <sheet name="1.6" sheetId="9" r:id="rId9"/>
    <sheet name="2.6" sheetId="10" r:id="rId10"/>
    <sheet name="3.6" sheetId="11" r:id="rId11"/>
    <sheet name="4.6" sheetId="12" r:id="rId12"/>
    <sheet name="5.6" sheetId="13" r:id="rId13"/>
    <sheet name="6.6" sheetId="14" r:id="rId14"/>
    <sheet name="8.6" sheetId="15" r:id="rId15"/>
  </sheets>
  <externalReferences>
    <externalReference r:id="rId16"/>
    <externalReference r:id="rId17"/>
  </externalReferences>
  <definedNames>
    <definedName name="_xlnm._FilterDatabase" localSheetId="8" hidden="1">'1.6'!$A$2:$N$21</definedName>
    <definedName name="_xlnm._FilterDatabase" localSheetId="0" hidden="1">'13.5'!$A$2:$N$21</definedName>
    <definedName name="_xlnm._FilterDatabase" localSheetId="1" hidden="1">'15.5'!$A$2:$N$24</definedName>
    <definedName name="_xlnm._FilterDatabase" localSheetId="2" hidden="1">'18.5'!$A$2:$N$3</definedName>
    <definedName name="_xlnm._FilterDatabase" localSheetId="9" hidden="1">'2.6'!$A$2:$N$24</definedName>
    <definedName name="_xlnm._FilterDatabase" localSheetId="3" hidden="1">'20.5'!$A$2:$N$26</definedName>
    <definedName name="_xlnm._FilterDatabase" localSheetId="4" hidden="1">'21.5'!$A$2:$N$19</definedName>
    <definedName name="_xlnm._FilterDatabase" localSheetId="5" hidden="1">'25.5'!$A$2:$N$22</definedName>
    <definedName name="_xlnm._FilterDatabase" localSheetId="6" hidden="1">'27.5'!$A$2:$N$22</definedName>
    <definedName name="_xlnm._FilterDatabase" localSheetId="7" hidden="1">'29.5 - L2'!$A$2:$N$25</definedName>
    <definedName name="_xlnm._FilterDatabase" localSheetId="10" hidden="1">'3.6'!$A$2:$N$23</definedName>
    <definedName name="_xlnm._FilterDatabase" localSheetId="11" hidden="1">'4.6'!$A$2:$N$22</definedName>
    <definedName name="_xlnm._FilterDatabase" localSheetId="12" hidden="1">'5.6'!$A$2:$N$25</definedName>
    <definedName name="_xlnm._FilterDatabase" localSheetId="13" hidden="1">'6.6'!$A$2:$M$18</definedName>
    <definedName name="_xlnm._FilterDatabase" localSheetId="14" hidden="1">'8.6'!$A$2:$N$21</definedName>
    <definedName name="AE" localSheetId="8">'[1]Molding-báo cáo BUn'!#REF!</definedName>
    <definedName name="AE" localSheetId="0">'[1]Molding-báo cáo BUn'!#REF!</definedName>
    <definedName name="AE" localSheetId="1">'[1]Molding-báo cáo BUn'!#REF!</definedName>
    <definedName name="AE" localSheetId="2">'[1]Molding-báo cáo BUn'!#REF!</definedName>
    <definedName name="AE" localSheetId="9">'[1]Molding-báo cáo BUn'!#REF!</definedName>
    <definedName name="AE" localSheetId="3">'[1]Molding-báo cáo BUn'!#REF!</definedName>
    <definedName name="AE" localSheetId="4">'[1]Molding-báo cáo BUn'!#REF!</definedName>
    <definedName name="AE" localSheetId="5">'[1]Molding-báo cáo BUn'!#REF!</definedName>
    <definedName name="AE" localSheetId="6">'[1]Molding-báo cáo BUn'!#REF!</definedName>
    <definedName name="AE" localSheetId="7">'[1]Molding-báo cáo BUn'!#REF!</definedName>
    <definedName name="AE" localSheetId="10">'[1]Molding-báo cáo BUn'!#REF!</definedName>
    <definedName name="AE" localSheetId="11">'[1]Molding-báo cáo BUn'!#REF!</definedName>
    <definedName name="AE" localSheetId="12">'[1]Molding-báo cáo BUn'!#REF!</definedName>
    <definedName name="AE" localSheetId="13">'[1]Molding-báo cáo BUn'!#REF!</definedName>
    <definedName name="AE" localSheetId="14">'[1]Molding-báo cáo BUn'!#REF!</definedName>
    <definedName name="_xlnm.Print_Area" localSheetId="8">'1.6'!$A$1:$N$21</definedName>
    <definedName name="_xlnm.Print_Area" localSheetId="0">'13.5'!$A$1:$N$21</definedName>
    <definedName name="_xlnm.Print_Area" localSheetId="1">'15.5'!$A$1:$N$24</definedName>
    <definedName name="_xlnm.Print_Area" localSheetId="2">'18.5'!$A$1:$N$29</definedName>
    <definedName name="_xlnm.Print_Area" localSheetId="9">'2.6'!$A$1:$N$24</definedName>
    <definedName name="_xlnm.Print_Area" localSheetId="3">'20.5'!$A$1:$N$26</definedName>
    <definedName name="_xlnm.Print_Area" localSheetId="4">'21.5'!$A$1:$N$19</definedName>
    <definedName name="_xlnm.Print_Area" localSheetId="5">'25.5'!$A$1:$N$22</definedName>
    <definedName name="_xlnm.Print_Area" localSheetId="6">'27.5'!$A$1:$N$22</definedName>
    <definedName name="_xlnm.Print_Area" localSheetId="7">'29.5 - L2'!$A$1:$N$25</definedName>
    <definedName name="_xlnm.Print_Area" localSheetId="10">'3.6'!$A$1:$N$23</definedName>
    <definedName name="_xlnm.Print_Area" localSheetId="11">'4.6'!$A$1:$N$22</definedName>
    <definedName name="_xlnm.Print_Area" localSheetId="12">'5.6'!$A$1:$N$25</definedName>
    <definedName name="_xlnm.Print_Area" localSheetId="13">'6.6'!$A$1:$M$18</definedName>
    <definedName name="_xlnm.Print_Area" localSheetId="14">'8.6'!$A$1:$N$21</definedName>
    <definedName name="_xlnm.Print_Titles" localSheetId="8">'1.6'!$1:$2</definedName>
    <definedName name="_xlnm.Print_Titles" localSheetId="0">'13.5'!$1:$2</definedName>
    <definedName name="_xlnm.Print_Titles" localSheetId="1">'15.5'!$1:$2</definedName>
    <definedName name="_xlnm.Print_Titles" localSheetId="2">'18.5'!$1:$2</definedName>
    <definedName name="_xlnm.Print_Titles" localSheetId="9">'2.6'!$1:$2</definedName>
    <definedName name="_xlnm.Print_Titles" localSheetId="3">'20.5'!$1:$2</definedName>
    <definedName name="_xlnm.Print_Titles" localSheetId="4">'21.5'!$1:$2</definedName>
    <definedName name="_xlnm.Print_Titles" localSheetId="5">'25.5'!$1:$2</definedName>
    <definedName name="_xlnm.Print_Titles" localSheetId="6">'27.5'!$1:$2</definedName>
    <definedName name="_xlnm.Print_Titles" localSheetId="7">'29.5 - L2'!$1:$2</definedName>
    <definedName name="_xlnm.Print_Titles" localSheetId="10">'3.6'!$1:$2</definedName>
    <definedName name="_xlnm.Print_Titles" localSheetId="11">'4.6'!$1:$2</definedName>
    <definedName name="_xlnm.Print_Titles" localSheetId="12">'5.6'!$1:$2</definedName>
    <definedName name="_xlnm.Print_Titles" localSheetId="13">'6.6'!$1:$2</definedName>
    <definedName name="_xlnm.Print_Titles" localSheetId="14">'8.6'!$1:$2</definedName>
    <definedName name="Z_1811EAD5_BD80_4EFF_9596_8EF0EFF4AD2A_.wvu.FilterData" localSheetId="8" hidden="1">'1.6'!$A$2:$N$2</definedName>
    <definedName name="Z_1811EAD5_BD80_4EFF_9596_8EF0EFF4AD2A_.wvu.FilterData" localSheetId="0" hidden="1">'13.5'!$A$2:$N$2</definedName>
    <definedName name="Z_1811EAD5_BD80_4EFF_9596_8EF0EFF4AD2A_.wvu.FilterData" localSheetId="1" hidden="1">'15.5'!$A$2:$N$2</definedName>
    <definedName name="Z_1811EAD5_BD80_4EFF_9596_8EF0EFF4AD2A_.wvu.FilterData" localSheetId="2" hidden="1">'18.5'!$A$2:$N$2</definedName>
    <definedName name="Z_1811EAD5_BD80_4EFF_9596_8EF0EFF4AD2A_.wvu.FilterData" localSheetId="9" hidden="1">'2.6'!$A$2:$N$2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FilterData" localSheetId="5" hidden="1">'25.5'!$A$2:$N$2</definedName>
    <definedName name="Z_1811EAD5_BD80_4EFF_9596_8EF0EFF4AD2A_.wvu.FilterData" localSheetId="6" hidden="1">'27.5'!$A$2:$N$2</definedName>
    <definedName name="Z_1811EAD5_BD80_4EFF_9596_8EF0EFF4AD2A_.wvu.FilterData" localSheetId="7" hidden="1">'29.5 - L2'!$A$2:$N$2</definedName>
    <definedName name="Z_1811EAD5_BD80_4EFF_9596_8EF0EFF4AD2A_.wvu.FilterData" localSheetId="10" hidden="1">'3.6'!$A$2:$N$2</definedName>
    <definedName name="Z_1811EAD5_BD80_4EFF_9596_8EF0EFF4AD2A_.wvu.FilterData" localSheetId="11" hidden="1">'4.6'!$A$2:$N$2</definedName>
    <definedName name="Z_1811EAD5_BD80_4EFF_9596_8EF0EFF4AD2A_.wvu.FilterData" localSheetId="12" hidden="1">'5.6'!$A$2:$N$2</definedName>
    <definedName name="Z_1811EAD5_BD80_4EFF_9596_8EF0EFF4AD2A_.wvu.FilterData" localSheetId="13" hidden="1">'6.6'!$A$2:$M$2</definedName>
    <definedName name="Z_1811EAD5_BD80_4EFF_9596_8EF0EFF4AD2A_.wvu.FilterData" localSheetId="14" hidden="1">'8.6'!$A$2:$N$2</definedName>
    <definedName name="Z_1811EAD5_BD80_4EFF_9596_8EF0EFF4AD2A_.wvu.PrintTitles" localSheetId="8" hidden="1">'1.6'!$1:$2</definedName>
    <definedName name="Z_1811EAD5_BD80_4EFF_9596_8EF0EFF4AD2A_.wvu.PrintTitles" localSheetId="0" hidden="1">'13.5'!$1:$2</definedName>
    <definedName name="Z_1811EAD5_BD80_4EFF_9596_8EF0EFF4AD2A_.wvu.PrintTitles" localSheetId="1" hidden="1">'15.5'!$1:$2</definedName>
    <definedName name="Z_1811EAD5_BD80_4EFF_9596_8EF0EFF4AD2A_.wvu.PrintTitles" localSheetId="2" hidden="1">'18.5'!$1:$2</definedName>
    <definedName name="Z_1811EAD5_BD80_4EFF_9596_8EF0EFF4AD2A_.wvu.PrintTitles" localSheetId="9" hidden="1">'2.6'!$1:$2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11EAD5_BD80_4EFF_9596_8EF0EFF4AD2A_.wvu.PrintTitles" localSheetId="5" hidden="1">'25.5'!$1:$2</definedName>
    <definedName name="Z_1811EAD5_BD80_4EFF_9596_8EF0EFF4AD2A_.wvu.PrintTitles" localSheetId="6" hidden="1">'27.5'!$1:$2</definedName>
    <definedName name="Z_1811EAD5_BD80_4EFF_9596_8EF0EFF4AD2A_.wvu.PrintTitles" localSheetId="7" hidden="1">'29.5 - L2'!$1:$2</definedName>
    <definedName name="Z_1811EAD5_BD80_4EFF_9596_8EF0EFF4AD2A_.wvu.PrintTitles" localSheetId="10" hidden="1">'3.6'!$1:$2</definedName>
    <definedName name="Z_1811EAD5_BD80_4EFF_9596_8EF0EFF4AD2A_.wvu.PrintTitles" localSheetId="11" hidden="1">'4.6'!$1:$2</definedName>
    <definedName name="Z_1811EAD5_BD80_4EFF_9596_8EF0EFF4AD2A_.wvu.PrintTitles" localSheetId="12" hidden="1">'5.6'!$1:$2</definedName>
    <definedName name="Z_1811EAD5_BD80_4EFF_9596_8EF0EFF4AD2A_.wvu.PrintTitles" localSheetId="13" hidden="1">'6.6'!$1:$2</definedName>
    <definedName name="Z_1811EAD5_BD80_4EFF_9596_8EF0EFF4AD2A_.wvu.PrintTitles" localSheetId="14" hidden="1">'8.6'!$1:$2</definedName>
    <definedName name="Z_18A7E0A3_1642_489C_8130_3CC9FF80B04E_.wvu.FilterData" localSheetId="8" hidden="1">'1.6'!$B$2:$M$2</definedName>
    <definedName name="Z_18A7E0A3_1642_489C_8130_3CC9FF80B04E_.wvu.FilterData" localSheetId="0" hidden="1">'13.5'!$B$2:$M$2</definedName>
    <definedName name="Z_18A7E0A3_1642_489C_8130_3CC9FF80B04E_.wvu.FilterData" localSheetId="1" hidden="1">'15.5'!$B$2:$M$2</definedName>
    <definedName name="Z_18A7E0A3_1642_489C_8130_3CC9FF80B04E_.wvu.FilterData" localSheetId="2" hidden="1">'18.5'!$B$2:$M$2</definedName>
    <definedName name="Z_18A7E0A3_1642_489C_8130_3CC9FF80B04E_.wvu.FilterData" localSheetId="9" hidden="1">'2.6'!$B$2:$M$2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18A7E0A3_1642_489C_8130_3CC9FF80B04E_.wvu.FilterData" localSheetId="5" hidden="1">'25.5'!$B$2:$M$2</definedName>
    <definedName name="Z_18A7E0A3_1642_489C_8130_3CC9FF80B04E_.wvu.FilterData" localSheetId="6" hidden="1">'27.5'!$B$2:$M$2</definedName>
    <definedName name="Z_18A7E0A3_1642_489C_8130_3CC9FF80B04E_.wvu.FilterData" localSheetId="7" hidden="1">'29.5 - L2'!$B$2:$M$2</definedName>
    <definedName name="Z_18A7E0A3_1642_489C_8130_3CC9FF80B04E_.wvu.FilterData" localSheetId="10" hidden="1">'3.6'!$B$2:$M$2</definedName>
    <definedName name="Z_18A7E0A3_1642_489C_8130_3CC9FF80B04E_.wvu.FilterData" localSheetId="11" hidden="1">'4.6'!$B$2:$M$2</definedName>
    <definedName name="Z_18A7E0A3_1642_489C_8130_3CC9FF80B04E_.wvu.FilterData" localSheetId="12" hidden="1">'5.6'!$B$2:$M$2</definedName>
    <definedName name="Z_18A7E0A3_1642_489C_8130_3CC9FF80B04E_.wvu.FilterData" localSheetId="13" hidden="1">'6.6'!$B$2:$M$2</definedName>
    <definedName name="Z_18A7E0A3_1642_489C_8130_3CC9FF80B04E_.wvu.FilterData" localSheetId="14" hidden="1">'8.6'!$B$2:$M$2</definedName>
    <definedName name="Z_2653C0F9_59B0_4DB3_BD8D_CACC833527F0_.wvu.FilterData" localSheetId="8" hidden="1">'1.6'!$A$2:$N$2</definedName>
    <definedName name="Z_2653C0F9_59B0_4DB3_BD8D_CACC833527F0_.wvu.FilterData" localSheetId="0" hidden="1">'13.5'!$A$2:$N$2</definedName>
    <definedName name="Z_2653C0F9_59B0_4DB3_BD8D_CACC833527F0_.wvu.FilterData" localSheetId="1" hidden="1">'15.5'!$A$2:$N$2</definedName>
    <definedName name="Z_2653C0F9_59B0_4DB3_BD8D_CACC833527F0_.wvu.FilterData" localSheetId="2" hidden="1">'18.5'!$A$2:$N$2</definedName>
    <definedName name="Z_2653C0F9_59B0_4DB3_BD8D_CACC833527F0_.wvu.FilterData" localSheetId="9" hidden="1">'2.6'!$A$2:$N$2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653C0F9_59B0_4DB3_BD8D_CACC833527F0_.wvu.FilterData" localSheetId="5" hidden="1">'25.5'!$A$2:$N$2</definedName>
    <definedName name="Z_2653C0F9_59B0_4DB3_BD8D_CACC833527F0_.wvu.FilterData" localSheetId="6" hidden="1">'27.5'!$A$2:$N$2</definedName>
    <definedName name="Z_2653C0F9_59B0_4DB3_BD8D_CACC833527F0_.wvu.FilterData" localSheetId="7" hidden="1">'29.5 - L2'!$A$2:$N$2</definedName>
    <definedName name="Z_2653C0F9_59B0_4DB3_BD8D_CACC833527F0_.wvu.FilterData" localSheetId="10" hidden="1">'3.6'!$A$2:$N$2</definedName>
    <definedName name="Z_2653C0F9_59B0_4DB3_BD8D_CACC833527F0_.wvu.FilterData" localSheetId="11" hidden="1">'4.6'!$A$2:$N$2</definedName>
    <definedName name="Z_2653C0F9_59B0_4DB3_BD8D_CACC833527F0_.wvu.FilterData" localSheetId="12" hidden="1">'5.6'!$A$2:$N$2</definedName>
    <definedName name="Z_2653C0F9_59B0_4DB3_BD8D_CACC833527F0_.wvu.FilterData" localSheetId="13" hidden="1">'6.6'!$A$2:$M$2</definedName>
    <definedName name="Z_2653C0F9_59B0_4DB3_BD8D_CACC833527F0_.wvu.FilterData" localSheetId="14" hidden="1">'8.6'!$A$2:$N$2</definedName>
    <definedName name="Z_289C1146_6484_4C42_9E78_5D7EBC42FBCC_.wvu.FilterData" localSheetId="8" hidden="1">'1.6'!$A$2:$N$2</definedName>
    <definedName name="Z_289C1146_6484_4C42_9E78_5D7EBC42FBCC_.wvu.FilterData" localSheetId="0" hidden="1">'13.5'!$A$2:$N$2</definedName>
    <definedName name="Z_289C1146_6484_4C42_9E78_5D7EBC42FBCC_.wvu.FilterData" localSheetId="1" hidden="1">'15.5'!$A$2:$N$2</definedName>
    <definedName name="Z_289C1146_6484_4C42_9E78_5D7EBC42FBCC_.wvu.FilterData" localSheetId="2" hidden="1">'18.5'!$A$2:$N$2</definedName>
    <definedName name="Z_289C1146_6484_4C42_9E78_5D7EBC42FBCC_.wvu.FilterData" localSheetId="9" hidden="1">'2.6'!$A$2:$N$2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FilterData" localSheetId="5" hidden="1">'25.5'!$A$2:$N$2</definedName>
    <definedName name="Z_289C1146_6484_4C42_9E78_5D7EBC42FBCC_.wvu.FilterData" localSheetId="6" hidden="1">'27.5'!$A$2:$N$2</definedName>
    <definedName name="Z_289C1146_6484_4C42_9E78_5D7EBC42FBCC_.wvu.FilterData" localSheetId="7" hidden="1">'29.5 - L2'!$A$2:$N$2</definedName>
    <definedName name="Z_289C1146_6484_4C42_9E78_5D7EBC42FBCC_.wvu.FilterData" localSheetId="10" hidden="1">'3.6'!$A$2:$N$2</definedName>
    <definedName name="Z_289C1146_6484_4C42_9E78_5D7EBC42FBCC_.wvu.FilterData" localSheetId="11" hidden="1">'4.6'!$A$2:$N$2</definedName>
    <definedName name="Z_289C1146_6484_4C42_9E78_5D7EBC42FBCC_.wvu.FilterData" localSheetId="12" hidden="1">'5.6'!$A$2:$N$2</definedName>
    <definedName name="Z_289C1146_6484_4C42_9E78_5D7EBC42FBCC_.wvu.FilterData" localSheetId="13" hidden="1">'6.6'!$A$2:$M$2</definedName>
    <definedName name="Z_289C1146_6484_4C42_9E78_5D7EBC42FBCC_.wvu.FilterData" localSheetId="14" hidden="1">'8.6'!$A$2:$N$2</definedName>
    <definedName name="Z_289C1146_6484_4C42_9E78_5D7EBC42FBCC_.wvu.PrintTitles" localSheetId="8" hidden="1">'1.6'!$1:$2</definedName>
    <definedName name="Z_289C1146_6484_4C42_9E78_5D7EBC42FBCC_.wvu.PrintTitles" localSheetId="0" hidden="1">'13.5'!$1:$2</definedName>
    <definedName name="Z_289C1146_6484_4C42_9E78_5D7EBC42FBCC_.wvu.PrintTitles" localSheetId="1" hidden="1">'15.5'!$1:$2</definedName>
    <definedName name="Z_289C1146_6484_4C42_9E78_5D7EBC42FBCC_.wvu.PrintTitles" localSheetId="2" hidden="1">'18.5'!$1:$2</definedName>
    <definedName name="Z_289C1146_6484_4C42_9E78_5D7EBC42FBCC_.wvu.PrintTitles" localSheetId="9" hidden="1">'2.6'!$1:$2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PrintTitles" localSheetId="5" hidden="1">'25.5'!$1:$2</definedName>
    <definedName name="Z_289C1146_6484_4C42_9E78_5D7EBC42FBCC_.wvu.PrintTitles" localSheetId="6" hidden="1">'27.5'!$1:$2</definedName>
    <definedName name="Z_289C1146_6484_4C42_9E78_5D7EBC42FBCC_.wvu.PrintTitles" localSheetId="7" hidden="1">'29.5 - L2'!$1:$2</definedName>
    <definedName name="Z_289C1146_6484_4C42_9E78_5D7EBC42FBCC_.wvu.PrintTitles" localSheetId="10" hidden="1">'3.6'!$1:$2</definedName>
    <definedName name="Z_289C1146_6484_4C42_9E78_5D7EBC42FBCC_.wvu.PrintTitles" localSheetId="11" hidden="1">'4.6'!$1:$2</definedName>
    <definedName name="Z_289C1146_6484_4C42_9E78_5D7EBC42FBCC_.wvu.PrintTitles" localSheetId="12" hidden="1">'5.6'!$1:$2</definedName>
    <definedName name="Z_289C1146_6484_4C42_9E78_5D7EBC42FBCC_.wvu.PrintTitles" localSheetId="13" hidden="1">'6.6'!$1:$2</definedName>
    <definedName name="Z_289C1146_6484_4C42_9E78_5D7EBC42FBCC_.wvu.PrintTitles" localSheetId="14" hidden="1">'8.6'!$1:$2</definedName>
    <definedName name="Z_289C1146_6484_4C42_9E78_5D7EBC42FBCC_.wvu.Rows" localSheetId="8" hidden="1">'1.6'!#REF!</definedName>
    <definedName name="Z_289C1146_6484_4C42_9E78_5D7EBC42FBCC_.wvu.Rows" localSheetId="0" hidden="1">'13.5'!#REF!</definedName>
    <definedName name="Z_289C1146_6484_4C42_9E78_5D7EBC42FBCC_.wvu.Rows" localSheetId="1" hidden="1">'15.5'!#REF!</definedName>
    <definedName name="Z_289C1146_6484_4C42_9E78_5D7EBC42FBCC_.wvu.Rows" localSheetId="2" hidden="1">'18.5'!#REF!</definedName>
    <definedName name="Z_289C1146_6484_4C42_9E78_5D7EBC42FBCC_.wvu.Rows" localSheetId="9" hidden="1">'2.6'!#REF!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289C1146_6484_4C42_9E78_5D7EBC42FBCC_.wvu.Rows" localSheetId="5" hidden="1">'25.5'!#REF!</definedName>
    <definedName name="Z_289C1146_6484_4C42_9E78_5D7EBC42FBCC_.wvu.Rows" localSheetId="6" hidden="1">'27.5'!#REF!</definedName>
    <definedName name="Z_289C1146_6484_4C42_9E78_5D7EBC42FBCC_.wvu.Rows" localSheetId="7" hidden="1">'29.5 - L2'!#REF!</definedName>
    <definedName name="Z_289C1146_6484_4C42_9E78_5D7EBC42FBCC_.wvu.Rows" localSheetId="10" hidden="1">'3.6'!#REF!</definedName>
    <definedName name="Z_289C1146_6484_4C42_9E78_5D7EBC42FBCC_.wvu.Rows" localSheetId="11" hidden="1">'4.6'!#REF!</definedName>
    <definedName name="Z_289C1146_6484_4C42_9E78_5D7EBC42FBCC_.wvu.Rows" localSheetId="12" hidden="1">'5.6'!#REF!</definedName>
    <definedName name="Z_289C1146_6484_4C42_9E78_5D7EBC42FBCC_.wvu.Rows" localSheetId="13" hidden="1">'6.6'!#REF!</definedName>
    <definedName name="Z_289C1146_6484_4C42_9E78_5D7EBC42FBCC_.wvu.Rows" localSheetId="14" hidden="1">'8.6'!#REF!</definedName>
    <definedName name="Z_314949E3_0D3B_4560_AE70_4D3C4970782A_.wvu.FilterData" localSheetId="8" hidden="1">'1.6'!$B$2:$M$2</definedName>
    <definedName name="Z_314949E3_0D3B_4560_AE70_4D3C4970782A_.wvu.FilterData" localSheetId="0" hidden="1">'13.5'!$B$2:$M$2</definedName>
    <definedName name="Z_314949E3_0D3B_4560_AE70_4D3C4970782A_.wvu.FilterData" localSheetId="1" hidden="1">'15.5'!$B$2:$M$2</definedName>
    <definedName name="Z_314949E3_0D3B_4560_AE70_4D3C4970782A_.wvu.FilterData" localSheetId="2" hidden="1">'18.5'!$B$2:$M$2</definedName>
    <definedName name="Z_314949E3_0D3B_4560_AE70_4D3C4970782A_.wvu.FilterData" localSheetId="9" hidden="1">'2.6'!$B$2:$M$2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4949E3_0D3B_4560_AE70_4D3C4970782A_.wvu.FilterData" localSheetId="5" hidden="1">'25.5'!$B$2:$M$2</definedName>
    <definedName name="Z_314949E3_0D3B_4560_AE70_4D3C4970782A_.wvu.FilterData" localSheetId="6" hidden="1">'27.5'!$B$2:$M$2</definedName>
    <definedName name="Z_314949E3_0D3B_4560_AE70_4D3C4970782A_.wvu.FilterData" localSheetId="7" hidden="1">'29.5 - L2'!$B$2:$M$2</definedName>
    <definedName name="Z_314949E3_0D3B_4560_AE70_4D3C4970782A_.wvu.FilterData" localSheetId="10" hidden="1">'3.6'!$B$2:$M$2</definedName>
    <definedName name="Z_314949E3_0D3B_4560_AE70_4D3C4970782A_.wvu.FilterData" localSheetId="11" hidden="1">'4.6'!$B$2:$M$2</definedName>
    <definedName name="Z_314949E3_0D3B_4560_AE70_4D3C4970782A_.wvu.FilterData" localSheetId="12" hidden="1">'5.6'!$B$2:$M$2</definedName>
    <definedName name="Z_314949E3_0D3B_4560_AE70_4D3C4970782A_.wvu.FilterData" localSheetId="13" hidden="1">'6.6'!$B$2:$M$2</definedName>
    <definedName name="Z_314949E3_0D3B_4560_AE70_4D3C4970782A_.wvu.FilterData" localSheetId="14" hidden="1">'8.6'!$B$2:$M$2</definedName>
    <definedName name="Z_318C8B1E_0627_4DC9_8089_60901FDA475B_.wvu.FilterData" localSheetId="8" hidden="1">'1.6'!$B$2:$N$2</definedName>
    <definedName name="Z_318C8B1E_0627_4DC9_8089_60901FDA475B_.wvu.FilterData" localSheetId="0" hidden="1">'13.5'!$B$2:$N$2</definedName>
    <definedName name="Z_318C8B1E_0627_4DC9_8089_60901FDA475B_.wvu.FilterData" localSheetId="1" hidden="1">'15.5'!$B$2:$N$2</definedName>
    <definedName name="Z_318C8B1E_0627_4DC9_8089_60901FDA475B_.wvu.FilterData" localSheetId="2" hidden="1">'18.5'!$B$2:$N$2</definedName>
    <definedName name="Z_318C8B1E_0627_4DC9_8089_60901FDA475B_.wvu.FilterData" localSheetId="9" hidden="1">'2.6'!$B$2:$N$2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FilterData" localSheetId="5" hidden="1">'25.5'!$B$2:$N$2</definedName>
    <definedName name="Z_318C8B1E_0627_4DC9_8089_60901FDA475B_.wvu.FilterData" localSheetId="6" hidden="1">'27.5'!$B$2:$N$2</definedName>
    <definedName name="Z_318C8B1E_0627_4DC9_8089_60901FDA475B_.wvu.FilterData" localSheetId="7" hidden="1">'29.5 - L2'!$B$2:$N$2</definedName>
    <definedName name="Z_318C8B1E_0627_4DC9_8089_60901FDA475B_.wvu.FilterData" localSheetId="10" hidden="1">'3.6'!$B$2:$N$2</definedName>
    <definedName name="Z_318C8B1E_0627_4DC9_8089_60901FDA475B_.wvu.FilterData" localSheetId="11" hidden="1">'4.6'!$B$2:$N$2</definedName>
    <definedName name="Z_318C8B1E_0627_4DC9_8089_60901FDA475B_.wvu.FilterData" localSheetId="12" hidden="1">'5.6'!$B$2:$N$2</definedName>
    <definedName name="Z_318C8B1E_0627_4DC9_8089_60901FDA475B_.wvu.FilterData" localSheetId="13" hidden="1">'6.6'!$B$2:$M$2</definedName>
    <definedName name="Z_318C8B1E_0627_4DC9_8089_60901FDA475B_.wvu.FilterData" localSheetId="14" hidden="1">'8.6'!$B$2:$N$2</definedName>
    <definedName name="Z_318C8B1E_0627_4DC9_8089_60901FDA475B_.wvu.PrintTitles" localSheetId="8" hidden="1">'1.6'!$1:$2</definedName>
    <definedName name="Z_318C8B1E_0627_4DC9_8089_60901FDA475B_.wvu.PrintTitles" localSheetId="0" hidden="1">'13.5'!$1:$2</definedName>
    <definedName name="Z_318C8B1E_0627_4DC9_8089_60901FDA475B_.wvu.PrintTitles" localSheetId="1" hidden="1">'15.5'!$1:$2</definedName>
    <definedName name="Z_318C8B1E_0627_4DC9_8089_60901FDA475B_.wvu.PrintTitles" localSheetId="2" hidden="1">'18.5'!$1:$2</definedName>
    <definedName name="Z_318C8B1E_0627_4DC9_8089_60901FDA475B_.wvu.PrintTitles" localSheetId="9" hidden="1">'2.6'!$1:$2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18C8B1E_0627_4DC9_8089_60901FDA475B_.wvu.PrintTitles" localSheetId="5" hidden="1">'25.5'!$1:$2</definedName>
    <definedName name="Z_318C8B1E_0627_4DC9_8089_60901FDA475B_.wvu.PrintTitles" localSheetId="6" hidden="1">'27.5'!$1:$2</definedName>
    <definedName name="Z_318C8B1E_0627_4DC9_8089_60901FDA475B_.wvu.PrintTitles" localSheetId="7" hidden="1">'29.5 - L2'!$1:$2</definedName>
    <definedName name="Z_318C8B1E_0627_4DC9_8089_60901FDA475B_.wvu.PrintTitles" localSheetId="10" hidden="1">'3.6'!$1:$2</definedName>
    <definedName name="Z_318C8B1E_0627_4DC9_8089_60901FDA475B_.wvu.PrintTitles" localSheetId="11" hidden="1">'4.6'!$1:$2</definedName>
    <definedName name="Z_318C8B1E_0627_4DC9_8089_60901FDA475B_.wvu.PrintTitles" localSheetId="12" hidden="1">'5.6'!$1:$2</definedName>
    <definedName name="Z_318C8B1E_0627_4DC9_8089_60901FDA475B_.wvu.PrintTitles" localSheetId="13" hidden="1">'6.6'!$1:$2</definedName>
    <definedName name="Z_318C8B1E_0627_4DC9_8089_60901FDA475B_.wvu.PrintTitles" localSheetId="14" hidden="1">'8.6'!$1:$2</definedName>
    <definedName name="Z_323B6797_06D8_47A1_B001_797373BE57F2_.wvu.FilterData" localSheetId="8" hidden="1">'1.6'!$B$2:$M$2</definedName>
    <definedName name="Z_323B6797_06D8_47A1_B001_797373BE57F2_.wvu.FilterData" localSheetId="0" hidden="1">'13.5'!$B$2:$M$2</definedName>
    <definedName name="Z_323B6797_06D8_47A1_B001_797373BE57F2_.wvu.FilterData" localSheetId="1" hidden="1">'15.5'!$B$2:$M$2</definedName>
    <definedName name="Z_323B6797_06D8_47A1_B001_797373BE57F2_.wvu.FilterData" localSheetId="2" hidden="1">'18.5'!$B$2:$M$2</definedName>
    <definedName name="Z_323B6797_06D8_47A1_B001_797373BE57F2_.wvu.FilterData" localSheetId="9" hidden="1">'2.6'!$B$2:$M$2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323B6797_06D8_47A1_B001_797373BE57F2_.wvu.FilterData" localSheetId="5" hidden="1">'25.5'!$B$2:$M$2</definedName>
    <definedName name="Z_323B6797_06D8_47A1_B001_797373BE57F2_.wvu.FilterData" localSheetId="6" hidden="1">'27.5'!$B$2:$M$2</definedName>
    <definedName name="Z_323B6797_06D8_47A1_B001_797373BE57F2_.wvu.FilterData" localSheetId="7" hidden="1">'29.5 - L2'!$B$2:$M$2</definedName>
    <definedName name="Z_323B6797_06D8_47A1_B001_797373BE57F2_.wvu.FilterData" localSheetId="10" hidden="1">'3.6'!$B$2:$M$2</definedName>
    <definedName name="Z_323B6797_06D8_47A1_B001_797373BE57F2_.wvu.FilterData" localSheetId="11" hidden="1">'4.6'!$B$2:$M$2</definedName>
    <definedName name="Z_323B6797_06D8_47A1_B001_797373BE57F2_.wvu.FilterData" localSheetId="12" hidden="1">'5.6'!$B$2:$M$2</definedName>
    <definedName name="Z_323B6797_06D8_47A1_B001_797373BE57F2_.wvu.FilterData" localSheetId="13" hidden="1">'6.6'!$B$2:$M$2</definedName>
    <definedName name="Z_323B6797_06D8_47A1_B001_797373BE57F2_.wvu.FilterData" localSheetId="14" hidden="1">'8.6'!$B$2:$M$2</definedName>
    <definedName name="Z_6A9DC2EA_1959_4EB9_A839_907E58591C36_.wvu.FilterData" localSheetId="8" hidden="1">'1.6'!$B$2:$M$2</definedName>
    <definedName name="Z_6A9DC2EA_1959_4EB9_A839_907E58591C36_.wvu.FilterData" localSheetId="0" hidden="1">'13.5'!$B$2:$M$2</definedName>
    <definedName name="Z_6A9DC2EA_1959_4EB9_A839_907E58591C36_.wvu.FilterData" localSheetId="1" hidden="1">'15.5'!$B$2:$M$2</definedName>
    <definedName name="Z_6A9DC2EA_1959_4EB9_A839_907E58591C36_.wvu.FilterData" localSheetId="2" hidden="1">'18.5'!$B$2:$M$2</definedName>
    <definedName name="Z_6A9DC2EA_1959_4EB9_A839_907E58591C36_.wvu.FilterData" localSheetId="9" hidden="1">'2.6'!$B$2:$M$2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6A9DC2EA_1959_4EB9_A839_907E58591C36_.wvu.FilterData" localSheetId="5" hidden="1">'25.5'!$B$2:$M$2</definedName>
    <definedName name="Z_6A9DC2EA_1959_4EB9_A839_907E58591C36_.wvu.FilterData" localSheetId="6" hidden="1">'27.5'!$B$2:$M$2</definedName>
    <definedName name="Z_6A9DC2EA_1959_4EB9_A839_907E58591C36_.wvu.FilterData" localSheetId="7" hidden="1">'29.5 - L2'!$B$2:$M$2</definedName>
    <definedName name="Z_6A9DC2EA_1959_4EB9_A839_907E58591C36_.wvu.FilterData" localSheetId="10" hidden="1">'3.6'!$B$2:$M$2</definedName>
    <definedName name="Z_6A9DC2EA_1959_4EB9_A839_907E58591C36_.wvu.FilterData" localSheetId="11" hidden="1">'4.6'!$B$2:$M$2</definedName>
    <definedName name="Z_6A9DC2EA_1959_4EB9_A839_907E58591C36_.wvu.FilterData" localSheetId="12" hidden="1">'5.6'!$B$2:$M$2</definedName>
    <definedName name="Z_6A9DC2EA_1959_4EB9_A839_907E58591C36_.wvu.FilterData" localSheetId="13" hidden="1">'6.6'!$B$2:$M$2</definedName>
    <definedName name="Z_6A9DC2EA_1959_4EB9_A839_907E58591C36_.wvu.FilterData" localSheetId="14" hidden="1">'8.6'!$B$2:$M$2</definedName>
    <definedName name="Z_866BE165_7CE2_41D4_AD4C_D79698D432B1_.wvu.FilterData" localSheetId="8" hidden="1">'1.6'!$B$2:$M$2</definedName>
    <definedName name="Z_866BE165_7CE2_41D4_AD4C_D79698D432B1_.wvu.FilterData" localSheetId="0" hidden="1">'13.5'!$B$2:$M$2</definedName>
    <definedName name="Z_866BE165_7CE2_41D4_AD4C_D79698D432B1_.wvu.FilterData" localSheetId="1" hidden="1">'15.5'!$B$2:$M$2</definedName>
    <definedName name="Z_866BE165_7CE2_41D4_AD4C_D79698D432B1_.wvu.FilterData" localSheetId="2" hidden="1">'18.5'!$B$2:$M$2</definedName>
    <definedName name="Z_866BE165_7CE2_41D4_AD4C_D79698D432B1_.wvu.FilterData" localSheetId="9" hidden="1">'2.6'!$B$2:$M$2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BE165_7CE2_41D4_AD4C_D79698D432B1_.wvu.FilterData" localSheetId="5" hidden="1">'25.5'!$B$2:$M$2</definedName>
    <definedName name="Z_866BE165_7CE2_41D4_AD4C_D79698D432B1_.wvu.FilterData" localSheetId="6" hidden="1">'27.5'!$B$2:$M$2</definedName>
    <definedName name="Z_866BE165_7CE2_41D4_AD4C_D79698D432B1_.wvu.FilterData" localSheetId="7" hidden="1">'29.5 - L2'!$B$2:$M$2</definedName>
    <definedName name="Z_866BE165_7CE2_41D4_AD4C_D79698D432B1_.wvu.FilterData" localSheetId="10" hidden="1">'3.6'!$B$2:$M$2</definedName>
    <definedName name="Z_866BE165_7CE2_41D4_AD4C_D79698D432B1_.wvu.FilterData" localSheetId="11" hidden="1">'4.6'!$B$2:$M$2</definedName>
    <definedName name="Z_866BE165_7CE2_41D4_AD4C_D79698D432B1_.wvu.FilterData" localSheetId="12" hidden="1">'5.6'!$B$2:$M$2</definedName>
    <definedName name="Z_866BE165_7CE2_41D4_AD4C_D79698D432B1_.wvu.FilterData" localSheetId="13" hidden="1">'6.6'!$B$2:$M$2</definedName>
    <definedName name="Z_866BE165_7CE2_41D4_AD4C_D79698D432B1_.wvu.FilterData" localSheetId="14" hidden="1">'8.6'!$B$2:$M$2</definedName>
    <definedName name="Z_866CB300_9BE2_4E49_BCB4_72634A7939D7_.wvu.FilterData" localSheetId="8" hidden="1">'1.6'!$B$2:$N$2</definedName>
    <definedName name="Z_866CB300_9BE2_4E49_BCB4_72634A7939D7_.wvu.FilterData" localSheetId="0" hidden="1">'13.5'!$B$2:$N$2</definedName>
    <definedName name="Z_866CB300_9BE2_4E49_BCB4_72634A7939D7_.wvu.FilterData" localSheetId="1" hidden="1">'15.5'!$B$2:$N$2</definedName>
    <definedName name="Z_866CB300_9BE2_4E49_BCB4_72634A7939D7_.wvu.FilterData" localSheetId="2" hidden="1">'18.5'!$B$2:$N$2</definedName>
    <definedName name="Z_866CB300_9BE2_4E49_BCB4_72634A7939D7_.wvu.FilterData" localSheetId="9" hidden="1">'2.6'!$B$2:$N$2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66CB300_9BE2_4E49_BCB4_72634A7939D7_.wvu.FilterData" localSheetId="5" hidden="1">'25.5'!$B$2:$N$2</definedName>
    <definedName name="Z_866CB300_9BE2_4E49_BCB4_72634A7939D7_.wvu.FilterData" localSheetId="6" hidden="1">'27.5'!$B$2:$N$2</definedName>
    <definedName name="Z_866CB300_9BE2_4E49_BCB4_72634A7939D7_.wvu.FilterData" localSheetId="7" hidden="1">'29.5 - L2'!$B$2:$N$2</definedName>
    <definedName name="Z_866CB300_9BE2_4E49_BCB4_72634A7939D7_.wvu.FilterData" localSheetId="10" hidden="1">'3.6'!$B$2:$N$2</definedName>
    <definedName name="Z_866CB300_9BE2_4E49_BCB4_72634A7939D7_.wvu.FilterData" localSheetId="11" hidden="1">'4.6'!$B$2:$N$2</definedName>
    <definedName name="Z_866CB300_9BE2_4E49_BCB4_72634A7939D7_.wvu.FilterData" localSheetId="12" hidden="1">'5.6'!$B$2:$N$2</definedName>
    <definedName name="Z_866CB300_9BE2_4E49_BCB4_72634A7939D7_.wvu.FilterData" localSheetId="13" hidden="1">'6.6'!$B$2:$M$2</definedName>
    <definedName name="Z_866CB300_9BE2_4E49_BCB4_72634A7939D7_.wvu.FilterData" localSheetId="14" hidden="1">'8.6'!$B$2:$N$2</definedName>
    <definedName name="Z_8CF255E0_B8BB_4016_A366_4FCF106965CF_.wvu.FilterData" localSheetId="8" hidden="1">'1.6'!$A$2:$N$2</definedName>
    <definedName name="Z_8CF255E0_B8BB_4016_A366_4FCF106965CF_.wvu.FilterData" localSheetId="0" hidden="1">'13.5'!$A$2:$N$2</definedName>
    <definedName name="Z_8CF255E0_B8BB_4016_A366_4FCF106965CF_.wvu.FilterData" localSheetId="1" hidden="1">'15.5'!$A$2:$N$2</definedName>
    <definedName name="Z_8CF255E0_B8BB_4016_A366_4FCF106965CF_.wvu.FilterData" localSheetId="2" hidden="1">'18.5'!$A$2:$N$2</definedName>
    <definedName name="Z_8CF255E0_B8BB_4016_A366_4FCF106965CF_.wvu.FilterData" localSheetId="9" hidden="1">'2.6'!$A$2:$N$2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8CF255E0_B8BB_4016_A366_4FCF106965CF_.wvu.FilterData" localSheetId="5" hidden="1">'25.5'!$A$2:$N$2</definedName>
    <definedName name="Z_8CF255E0_B8BB_4016_A366_4FCF106965CF_.wvu.FilterData" localSheetId="6" hidden="1">'27.5'!$A$2:$N$2</definedName>
    <definedName name="Z_8CF255E0_B8BB_4016_A366_4FCF106965CF_.wvu.FilterData" localSheetId="7" hidden="1">'29.5 - L2'!$A$2:$N$2</definedName>
    <definedName name="Z_8CF255E0_B8BB_4016_A366_4FCF106965CF_.wvu.FilterData" localSheetId="10" hidden="1">'3.6'!$A$2:$N$2</definedName>
    <definedName name="Z_8CF255E0_B8BB_4016_A366_4FCF106965CF_.wvu.FilterData" localSheetId="11" hidden="1">'4.6'!$A$2:$N$2</definedName>
    <definedName name="Z_8CF255E0_B8BB_4016_A366_4FCF106965CF_.wvu.FilterData" localSheetId="12" hidden="1">'5.6'!$A$2:$N$2</definedName>
    <definedName name="Z_8CF255E0_B8BB_4016_A366_4FCF106965CF_.wvu.FilterData" localSheetId="13" hidden="1">'6.6'!$A$2:$M$2</definedName>
    <definedName name="Z_8CF255E0_B8BB_4016_A366_4FCF106965CF_.wvu.FilterData" localSheetId="14" hidden="1">'8.6'!$A$2:$N$2</definedName>
    <definedName name="Z_A4A1FC39_A54C_43AC_9912_8824EB6833F5_.wvu.FilterData" localSheetId="8" hidden="1">'1.6'!$A$2:$N$2</definedName>
    <definedName name="Z_A4A1FC39_A54C_43AC_9912_8824EB6833F5_.wvu.FilterData" localSheetId="0" hidden="1">'13.5'!$A$2:$N$2</definedName>
    <definedName name="Z_A4A1FC39_A54C_43AC_9912_8824EB6833F5_.wvu.FilterData" localSheetId="1" hidden="1">'15.5'!$A$2:$N$2</definedName>
    <definedName name="Z_A4A1FC39_A54C_43AC_9912_8824EB6833F5_.wvu.FilterData" localSheetId="2" hidden="1">'18.5'!$A$2:$N$2</definedName>
    <definedName name="Z_A4A1FC39_A54C_43AC_9912_8824EB6833F5_.wvu.FilterData" localSheetId="9" hidden="1">'2.6'!$A$2:$N$2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4A1FC39_A54C_43AC_9912_8824EB6833F5_.wvu.FilterData" localSheetId="5" hidden="1">'25.5'!$A$2:$N$2</definedName>
    <definedName name="Z_A4A1FC39_A54C_43AC_9912_8824EB6833F5_.wvu.FilterData" localSheetId="6" hidden="1">'27.5'!$A$2:$N$2</definedName>
    <definedName name="Z_A4A1FC39_A54C_43AC_9912_8824EB6833F5_.wvu.FilterData" localSheetId="7" hidden="1">'29.5 - L2'!$A$2:$N$2</definedName>
    <definedName name="Z_A4A1FC39_A54C_43AC_9912_8824EB6833F5_.wvu.FilterData" localSheetId="10" hidden="1">'3.6'!$A$2:$N$2</definedName>
    <definedName name="Z_A4A1FC39_A54C_43AC_9912_8824EB6833F5_.wvu.FilterData" localSheetId="11" hidden="1">'4.6'!$A$2:$N$2</definedName>
    <definedName name="Z_A4A1FC39_A54C_43AC_9912_8824EB6833F5_.wvu.FilterData" localSheetId="12" hidden="1">'5.6'!$A$2:$N$2</definedName>
    <definedName name="Z_A4A1FC39_A54C_43AC_9912_8824EB6833F5_.wvu.FilterData" localSheetId="13" hidden="1">'6.6'!$A$2:$M$2</definedName>
    <definedName name="Z_A4A1FC39_A54C_43AC_9912_8824EB6833F5_.wvu.FilterData" localSheetId="14" hidden="1">'8.6'!$A$2:$N$2</definedName>
    <definedName name="Z_AF6B2EAC_2950_4809_A605_2107D254FC8D_.wvu.FilterData" localSheetId="8" hidden="1">'1.6'!$B$2:$N$2</definedName>
    <definedName name="Z_AF6B2EAC_2950_4809_A605_2107D254FC8D_.wvu.FilterData" localSheetId="0" hidden="1">'13.5'!$B$2:$N$2</definedName>
    <definedName name="Z_AF6B2EAC_2950_4809_A605_2107D254FC8D_.wvu.FilterData" localSheetId="1" hidden="1">'15.5'!$B$2:$N$2</definedName>
    <definedName name="Z_AF6B2EAC_2950_4809_A605_2107D254FC8D_.wvu.FilterData" localSheetId="2" hidden="1">'18.5'!$B$2:$N$2</definedName>
    <definedName name="Z_AF6B2EAC_2950_4809_A605_2107D254FC8D_.wvu.FilterData" localSheetId="9" hidden="1">'2.6'!$B$2:$N$2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FilterData" localSheetId="5" hidden="1">'25.5'!$B$2:$N$2</definedName>
    <definedName name="Z_AF6B2EAC_2950_4809_A605_2107D254FC8D_.wvu.FilterData" localSheetId="6" hidden="1">'27.5'!$B$2:$N$2</definedName>
    <definedName name="Z_AF6B2EAC_2950_4809_A605_2107D254FC8D_.wvu.FilterData" localSheetId="7" hidden="1">'29.5 - L2'!$B$2:$N$2</definedName>
    <definedName name="Z_AF6B2EAC_2950_4809_A605_2107D254FC8D_.wvu.FilterData" localSheetId="10" hidden="1">'3.6'!$B$2:$N$2</definedName>
    <definedName name="Z_AF6B2EAC_2950_4809_A605_2107D254FC8D_.wvu.FilterData" localSheetId="11" hidden="1">'4.6'!$B$2:$N$2</definedName>
    <definedName name="Z_AF6B2EAC_2950_4809_A605_2107D254FC8D_.wvu.FilterData" localSheetId="12" hidden="1">'5.6'!$B$2:$N$2</definedName>
    <definedName name="Z_AF6B2EAC_2950_4809_A605_2107D254FC8D_.wvu.FilterData" localSheetId="13" hidden="1">'6.6'!$B$2:$M$2</definedName>
    <definedName name="Z_AF6B2EAC_2950_4809_A605_2107D254FC8D_.wvu.FilterData" localSheetId="14" hidden="1">'8.6'!$B$2:$N$2</definedName>
    <definedName name="Z_AF6B2EAC_2950_4809_A605_2107D254FC8D_.wvu.PrintTitles" localSheetId="8" hidden="1">'1.6'!$1:$2</definedName>
    <definedName name="Z_AF6B2EAC_2950_4809_A605_2107D254FC8D_.wvu.PrintTitles" localSheetId="0" hidden="1">'13.5'!$1:$2</definedName>
    <definedName name="Z_AF6B2EAC_2950_4809_A605_2107D254FC8D_.wvu.PrintTitles" localSheetId="1" hidden="1">'15.5'!$1:$2</definedName>
    <definedName name="Z_AF6B2EAC_2950_4809_A605_2107D254FC8D_.wvu.PrintTitles" localSheetId="2" hidden="1">'18.5'!$1:$2</definedName>
    <definedName name="Z_AF6B2EAC_2950_4809_A605_2107D254FC8D_.wvu.PrintTitles" localSheetId="9" hidden="1">'2.6'!$1:$2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AF6B2EAC_2950_4809_A605_2107D254FC8D_.wvu.PrintTitles" localSheetId="5" hidden="1">'25.5'!$1:$2</definedName>
    <definedName name="Z_AF6B2EAC_2950_4809_A605_2107D254FC8D_.wvu.PrintTitles" localSheetId="6" hidden="1">'27.5'!$1:$2</definedName>
    <definedName name="Z_AF6B2EAC_2950_4809_A605_2107D254FC8D_.wvu.PrintTitles" localSheetId="7" hidden="1">'29.5 - L2'!$1:$2</definedName>
    <definedName name="Z_AF6B2EAC_2950_4809_A605_2107D254FC8D_.wvu.PrintTitles" localSheetId="10" hidden="1">'3.6'!$1:$2</definedName>
    <definedName name="Z_AF6B2EAC_2950_4809_A605_2107D254FC8D_.wvu.PrintTitles" localSheetId="11" hidden="1">'4.6'!$1:$2</definedName>
    <definedName name="Z_AF6B2EAC_2950_4809_A605_2107D254FC8D_.wvu.PrintTitles" localSheetId="12" hidden="1">'5.6'!$1:$2</definedName>
    <definedName name="Z_AF6B2EAC_2950_4809_A605_2107D254FC8D_.wvu.PrintTitles" localSheetId="13" hidden="1">'6.6'!$1:$2</definedName>
    <definedName name="Z_AF6B2EAC_2950_4809_A605_2107D254FC8D_.wvu.PrintTitles" localSheetId="14" hidden="1">'8.6'!$1:$2</definedName>
    <definedName name="Z_CA92E8A2_92C9_4575_A139_6FE5DA69269F_.wvu.FilterData" localSheetId="8" hidden="1">'1.6'!$B$2:$M$2</definedName>
    <definedName name="Z_CA92E8A2_92C9_4575_A139_6FE5DA69269F_.wvu.FilterData" localSheetId="0" hidden="1">'13.5'!$B$2:$M$2</definedName>
    <definedName name="Z_CA92E8A2_92C9_4575_A139_6FE5DA69269F_.wvu.FilterData" localSheetId="1" hidden="1">'15.5'!$B$2:$M$2</definedName>
    <definedName name="Z_CA92E8A2_92C9_4575_A139_6FE5DA69269F_.wvu.FilterData" localSheetId="2" hidden="1">'18.5'!$B$2:$M$2</definedName>
    <definedName name="Z_CA92E8A2_92C9_4575_A139_6FE5DA69269F_.wvu.FilterData" localSheetId="9" hidden="1">'2.6'!$B$2:$M$2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CA92E8A2_92C9_4575_A139_6FE5DA69269F_.wvu.FilterData" localSheetId="5" hidden="1">'25.5'!$B$2:$M$2</definedName>
    <definedName name="Z_CA92E8A2_92C9_4575_A139_6FE5DA69269F_.wvu.FilterData" localSheetId="6" hidden="1">'27.5'!$B$2:$M$2</definedName>
    <definedName name="Z_CA92E8A2_92C9_4575_A139_6FE5DA69269F_.wvu.FilterData" localSheetId="7" hidden="1">'29.5 - L2'!$B$2:$M$2</definedName>
    <definedName name="Z_CA92E8A2_92C9_4575_A139_6FE5DA69269F_.wvu.FilterData" localSheetId="10" hidden="1">'3.6'!$B$2:$M$2</definedName>
    <definedName name="Z_CA92E8A2_92C9_4575_A139_6FE5DA69269F_.wvu.FilterData" localSheetId="11" hidden="1">'4.6'!$B$2:$M$2</definedName>
    <definedName name="Z_CA92E8A2_92C9_4575_A139_6FE5DA69269F_.wvu.FilterData" localSheetId="12" hidden="1">'5.6'!$B$2:$M$2</definedName>
    <definedName name="Z_CA92E8A2_92C9_4575_A139_6FE5DA69269F_.wvu.FilterData" localSheetId="13" hidden="1">'6.6'!$B$2:$M$2</definedName>
    <definedName name="Z_CA92E8A2_92C9_4575_A139_6FE5DA69269F_.wvu.FilterData" localSheetId="14" hidden="1">'8.6'!$B$2:$M$2</definedName>
    <definedName name="Z_DF644A2B_B913_48D6_B430_E57F3B482B79_.wvu.FilterData" localSheetId="8" hidden="1">'1.6'!$A$2:$N$2</definedName>
    <definedName name="Z_DF644A2B_B913_48D6_B430_E57F3B482B79_.wvu.FilterData" localSheetId="0" hidden="1">'13.5'!$A$2:$N$2</definedName>
    <definedName name="Z_DF644A2B_B913_48D6_B430_E57F3B482B79_.wvu.FilterData" localSheetId="1" hidden="1">'15.5'!$A$2:$N$2</definedName>
    <definedName name="Z_DF644A2B_B913_48D6_B430_E57F3B482B79_.wvu.FilterData" localSheetId="2" hidden="1">'18.5'!$A$2:$N$2</definedName>
    <definedName name="Z_DF644A2B_B913_48D6_B430_E57F3B482B79_.wvu.FilterData" localSheetId="9" hidden="1">'2.6'!$A$2:$N$2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FilterData" localSheetId="5" hidden="1">'25.5'!$A$2:$N$2</definedName>
    <definedName name="Z_DF644A2B_B913_48D6_B430_E57F3B482B79_.wvu.FilterData" localSheetId="6" hidden="1">'27.5'!$A$2:$N$2</definedName>
    <definedName name="Z_DF644A2B_B913_48D6_B430_E57F3B482B79_.wvu.FilterData" localSheetId="7" hidden="1">'29.5 - L2'!$A$2:$N$2</definedName>
    <definedName name="Z_DF644A2B_B913_48D6_B430_E57F3B482B79_.wvu.FilterData" localSheetId="10" hidden="1">'3.6'!$A$2:$N$2</definedName>
    <definedName name="Z_DF644A2B_B913_48D6_B430_E57F3B482B79_.wvu.FilterData" localSheetId="11" hidden="1">'4.6'!$A$2:$N$2</definedName>
    <definedName name="Z_DF644A2B_B913_48D6_B430_E57F3B482B79_.wvu.FilterData" localSheetId="12" hidden="1">'5.6'!$A$2:$N$2</definedName>
    <definedName name="Z_DF644A2B_B913_48D6_B430_E57F3B482B79_.wvu.FilterData" localSheetId="13" hidden="1">'6.6'!$A$2:$M$2</definedName>
    <definedName name="Z_DF644A2B_B913_48D6_B430_E57F3B482B79_.wvu.FilterData" localSheetId="14" hidden="1">'8.6'!$A$2:$N$2</definedName>
    <definedName name="Z_DF644A2B_B913_48D6_B430_E57F3B482B79_.wvu.PrintTitles" localSheetId="8" hidden="1">'1.6'!$1:$2</definedName>
    <definedName name="Z_DF644A2B_B913_48D6_B430_E57F3B482B79_.wvu.PrintTitles" localSheetId="0" hidden="1">'13.5'!$1:$2</definedName>
    <definedName name="Z_DF644A2B_B913_48D6_B430_E57F3B482B79_.wvu.PrintTitles" localSheetId="1" hidden="1">'15.5'!$1:$2</definedName>
    <definedName name="Z_DF644A2B_B913_48D6_B430_E57F3B482B79_.wvu.PrintTitles" localSheetId="2" hidden="1">'18.5'!$1:$2</definedName>
    <definedName name="Z_DF644A2B_B913_48D6_B430_E57F3B482B79_.wvu.PrintTitles" localSheetId="9" hidden="1">'2.6'!$1:$2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  <definedName name="Z_DF644A2B_B913_48D6_B430_E57F3B482B79_.wvu.PrintTitles" localSheetId="5" hidden="1">'25.5'!$1:$2</definedName>
    <definedName name="Z_DF644A2B_B913_48D6_B430_E57F3B482B79_.wvu.PrintTitles" localSheetId="6" hidden="1">'27.5'!$1:$2</definedName>
    <definedName name="Z_DF644A2B_B913_48D6_B430_E57F3B482B79_.wvu.PrintTitles" localSheetId="7" hidden="1">'29.5 - L2'!$1:$2</definedName>
    <definedName name="Z_DF644A2B_B913_48D6_B430_E57F3B482B79_.wvu.PrintTitles" localSheetId="10" hidden="1">'3.6'!$1:$2</definedName>
    <definedName name="Z_DF644A2B_B913_48D6_B430_E57F3B482B79_.wvu.PrintTitles" localSheetId="11" hidden="1">'4.6'!$1:$2</definedName>
    <definedName name="Z_DF644A2B_B913_48D6_B430_E57F3B482B79_.wvu.PrintTitles" localSheetId="12" hidden="1">'5.6'!$1:$2</definedName>
    <definedName name="Z_DF644A2B_B913_48D6_B430_E57F3B482B79_.wvu.PrintTitles" localSheetId="13" hidden="1">'6.6'!$1:$2</definedName>
    <definedName name="Z_DF644A2B_B913_48D6_B430_E57F3B482B79_.wvu.PrintTitles" localSheetId="14" hidden="1">'8.6'!$1:$2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" i="15" l="1"/>
  <c r="K20" i="15"/>
  <c r="J20" i="15"/>
  <c r="I20" i="15"/>
  <c r="H20" i="15"/>
  <c r="G20" i="15"/>
  <c r="F20" i="15"/>
  <c r="E20" i="15"/>
  <c r="D20" i="15"/>
  <c r="C20" i="15"/>
  <c r="B20" i="15"/>
  <c r="N19" i="15"/>
  <c r="K19" i="15"/>
  <c r="J19" i="15"/>
  <c r="I19" i="15"/>
  <c r="H19" i="15"/>
  <c r="G19" i="15"/>
  <c r="F19" i="15"/>
  <c r="E19" i="15"/>
  <c r="D19" i="15"/>
  <c r="C19" i="15"/>
  <c r="B19" i="15"/>
  <c r="N18" i="15"/>
  <c r="K18" i="15"/>
  <c r="J18" i="15"/>
  <c r="I18" i="15"/>
  <c r="H18" i="15"/>
  <c r="G18" i="15"/>
  <c r="F18" i="15"/>
  <c r="E18" i="15"/>
  <c r="D18" i="15"/>
  <c r="C18" i="15"/>
  <c r="B18" i="15"/>
  <c r="N17" i="15"/>
  <c r="K17" i="15"/>
  <c r="J17" i="15"/>
  <c r="I17" i="15"/>
  <c r="H17" i="15"/>
  <c r="G17" i="15"/>
  <c r="F17" i="15"/>
  <c r="E17" i="15"/>
  <c r="D17" i="15"/>
  <c r="C17" i="15"/>
  <c r="B17" i="15"/>
  <c r="N16" i="15"/>
  <c r="K16" i="15"/>
  <c r="J16" i="15"/>
  <c r="I16" i="15"/>
  <c r="H16" i="15"/>
  <c r="G16" i="15"/>
  <c r="F16" i="15"/>
  <c r="E16" i="15"/>
  <c r="D16" i="15"/>
  <c r="C16" i="15"/>
  <c r="B16" i="15"/>
  <c r="N15" i="15"/>
  <c r="K15" i="15"/>
  <c r="J15" i="15"/>
  <c r="I15" i="15"/>
  <c r="H15" i="15"/>
  <c r="G15" i="15"/>
  <c r="F15" i="15"/>
  <c r="E15" i="15"/>
  <c r="D15" i="15"/>
  <c r="C15" i="15"/>
  <c r="B15" i="15"/>
  <c r="N14" i="15"/>
  <c r="K14" i="15"/>
  <c r="J14" i="15"/>
  <c r="I14" i="15"/>
  <c r="H14" i="15"/>
  <c r="G14" i="15"/>
  <c r="F14" i="15"/>
  <c r="E14" i="15"/>
  <c r="D14" i="15"/>
  <c r="C14" i="15"/>
  <c r="B14" i="15"/>
  <c r="N13" i="15"/>
  <c r="K13" i="15"/>
  <c r="J13" i="15"/>
  <c r="I13" i="15"/>
  <c r="H13" i="15"/>
  <c r="G13" i="15"/>
  <c r="F13" i="15"/>
  <c r="E13" i="15"/>
  <c r="D13" i="15"/>
  <c r="C13" i="15"/>
  <c r="B13" i="15"/>
  <c r="N12" i="15"/>
  <c r="K12" i="15"/>
  <c r="J12" i="15"/>
  <c r="I12" i="15"/>
  <c r="H12" i="15"/>
  <c r="G12" i="15"/>
  <c r="F12" i="15"/>
  <c r="E12" i="15"/>
  <c r="D12" i="15"/>
  <c r="C12" i="15"/>
  <c r="B12" i="15"/>
  <c r="N11" i="15"/>
  <c r="K11" i="15"/>
  <c r="J11" i="15"/>
  <c r="I11" i="15"/>
  <c r="H11" i="15"/>
  <c r="G11" i="15"/>
  <c r="F11" i="15"/>
  <c r="E11" i="15"/>
  <c r="D11" i="15"/>
  <c r="C11" i="15"/>
  <c r="B11" i="15"/>
  <c r="L1" i="15"/>
  <c r="B1" i="15"/>
  <c r="K17" i="14"/>
  <c r="J17" i="14"/>
  <c r="I17" i="14"/>
  <c r="H17" i="14"/>
  <c r="G17" i="14"/>
  <c r="F17" i="14"/>
  <c r="E17" i="14"/>
  <c r="D17" i="14"/>
  <c r="C17" i="14"/>
  <c r="B17" i="14"/>
  <c r="K16" i="14"/>
  <c r="J16" i="14"/>
  <c r="I16" i="14"/>
  <c r="H16" i="14"/>
  <c r="G16" i="14"/>
  <c r="F16" i="14"/>
  <c r="E16" i="14"/>
  <c r="D16" i="14"/>
  <c r="C16" i="14"/>
  <c r="B16" i="14"/>
  <c r="K15" i="14"/>
  <c r="J15" i="14"/>
  <c r="I15" i="14"/>
  <c r="H15" i="14"/>
  <c r="G15" i="14"/>
  <c r="F15" i="14"/>
  <c r="E15" i="14"/>
  <c r="D15" i="14"/>
  <c r="C15" i="14"/>
  <c r="B15" i="14"/>
  <c r="K14" i="14"/>
  <c r="J14" i="14"/>
  <c r="I14" i="14"/>
  <c r="H14" i="14"/>
  <c r="G14" i="14"/>
  <c r="F14" i="14"/>
  <c r="E14" i="14"/>
  <c r="D14" i="14"/>
  <c r="C14" i="14"/>
  <c r="B14" i="14"/>
  <c r="K13" i="14"/>
  <c r="J13" i="14"/>
  <c r="I13" i="14"/>
  <c r="H13" i="14"/>
  <c r="G13" i="14"/>
  <c r="F13" i="14"/>
  <c r="E13" i="14"/>
  <c r="D13" i="14"/>
  <c r="C13" i="14"/>
  <c r="B13" i="14"/>
  <c r="K12" i="14"/>
  <c r="J12" i="14"/>
  <c r="I12" i="14"/>
  <c r="H12" i="14"/>
  <c r="G12" i="14"/>
  <c r="F12" i="14"/>
  <c r="E12" i="14"/>
  <c r="D12" i="14"/>
  <c r="C12" i="14"/>
  <c r="B12" i="14"/>
  <c r="K11" i="14"/>
  <c r="J11" i="14"/>
  <c r="I11" i="14"/>
  <c r="H11" i="14"/>
  <c r="G11" i="14"/>
  <c r="F11" i="14"/>
  <c r="E11" i="14"/>
  <c r="D11" i="14"/>
  <c r="C11" i="14"/>
  <c r="B11" i="14"/>
  <c r="K10" i="14"/>
  <c r="J10" i="14"/>
  <c r="I10" i="14"/>
  <c r="H10" i="14"/>
  <c r="G10" i="14"/>
  <c r="F10" i="14"/>
  <c r="E10" i="14"/>
  <c r="D10" i="14"/>
  <c r="C10" i="14"/>
  <c r="B10" i="14"/>
  <c r="K9" i="14"/>
  <c r="J9" i="14"/>
  <c r="I9" i="14"/>
  <c r="H9" i="14"/>
  <c r="G9" i="14"/>
  <c r="F9" i="14"/>
  <c r="E9" i="14"/>
  <c r="D9" i="14"/>
  <c r="C9" i="14"/>
  <c r="B9" i="14"/>
  <c r="K8" i="14"/>
  <c r="J8" i="14"/>
  <c r="I8" i="14"/>
  <c r="H8" i="14"/>
  <c r="G8" i="14"/>
  <c r="F8" i="14"/>
  <c r="E8" i="14"/>
  <c r="D8" i="14"/>
  <c r="C8" i="14"/>
  <c r="B8" i="14"/>
  <c r="K7" i="14"/>
  <c r="J7" i="14"/>
  <c r="I7" i="14"/>
  <c r="H7" i="14"/>
  <c r="G7" i="14"/>
  <c r="F7" i="14"/>
  <c r="E7" i="14"/>
  <c r="D7" i="14"/>
  <c r="C7" i="14"/>
  <c r="B7" i="14"/>
  <c r="K6" i="14"/>
  <c r="J6" i="14"/>
  <c r="I6" i="14"/>
  <c r="H6" i="14"/>
  <c r="G6" i="14"/>
  <c r="F6" i="14"/>
  <c r="E6" i="14"/>
  <c r="D6" i="14"/>
  <c r="C6" i="14"/>
  <c r="B6" i="14"/>
  <c r="K5" i="14"/>
  <c r="J5" i="14"/>
  <c r="I5" i="14"/>
  <c r="H5" i="14"/>
  <c r="G5" i="14"/>
  <c r="F5" i="14"/>
  <c r="E5" i="14"/>
  <c r="D5" i="14"/>
  <c r="C5" i="14"/>
  <c r="B5" i="14"/>
  <c r="K4" i="14"/>
  <c r="J4" i="14"/>
  <c r="I4" i="14"/>
  <c r="H4" i="14"/>
  <c r="G4" i="14"/>
  <c r="F4" i="14"/>
  <c r="E4" i="14"/>
  <c r="D4" i="14"/>
  <c r="C4" i="14"/>
  <c r="B4" i="14"/>
  <c r="K3" i="14"/>
  <c r="J3" i="14"/>
  <c r="I3" i="14"/>
  <c r="H3" i="14"/>
  <c r="G3" i="14"/>
  <c r="F3" i="14"/>
  <c r="E3" i="14"/>
  <c r="D3" i="14"/>
  <c r="C3" i="14"/>
  <c r="B3" i="14"/>
  <c r="L1" i="14"/>
  <c r="B1" i="14"/>
  <c r="N24" i="13" l="1"/>
  <c r="K24" i="13"/>
  <c r="J24" i="13"/>
  <c r="I24" i="13"/>
  <c r="H24" i="13"/>
  <c r="G24" i="13"/>
  <c r="F24" i="13"/>
  <c r="E24" i="13"/>
  <c r="D24" i="13"/>
  <c r="C24" i="13"/>
  <c r="B24" i="13"/>
  <c r="N23" i="13"/>
  <c r="K23" i="13"/>
  <c r="J23" i="13"/>
  <c r="I23" i="13"/>
  <c r="H23" i="13"/>
  <c r="G23" i="13"/>
  <c r="F23" i="13"/>
  <c r="E23" i="13"/>
  <c r="D23" i="13"/>
  <c r="C23" i="13"/>
  <c r="B23" i="13"/>
  <c r="N22" i="13"/>
  <c r="K22" i="13"/>
  <c r="J22" i="13"/>
  <c r="I22" i="13"/>
  <c r="H22" i="13"/>
  <c r="G22" i="13"/>
  <c r="F22" i="13"/>
  <c r="E22" i="13"/>
  <c r="D22" i="13"/>
  <c r="C22" i="13"/>
  <c r="B22" i="13"/>
  <c r="N21" i="13"/>
  <c r="K21" i="13"/>
  <c r="J21" i="13"/>
  <c r="I21" i="13"/>
  <c r="H21" i="13"/>
  <c r="G21" i="13"/>
  <c r="F21" i="13"/>
  <c r="E21" i="13"/>
  <c r="D21" i="13"/>
  <c r="C21" i="13"/>
  <c r="B21" i="13"/>
  <c r="N20" i="13"/>
  <c r="K20" i="13"/>
  <c r="J20" i="13"/>
  <c r="I20" i="13"/>
  <c r="H20" i="13"/>
  <c r="G20" i="13"/>
  <c r="F20" i="13"/>
  <c r="E20" i="13"/>
  <c r="D20" i="13"/>
  <c r="C20" i="13"/>
  <c r="B20" i="13"/>
  <c r="N19" i="13"/>
  <c r="K19" i="13"/>
  <c r="J19" i="13"/>
  <c r="I19" i="13"/>
  <c r="H19" i="13"/>
  <c r="C19" i="13"/>
  <c r="N17" i="13"/>
  <c r="K17" i="13"/>
  <c r="J17" i="13"/>
  <c r="I17" i="13"/>
  <c r="H17" i="13"/>
  <c r="C17" i="13"/>
  <c r="N15" i="13"/>
  <c r="K15" i="13"/>
  <c r="J15" i="13"/>
  <c r="I15" i="13"/>
  <c r="H15" i="13"/>
  <c r="C15" i="13"/>
  <c r="N13" i="13"/>
  <c r="K13" i="13"/>
  <c r="J13" i="13"/>
  <c r="I13" i="13"/>
  <c r="H13" i="13"/>
  <c r="C13" i="13"/>
  <c r="N11" i="13"/>
  <c r="K11" i="13"/>
  <c r="J11" i="13"/>
  <c r="I11" i="13"/>
  <c r="H11" i="13"/>
  <c r="C11" i="13"/>
  <c r="N9" i="13"/>
  <c r="K9" i="13"/>
  <c r="J9" i="13"/>
  <c r="I9" i="13"/>
  <c r="H9" i="13"/>
  <c r="C9" i="13"/>
  <c r="N8" i="13"/>
  <c r="K8" i="13"/>
  <c r="J8" i="13"/>
  <c r="I8" i="13"/>
  <c r="H8" i="13"/>
  <c r="C8" i="13"/>
  <c r="N7" i="13"/>
  <c r="K7" i="13"/>
  <c r="J7" i="13"/>
  <c r="I7" i="13"/>
  <c r="H7" i="13"/>
  <c r="C7" i="13"/>
  <c r="N5" i="13"/>
  <c r="K5" i="13"/>
  <c r="J5" i="13"/>
  <c r="I5" i="13"/>
  <c r="H5" i="13"/>
  <c r="C5" i="13"/>
  <c r="N3" i="13"/>
  <c r="K3" i="13"/>
  <c r="J3" i="13"/>
  <c r="I3" i="13"/>
  <c r="H3" i="13"/>
  <c r="C3" i="13"/>
  <c r="L1" i="13"/>
  <c r="B1" i="13"/>
  <c r="N5" i="12"/>
  <c r="K5" i="12"/>
  <c r="J5" i="12"/>
  <c r="I5" i="12"/>
  <c r="H5" i="12"/>
  <c r="G5" i="12"/>
  <c r="F5" i="12"/>
  <c r="E5" i="12"/>
  <c r="D5" i="12"/>
  <c r="C5" i="12"/>
  <c r="B5" i="12"/>
  <c r="N4" i="12"/>
  <c r="K4" i="12"/>
  <c r="J4" i="12"/>
  <c r="I4" i="12"/>
  <c r="H4" i="12"/>
  <c r="G4" i="12"/>
  <c r="F4" i="12"/>
  <c r="E4" i="12"/>
  <c r="D4" i="12"/>
  <c r="C4" i="12"/>
  <c r="B4" i="12"/>
  <c r="N3" i="12"/>
  <c r="K3" i="12"/>
  <c r="J3" i="12"/>
  <c r="I3" i="12"/>
  <c r="H3" i="12"/>
  <c r="G3" i="12"/>
  <c r="F3" i="12"/>
  <c r="E3" i="12"/>
  <c r="D3" i="12"/>
  <c r="C3" i="12"/>
  <c r="B3" i="12"/>
  <c r="L1" i="12"/>
  <c r="B1" i="12"/>
  <c r="N22" i="11"/>
  <c r="K22" i="11"/>
  <c r="J22" i="11"/>
  <c r="I22" i="11"/>
  <c r="H22" i="11"/>
  <c r="G22" i="11"/>
  <c r="F22" i="11"/>
  <c r="E22" i="11"/>
  <c r="D22" i="11"/>
  <c r="C22" i="11"/>
  <c r="B22" i="11"/>
  <c r="N21" i="11"/>
  <c r="K21" i="11"/>
  <c r="J21" i="11"/>
  <c r="I21" i="11"/>
  <c r="H21" i="11"/>
  <c r="G21" i="11"/>
  <c r="F21" i="11"/>
  <c r="E21" i="11"/>
  <c r="D21" i="11"/>
  <c r="C21" i="11"/>
  <c r="B21" i="11"/>
  <c r="N20" i="11"/>
  <c r="K20" i="11"/>
  <c r="J20" i="11"/>
  <c r="I20" i="11"/>
  <c r="H20" i="11"/>
  <c r="G20" i="11"/>
  <c r="F20" i="11"/>
  <c r="E20" i="11"/>
  <c r="D20" i="11"/>
  <c r="C20" i="11"/>
  <c r="B20" i="11"/>
  <c r="N19" i="11"/>
  <c r="K19" i="11"/>
  <c r="J19" i="11"/>
  <c r="I19" i="11"/>
  <c r="H19" i="11"/>
  <c r="G19" i="11"/>
  <c r="F19" i="11"/>
  <c r="E19" i="11"/>
  <c r="D19" i="11"/>
  <c r="C19" i="11"/>
  <c r="B19" i="11"/>
  <c r="N18" i="11"/>
  <c r="K18" i="11"/>
  <c r="J18" i="11"/>
  <c r="I18" i="11"/>
  <c r="H18" i="11"/>
  <c r="G18" i="11"/>
  <c r="F18" i="11"/>
  <c r="E18" i="11"/>
  <c r="D18" i="11"/>
  <c r="C18" i="11"/>
  <c r="B18" i="11"/>
  <c r="N17" i="11"/>
  <c r="K17" i="11"/>
  <c r="J17" i="11"/>
  <c r="I17" i="11"/>
  <c r="H17" i="11"/>
  <c r="G17" i="11"/>
  <c r="F17" i="11"/>
  <c r="E17" i="11"/>
  <c r="D17" i="11"/>
  <c r="C17" i="11"/>
  <c r="B17" i="11"/>
  <c r="N16" i="11"/>
  <c r="K16" i="11"/>
  <c r="J16" i="11"/>
  <c r="I16" i="11"/>
  <c r="H16" i="11"/>
  <c r="G16" i="11"/>
  <c r="F16" i="11"/>
  <c r="E16" i="11"/>
  <c r="D16" i="11"/>
  <c r="C16" i="11"/>
  <c r="B16" i="11"/>
  <c r="N15" i="11"/>
  <c r="K15" i="11"/>
  <c r="J15" i="11"/>
  <c r="I15" i="11"/>
  <c r="H15" i="11"/>
  <c r="G15" i="11"/>
  <c r="F15" i="11"/>
  <c r="E15" i="11"/>
  <c r="D15" i="11"/>
  <c r="C15" i="11"/>
  <c r="B15" i="11"/>
  <c r="N14" i="11"/>
  <c r="K14" i="11"/>
  <c r="J14" i="11"/>
  <c r="I14" i="11"/>
  <c r="H14" i="11"/>
  <c r="G14" i="11"/>
  <c r="F14" i="11"/>
  <c r="E14" i="11"/>
  <c r="D14" i="11"/>
  <c r="C14" i="11"/>
  <c r="B14" i="11"/>
  <c r="N13" i="11"/>
  <c r="K13" i="11"/>
  <c r="J13" i="11"/>
  <c r="I13" i="11"/>
  <c r="H13" i="11"/>
  <c r="G13" i="11"/>
  <c r="F13" i="11"/>
  <c r="E13" i="11"/>
  <c r="D13" i="11"/>
  <c r="C13" i="11"/>
  <c r="B13" i="11"/>
  <c r="L1" i="11"/>
  <c r="B1" i="11"/>
  <c r="N23" i="10"/>
  <c r="K23" i="10"/>
  <c r="J23" i="10"/>
  <c r="I23" i="10"/>
  <c r="H23" i="10"/>
  <c r="G23" i="10"/>
  <c r="F23" i="10"/>
  <c r="E23" i="10"/>
  <c r="D23" i="10"/>
  <c r="C23" i="10"/>
  <c r="B23" i="10"/>
  <c r="N22" i="10"/>
  <c r="K22" i="10"/>
  <c r="J22" i="10"/>
  <c r="I22" i="10"/>
  <c r="H22" i="10"/>
  <c r="G22" i="10"/>
  <c r="F22" i="10"/>
  <c r="E22" i="10"/>
  <c r="D22" i="10"/>
  <c r="C22" i="10"/>
  <c r="B22" i="10"/>
  <c r="N21" i="10"/>
  <c r="K21" i="10"/>
  <c r="J21" i="10"/>
  <c r="I21" i="10"/>
  <c r="H21" i="10"/>
  <c r="G21" i="10"/>
  <c r="F21" i="10"/>
  <c r="E21" i="10"/>
  <c r="D21" i="10"/>
  <c r="C21" i="10"/>
  <c r="B21" i="10"/>
  <c r="N20" i="10"/>
  <c r="K20" i="10"/>
  <c r="J20" i="10"/>
  <c r="I20" i="10"/>
  <c r="H20" i="10"/>
  <c r="G20" i="10"/>
  <c r="F20" i="10"/>
  <c r="E20" i="10"/>
  <c r="D20" i="10"/>
  <c r="C20" i="10"/>
  <c r="B20" i="10"/>
  <c r="N19" i="10"/>
  <c r="K19" i="10"/>
  <c r="J19" i="10"/>
  <c r="I19" i="10"/>
  <c r="H19" i="10"/>
  <c r="G19" i="10"/>
  <c r="F19" i="10"/>
  <c r="E19" i="10"/>
  <c r="D19" i="10"/>
  <c r="C19" i="10"/>
  <c r="B19" i="10"/>
  <c r="N18" i="10"/>
  <c r="K18" i="10"/>
  <c r="J18" i="10"/>
  <c r="I18" i="10"/>
  <c r="H18" i="10"/>
  <c r="G18" i="10"/>
  <c r="F18" i="10"/>
  <c r="E18" i="10"/>
  <c r="D18" i="10"/>
  <c r="C18" i="10"/>
  <c r="B18" i="10"/>
  <c r="N17" i="10"/>
  <c r="K17" i="10"/>
  <c r="J17" i="10"/>
  <c r="I17" i="10"/>
  <c r="H17" i="10"/>
  <c r="G17" i="10"/>
  <c r="F17" i="10"/>
  <c r="E17" i="10"/>
  <c r="D17" i="10"/>
  <c r="C17" i="10"/>
  <c r="B17" i="10"/>
  <c r="L1" i="10"/>
  <c r="B1" i="10"/>
  <c r="N20" i="9"/>
  <c r="K20" i="9"/>
  <c r="J20" i="9"/>
  <c r="I20" i="9"/>
  <c r="H20" i="9"/>
  <c r="G20" i="9"/>
  <c r="F20" i="9"/>
  <c r="E20" i="9"/>
  <c r="D20" i="9"/>
  <c r="C20" i="9"/>
  <c r="B20" i="9"/>
  <c r="N19" i="9"/>
  <c r="K19" i="9"/>
  <c r="J19" i="9"/>
  <c r="I19" i="9"/>
  <c r="H19" i="9"/>
  <c r="G19" i="9"/>
  <c r="F19" i="9"/>
  <c r="E19" i="9"/>
  <c r="D19" i="9"/>
  <c r="C19" i="9"/>
  <c r="B19" i="9"/>
  <c r="N18" i="9"/>
  <c r="K18" i="9"/>
  <c r="J18" i="9"/>
  <c r="I18" i="9"/>
  <c r="H18" i="9"/>
  <c r="G18" i="9"/>
  <c r="F18" i="9"/>
  <c r="E18" i="9"/>
  <c r="D18" i="9"/>
  <c r="C18" i="9"/>
  <c r="B18" i="9"/>
  <c r="N17" i="9"/>
  <c r="K17" i="9"/>
  <c r="J17" i="9"/>
  <c r="I17" i="9"/>
  <c r="H17" i="9"/>
  <c r="G17" i="9"/>
  <c r="F17" i="9"/>
  <c r="E17" i="9"/>
  <c r="D17" i="9"/>
  <c r="C17" i="9"/>
  <c r="B17" i="9"/>
  <c r="N16" i="9"/>
  <c r="K16" i="9"/>
  <c r="J16" i="9"/>
  <c r="I16" i="9"/>
  <c r="H16" i="9"/>
  <c r="G16" i="9"/>
  <c r="F16" i="9"/>
  <c r="E16" i="9"/>
  <c r="D16" i="9"/>
  <c r="C16" i="9"/>
  <c r="B16" i="9"/>
  <c r="N15" i="9"/>
  <c r="K15" i="9"/>
  <c r="J15" i="9"/>
  <c r="I15" i="9"/>
  <c r="H15" i="9"/>
  <c r="G15" i="9"/>
  <c r="F15" i="9"/>
  <c r="E15" i="9"/>
  <c r="D15" i="9"/>
  <c r="C15" i="9"/>
  <c r="B15" i="9"/>
  <c r="N14" i="9"/>
  <c r="K14" i="9"/>
  <c r="J14" i="9"/>
  <c r="I14" i="9"/>
  <c r="H14" i="9"/>
  <c r="G14" i="9"/>
  <c r="F14" i="9"/>
  <c r="E14" i="9"/>
  <c r="D14" i="9"/>
  <c r="C14" i="9"/>
  <c r="B14" i="9"/>
  <c r="N13" i="9"/>
  <c r="K13" i="9"/>
  <c r="J13" i="9"/>
  <c r="I13" i="9"/>
  <c r="H13" i="9"/>
  <c r="G13" i="9"/>
  <c r="F13" i="9"/>
  <c r="E13" i="9"/>
  <c r="D13" i="9"/>
  <c r="C13" i="9"/>
  <c r="B13" i="9"/>
  <c r="N12" i="9"/>
  <c r="K12" i="9"/>
  <c r="J12" i="9"/>
  <c r="I12" i="9"/>
  <c r="H12" i="9"/>
  <c r="G12" i="9"/>
  <c r="F12" i="9"/>
  <c r="E12" i="9"/>
  <c r="D12" i="9"/>
  <c r="C12" i="9"/>
  <c r="B12" i="9"/>
  <c r="N11" i="9"/>
  <c r="K11" i="9"/>
  <c r="J11" i="9"/>
  <c r="I11" i="9"/>
  <c r="H11" i="9"/>
  <c r="G11" i="9"/>
  <c r="F11" i="9"/>
  <c r="E11" i="9"/>
  <c r="D11" i="9"/>
  <c r="C11" i="9"/>
  <c r="B11" i="9"/>
  <c r="L1" i="9"/>
  <c r="B1" i="9"/>
  <c r="N24" i="8"/>
  <c r="K24" i="8"/>
  <c r="J24" i="8"/>
  <c r="I24" i="8"/>
  <c r="H24" i="8"/>
  <c r="G24" i="8"/>
  <c r="F24" i="8"/>
  <c r="E24" i="8"/>
  <c r="D24" i="8"/>
  <c r="C24" i="8"/>
  <c r="B24" i="8"/>
  <c r="N23" i="8"/>
  <c r="K23" i="8"/>
  <c r="J23" i="8"/>
  <c r="I23" i="8"/>
  <c r="H23" i="8"/>
  <c r="G23" i="8"/>
  <c r="F23" i="8"/>
  <c r="E23" i="8"/>
  <c r="D23" i="8"/>
  <c r="C23" i="8"/>
  <c r="B23" i="8"/>
  <c r="N22" i="8"/>
  <c r="K22" i="8"/>
  <c r="J22" i="8"/>
  <c r="I22" i="8"/>
  <c r="H22" i="8"/>
  <c r="G22" i="8"/>
  <c r="F22" i="8"/>
  <c r="E22" i="8"/>
  <c r="D22" i="8"/>
  <c r="C22" i="8"/>
  <c r="B22" i="8"/>
  <c r="N21" i="8"/>
  <c r="K21" i="8"/>
  <c r="J21" i="8"/>
  <c r="I21" i="8"/>
  <c r="H21" i="8"/>
  <c r="G21" i="8"/>
  <c r="F21" i="8"/>
  <c r="E21" i="8"/>
  <c r="D21" i="8"/>
  <c r="C21" i="8"/>
  <c r="B21" i="8"/>
  <c r="N20" i="8"/>
  <c r="K20" i="8"/>
  <c r="J20" i="8"/>
  <c r="I20" i="8"/>
  <c r="H20" i="8"/>
  <c r="G20" i="8"/>
  <c r="F20" i="8"/>
  <c r="E20" i="8"/>
  <c r="D20" i="8"/>
  <c r="C20" i="8"/>
  <c r="B20" i="8"/>
  <c r="N19" i="8"/>
  <c r="K19" i="8"/>
  <c r="J19" i="8"/>
  <c r="I19" i="8"/>
  <c r="H19" i="8"/>
  <c r="G19" i="8"/>
  <c r="F19" i="8"/>
  <c r="E19" i="8"/>
  <c r="D19" i="8"/>
  <c r="C19" i="8"/>
  <c r="B19" i="8"/>
  <c r="N18" i="8"/>
  <c r="K18" i="8"/>
  <c r="J18" i="8"/>
  <c r="I18" i="8"/>
  <c r="H18" i="8"/>
  <c r="G18" i="8"/>
  <c r="F18" i="8"/>
  <c r="E18" i="8"/>
  <c r="D18" i="8"/>
  <c r="C18" i="8"/>
  <c r="B18" i="8"/>
  <c r="L1" i="8"/>
  <c r="B1" i="8"/>
  <c r="N21" i="7"/>
  <c r="K21" i="7"/>
  <c r="J21" i="7"/>
  <c r="I21" i="7"/>
  <c r="H21" i="7"/>
  <c r="G21" i="7"/>
  <c r="F21" i="7"/>
  <c r="E21" i="7"/>
  <c r="D21" i="7"/>
  <c r="C21" i="7"/>
  <c r="B21" i="7"/>
  <c r="N20" i="7"/>
  <c r="K20" i="7"/>
  <c r="J20" i="7"/>
  <c r="I20" i="7"/>
  <c r="H20" i="7"/>
  <c r="G20" i="7"/>
  <c r="F20" i="7"/>
  <c r="E20" i="7"/>
  <c r="D20" i="7"/>
  <c r="C20" i="7"/>
  <c r="B20" i="7"/>
  <c r="N19" i="7"/>
  <c r="K19" i="7"/>
  <c r="J19" i="7"/>
  <c r="I19" i="7"/>
  <c r="H19" i="7"/>
  <c r="G19" i="7"/>
  <c r="F19" i="7"/>
  <c r="E19" i="7"/>
  <c r="D19" i="7"/>
  <c r="C19" i="7"/>
  <c r="B19" i="7"/>
  <c r="N18" i="7"/>
  <c r="K18" i="7"/>
  <c r="J18" i="7"/>
  <c r="I18" i="7"/>
  <c r="H18" i="7"/>
  <c r="G18" i="7"/>
  <c r="F18" i="7"/>
  <c r="E18" i="7"/>
  <c r="D18" i="7"/>
  <c r="C18" i="7"/>
  <c r="B18" i="7"/>
  <c r="N17" i="7"/>
  <c r="K17" i="7"/>
  <c r="J17" i="7"/>
  <c r="I17" i="7"/>
  <c r="H17" i="7"/>
  <c r="G17" i="7"/>
  <c r="F17" i="7"/>
  <c r="E17" i="7"/>
  <c r="D17" i="7"/>
  <c r="C17" i="7"/>
  <c r="B17" i="7"/>
  <c r="N16" i="7"/>
  <c r="K16" i="7"/>
  <c r="J16" i="7"/>
  <c r="I16" i="7"/>
  <c r="H16" i="7"/>
  <c r="G16" i="7"/>
  <c r="F16" i="7"/>
  <c r="E16" i="7"/>
  <c r="D16" i="7"/>
  <c r="C16" i="7"/>
  <c r="B16" i="7"/>
  <c r="N15" i="7"/>
  <c r="K15" i="7"/>
  <c r="J15" i="7"/>
  <c r="I15" i="7"/>
  <c r="H15" i="7"/>
  <c r="G15" i="7"/>
  <c r="F15" i="7"/>
  <c r="E15" i="7"/>
  <c r="D15" i="7"/>
  <c r="C15" i="7"/>
  <c r="B15" i="7"/>
  <c r="N14" i="7"/>
  <c r="K14" i="7"/>
  <c r="J14" i="7"/>
  <c r="I14" i="7"/>
  <c r="H14" i="7"/>
  <c r="G14" i="7"/>
  <c r="F14" i="7"/>
  <c r="E14" i="7"/>
  <c r="D14" i="7"/>
  <c r="C14" i="7"/>
  <c r="B14" i="7"/>
  <c r="N13" i="7"/>
  <c r="K13" i="7"/>
  <c r="J13" i="7"/>
  <c r="I13" i="7"/>
  <c r="H13" i="7"/>
  <c r="G13" i="7"/>
  <c r="F13" i="7"/>
  <c r="E13" i="7"/>
  <c r="D13" i="7"/>
  <c r="C13" i="7"/>
  <c r="B13" i="7"/>
  <c r="L1" i="7"/>
  <c r="B1" i="7"/>
  <c r="N21" i="6"/>
  <c r="K21" i="6"/>
  <c r="J21" i="6"/>
  <c r="I21" i="6"/>
  <c r="H21" i="6"/>
  <c r="G21" i="6"/>
  <c r="F21" i="6"/>
  <c r="E21" i="6"/>
  <c r="D21" i="6"/>
  <c r="C21" i="6"/>
  <c r="B21" i="6"/>
  <c r="N20" i="6"/>
  <c r="K20" i="6"/>
  <c r="J20" i="6"/>
  <c r="I20" i="6"/>
  <c r="H20" i="6"/>
  <c r="G20" i="6"/>
  <c r="F20" i="6"/>
  <c r="E20" i="6"/>
  <c r="D20" i="6"/>
  <c r="C20" i="6"/>
  <c r="B20" i="6"/>
  <c r="N19" i="6"/>
  <c r="K19" i="6"/>
  <c r="J19" i="6"/>
  <c r="I19" i="6"/>
  <c r="H19" i="6"/>
  <c r="G19" i="6"/>
  <c r="F19" i="6"/>
  <c r="E19" i="6"/>
  <c r="D19" i="6"/>
  <c r="C19" i="6"/>
  <c r="B19" i="6"/>
  <c r="N18" i="6"/>
  <c r="K18" i="6"/>
  <c r="J18" i="6"/>
  <c r="I18" i="6"/>
  <c r="H18" i="6"/>
  <c r="G18" i="6"/>
  <c r="F18" i="6"/>
  <c r="E18" i="6"/>
  <c r="D18" i="6"/>
  <c r="C18" i="6"/>
  <c r="B18" i="6"/>
  <c r="N17" i="6"/>
  <c r="K17" i="6"/>
  <c r="J17" i="6"/>
  <c r="I17" i="6"/>
  <c r="H17" i="6"/>
  <c r="G17" i="6"/>
  <c r="F17" i="6"/>
  <c r="E17" i="6"/>
  <c r="D17" i="6"/>
  <c r="C17" i="6"/>
  <c r="B17" i="6"/>
  <c r="N16" i="6"/>
  <c r="K16" i="6"/>
  <c r="J16" i="6"/>
  <c r="I16" i="6"/>
  <c r="H16" i="6"/>
  <c r="G16" i="6"/>
  <c r="F16" i="6"/>
  <c r="E16" i="6"/>
  <c r="D16" i="6"/>
  <c r="C16" i="6"/>
  <c r="B16" i="6"/>
  <c r="L1" i="6"/>
  <c r="B1" i="6"/>
  <c r="N7" i="5"/>
  <c r="N8" i="5"/>
  <c r="N9" i="5"/>
  <c r="N18" i="5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N12" i="5"/>
  <c r="N11" i="5"/>
  <c r="N10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<sst xmlns="http://schemas.openxmlformats.org/spreadsheetml/2006/main" count="1149" uniqueCount="534">
  <si>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</si>
  <si>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</si>
  <si>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</si>
  <si>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</si>
  <si>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</si>
  <si>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</si>
  <si>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</si>
  <si>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</si>
  <si>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</si>
  <si>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</si>
  <si>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</si>
  <si>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</si>
  <si>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</si>
  <si>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</si>
  <si>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</si>
  <si>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</si>
  <si>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</si>
  <si>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</si>
  <si>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</si>
  <si>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</si>
  <si>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</si>
  <si>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</si>
  <si>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</si>
  <si>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</si>
  <si>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</si>
  <si>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</si>
  <si>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</si>
  <si>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</si>
  <si>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</si>
  <si>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</si>
  <si>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</si>
  <si>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</si>
  <si>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</si>
  <si>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</si>
  <si>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</si>
  <si>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</si>
  <si>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</si>
  <si>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</si>
  <si>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</si>
  <si>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</si>
  <si>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</si>
  <si>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</si>
  <si>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</si>
  <si>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</si>
  <si>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</si>
  <si>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</si>
  <si>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</si>
  <si>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</si>
  <si>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</si>
  <si>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</si>
  <si>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</si>
  <si>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</si>
  <si>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</si>
  <si>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</si>
  <si>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</si>
  <si>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</si>
  <si>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</si>
  <si>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</si>
  <si>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</si>
  <si>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</si>
  <si>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</si>
  <si>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</si>
  <si>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</si>
  <si>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</si>
  <si>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</si>
  <si>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</si>
  <si>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</si>
  <si>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</si>
  <si>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</si>
  <si>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</si>
  <si>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</si>
  <si>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</si>
  <si>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</si>
  <si>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</si>
  <si>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</si>
  <si>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</si>
  <si>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</si>
  <si>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</si>
  <si>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</si>
  <si>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</si>
  <si>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</si>
  <si>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</si>
  <si>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</si>
  <si>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</si>
  <si>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</si>
  <si>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</si>
  <si>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</si>
  <si>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</si>
  <si>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</si>
  <si>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</si>
  <si>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</si>
  <si>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</si>
  <si>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</si>
  <si>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</si>
  <si>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</si>
  <si>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</si>
  <si>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</si>
  <si>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</si>
  <si>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</si>
  <si>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</si>
  <si>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</si>
  <si>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</si>
  <si>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</si>
  <si>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</si>
  <si>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</si>
  <si>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</si>
  <si>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</si>
  <si>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</si>
  <si>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</si>
  <si>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</si>
  <si>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</si>
  <si>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</si>
  <si>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</si>
  <si>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</si>
  <si>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</si>
  <si>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</si>
  <si>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</si>
  <si>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</si>
  <si>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</si>
  <si>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</si>
  <si>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</si>
  <si>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</si>
  <si>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</si>
  <si>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</si>
  <si>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</si>
  <si>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</si>
  <si>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</si>
  <si>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</si>
  <si>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</si>
  <si>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</si>
  <si>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</si>
  <si>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</si>
  <si>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</si>
  <si>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</si>
  <si>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</si>
  <si>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</si>
  <si>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</si>
  <si>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</si>
  <si>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</si>
  <si>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</si>
  <si>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</si>
  <si>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</si>
  <si>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</si>
  <si>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</si>
  <si>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</si>
  <si>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</si>
  <si>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</si>
  <si>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</si>
  <si>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</si>
  <si>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</si>
  <si>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</si>
  <si>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</si>
  <si>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</si>
  <si>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</si>
  <si>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</si>
  <si>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</si>
  <si>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</si>
  <si>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</si>
  <si>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</si>
  <si>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</si>
  <si>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</si>
  <si>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</si>
  <si>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</si>
  <si>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</si>
  <si>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</si>
  <si>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</si>
  <si>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</si>
  <si>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</si>
  <si>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</si>
  <si>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</si>
  <si>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</si>
  <si>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</si>
  <si>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</si>
  <si>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</si>
  <si>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</si>
  <si>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</si>
  <si>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</si>
  <si>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</si>
  <si>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</si>
  <si>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</si>
  <si>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</si>
  <si>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</si>
  <si>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</si>
  <si>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</si>
  <si>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</si>
  <si>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</si>
  <si>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</si>
  <si>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</si>
  <si>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</si>
  <si>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</si>
  <si>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</si>
  <si>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</si>
  <si>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</si>
  <si>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</si>
  <si>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</si>
  <si>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</si>
  <si>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</si>
  <si>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</si>
  <si>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</si>
  <si>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</si>
  <si>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</si>
  <si>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</si>
  <si>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</si>
  <si>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</si>
  <si>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</si>
  <si>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</si>
  <si>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</si>
  <si>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</si>
  <si>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</si>
  <si>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</si>
  <si>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</si>
  <si>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</si>
  <si>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</si>
  <si>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</si>
  <si>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</si>
  <si>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</si>
  <si>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</si>
  <si>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</si>
  <si>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</si>
  <si>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</si>
  <si>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</si>
  <si>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</si>
  <si>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</si>
  <si>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</si>
  <si>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</si>
  <si>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</si>
  <si>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</si>
  <si>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</si>
  <si>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</si>
  <si>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</si>
  <si>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</si>
  <si>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</si>
  <si>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</si>
  <si>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</si>
  <si>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</si>
  <si>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</si>
  <si>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</si>
  <si>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</si>
  <si>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</si>
  <si>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</si>
  <si>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</si>
  <si>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</si>
  <si>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</si>
  <si>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</si>
  <si>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</si>
  <si>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</si>
  <si>
    <t>OK</t>
  </si>
  <si>
    <t>S-2026-05-73</t>
  </si>
  <si>
    <t>RPRO-260523-0221</t>
  </si>
  <si>
    <t>BDB-000376</t>
  </si>
  <si>
    <t>PVN-004323</t>
  </si>
  <si>
    <t>OrthoLite Regular BLACK/19-4007TPX Flat Sheet 0.11D 25+/-4 Asker C 1.1M 2M 13mm</t>
  </si>
  <si>
    <t>S-2026-05-74</t>
  </si>
  <si>
    <t>RPRO-260523-0222</t>
  </si>
  <si>
    <t>S-2026-05-75</t>
  </si>
  <si>
    <t>RPRO-260523-0223</t>
  </si>
  <si>
    <t>PVN-004056</t>
  </si>
  <si>
    <t>OrthoLite X-25 BILLIARD/16-5427TPX Flat Sheet 0.12D 20+/-4 Asker C 1.1M 2M 12mm</t>
  </si>
  <si>
    <t>FOOTJOY</t>
  </si>
  <si>
    <t>S-2026-05-76</t>
  </si>
  <si>
    <t>RPRO-260525-0001</t>
  </si>
  <si>
    <t>S-2026-05-77</t>
  </si>
  <si>
    <t>RPRO-260525-0002</t>
  </si>
  <si>
    <t>S-2026-05-78</t>
  </si>
  <si>
    <t>RPRO-260525-0003</t>
  </si>
  <si>
    <t>S-2026-05-79</t>
  </si>
  <si>
    <t>RPRO-260525-0004</t>
  </si>
  <si>
    <t>PVN-003601</t>
  </si>
  <si>
    <t>OrthoLite Regular-Hybrid SEEDPEARL/12-0703TPX Hybrid Flat Sheet 0.11D 25+/-4 Asker C 1.1M 2M 20mm</t>
  </si>
  <si>
    <t>S-2026-05-81</t>
  </si>
  <si>
    <t>RPRO-260525-0006</t>
  </si>
  <si>
    <t>PVN-003414</t>
  </si>
  <si>
    <t>OrthoLite Regular-Hybrid SEEDPEARL/12-0703TPX Hybrid 0.11D 25+/-4 Asker C 1.1M 2M 12mm</t>
  </si>
  <si>
    <t>S-2026-05-80</t>
  </si>
  <si>
    <t>RPRO-260525-0005</t>
  </si>
  <si>
    <t>PVN-002478</t>
  </si>
  <si>
    <t>OrthoLite Eco LT-Hybrid SEEDPEARL/12-0703TPX Hybrid 0.11D 25+/-4 Asker C 1.1M 2M 4mm</t>
  </si>
  <si>
    <t>S-2026-05-85</t>
  </si>
  <si>
    <t>RPRO-260525-0009</t>
  </si>
  <si>
    <t>OrthoLite Eco LT-Hybrid SEEDPEARL/12-0703TPX Hybrid Flat Sheet 0.11D 25+/-4 Asker C 1.1M 2M 4mm</t>
  </si>
  <si>
    <t>SSO-2605-01304   - URGENT (6-2)</t>
  </si>
  <si>
    <t>S-2026-05-82</t>
  </si>
  <si>
    <t>RPRO-260525-0007</t>
  </si>
  <si>
    <t>S-2026-05-83</t>
  </si>
  <si>
    <t>RPRO-260525-0008</t>
  </si>
  <si>
    <t>S-2026-05-86</t>
  </si>
  <si>
    <t>RPRO-260527-0578</t>
  </si>
  <si>
    <t>PVN-004195</t>
  </si>
  <si>
    <t>OrthoLite IMPERIAL SEEDPEARL/12-0703TPX Flat Sheet 0.22D 25+/-4 Asker C 1.1M 1.47M 4mm</t>
  </si>
  <si>
    <t xml:space="preserve"> Sample</t>
  </si>
  <si>
    <t>LA SHEET</t>
  </si>
  <si>
    <t>Rất gấp</t>
  </si>
  <si>
    <t>S-2026-05-87</t>
  </si>
  <si>
    <t>RPRO-260527-0579</t>
  </si>
  <si>
    <t>S-2026-05-88</t>
  </si>
  <si>
    <t>RPRO-260527-0580</t>
  </si>
  <si>
    <t>BDB-000162</t>
  </si>
  <si>
    <t>PVN-001566</t>
  </si>
  <si>
    <t>OrthoLite Ultra-Nike SEEDPEARL/12-0703TPX Flat Sheet 0.085D 25+/-4 Asker C 1.1M 2M 4mm</t>
  </si>
  <si>
    <t xml:space="preserve"> Sample/ URGENT</t>
  </si>
  <si>
    <t>DIE CUT</t>
  </si>
  <si>
    <t>Gấp</t>
  </si>
  <si>
    <t>S-2026-05-89</t>
  </si>
  <si>
    <t>RPRO-260527-0581</t>
  </si>
  <si>
    <t>BDB-000129</t>
  </si>
  <si>
    <t>PVN-001550</t>
  </si>
  <si>
    <t>OrthoLite Regular-Nike AIR BLUE/16-4134TPX Flat Sheet 0.11D 25+/-4 Asker C 1.1M 1.7M 2mm</t>
  </si>
  <si>
    <t>S-2026-05-90</t>
  </si>
  <si>
    <t>RPRO-260527-0582</t>
  </si>
  <si>
    <t>BDB-000157</t>
  </si>
  <si>
    <t>PVN-003573</t>
  </si>
  <si>
    <t>OrthoLite X-35-Hybrid-Nike SEEDPEARL/12-0703TPX Hybrid Flat Sheet 0.145D 25+/-4 Asker C 1.1M 2M 4.2mm</t>
  </si>
  <si>
    <t>S-2026-05-91</t>
  </si>
  <si>
    <t>RPRO-260527-0583</t>
  </si>
  <si>
    <t>BDB-000385</t>
  </si>
  <si>
    <t>PVN-004381</t>
  </si>
  <si>
    <t>OrthoLite Impressions-Nike TAWNY PORT/19-1725TPX Flat Sheet 0.15D 70-80 Asker F 1.1M 1.7M 3mm</t>
  </si>
  <si>
    <t>S-2026-05-93</t>
  </si>
  <si>
    <t>RPRO-260529-0339</t>
  </si>
  <si>
    <t>SSO-2605-01455   - URGENT (6-5)</t>
  </si>
  <si>
    <t>TAY</t>
  </si>
  <si>
    <t>S-2026-05-94</t>
  </si>
  <si>
    <t>RPRO-260529-0340</t>
  </si>
  <si>
    <t>PVN-003815</t>
  </si>
  <si>
    <t>OrthoLite Ultra-Hybrid SEEDPEARL/12-0703TPX Hybrid Flat Sheet 0.085D 25+/-4 Asker C 1.1M 2M 6mm</t>
  </si>
  <si>
    <t>ok</t>
  </si>
  <si>
    <t>S-2026-05-100</t>
  </si>
  <si>
    <t>RPRO-260529-0346</t>
  </si>
  <si>
    <t>PVN-003324</t>
  </si>
  <si>
    <t>OrthoLite X-40 TRUE BLUE/19-4057TPX Flat Sheet 0.16D 25+/-4 Asker C 1.1M 1.7M 7.5mm</t>
  </si>
  <si>
    <t>S-2026-05-95</t>
  </si>
  <si>
    <t>RPRO-260529-0341</t>
  </si>
  <si>
    <t>BDB-000314</t>
  </si>
  <si>
    <t>PVN-004066</t>
  </si>
  <si>
    <t>OrthoLite Regular NEUTRAL GRAY/17-4402TPX Flat Sheet 0.16D 51+/-4 Asker C 1.1M 1.7M 9.5mm</t>
  </si>
  <si>
    <t>S-2026-05-96</t>
  </si>
  <si>
    <t>RPRO-260529-0342</t>
  </si>
  <si>
    <t>BDB-000382</t>
  </si>
  <si>
    <t>PVN-004363</t>
  </si>
  <si>
    <t>OrthoLite Regular FOSSIL/17-0909TPX Flat Sheet 0.16D 51+/-4 Asker C 1.1M 1.7M 9.5mm</t>
  </si>
  <si>
    <t>S-2026-05-97</t>
  </si>
  <si>
    <t>RPRO-260529-0343</t>
  </si>
  <si>
    <t>BDB-000387</t>
  </si>
  <si>
    <t>PVN-004385</t>
  </si>
  <si>
    <t>OrthoLite Regular AMAZON/18-6024TPX Flat Sheet 0.16D 51+/-4 Asker C 1.1M 1.7M 9.5mm</t>
  </si>
  <si>
    <t>S-2026-05-98</t>
  </si>
  <si>
    <t>RPRO-260529-0344</t>
  </si>
  <si>
    <t>BDB-000378</t>
  </si>
  <si>
    <t>PVN-004336</t>
  </si>
  <si>
    <t>OrthoLite Regular AMAZON/18-6024TPX Flat Sheet 0.15D 45+/-4 Asker C 1.1M 1.7M 9.8mm</t>
  </si>
  <si>
    <t>S-2026-05-99</t>
  </si>
  <si>
    <t>RPRO-260529-0345</t>
  </si>
  <si>
    <t>BDB-000291</t>
  </si>
  <si>
    <t>PVN-004250</t>
  </si>
  <si>
    <t>OrthoLite Regular NEUTRAL GRAY/17-4402TPX Flat Sheet 0.15D 45+/-4 Asker C 1.1M 1.7M 9.8mm</t>
  </si>
  <si>
    <t>S-2026-05-102</t>
  </si>
  <si>
    <t>RPRO-260601-0847</t>
  </si>
  <si>
    <t>S-2026-05-103</t>
  </si>
  <si>
    <t>RPRO-260601-0848</t>
  </si>
  <si>
    <t>PVN-002973</t>
  </si>
  <si>
    <t>UltraLite-Hybrid OrthoLite SEEDPEARL/12-0703TPX Hybrid Flat Sheet 0.085D 25+/-4 Asker C 1.1M 2M 4.5mm</t>
  </si>
  <si>
    <t>S-2026-05-104</t>
  </si>
  <si>
    <t>RPRO-260601-0849</t>
  </si>
  <si>
    <t>PVN-002465</t>
  </si>
  <si>
    <t>OrthoLite Regular-Hybrid SEEDPEARL/12-0703TPX Hybrid Flat Sheet 0.11D 25+/-4 Asker C 1.1M 2M 5mm</t>
  </si>
  <si>
    <t>S-2026-05-105</t>
  </si>
  <si>
    <t>RPRO-260601-0850</t>
  </si>
  <si>
    <t>PVN-003630</t>
  </si>
  <si>
    <t>OrthoLite Ultra GREEN/16-5932TPX Flat Sheet 0.085D 25+/-4 Asker C 1.1M 2M 2mm</t>
  </si>
  <si>
    <t>UNDER ARMOUR</t>
  </si>
  <si>
    <t>SSO-2606-00021    - URGENT (6-8)</t>
  </si>
  <si>
    <t>S-2026-05-106</t>
  </si>
  <si>
    <t>RPRO-260601-0851</t>
  </si>
  <si>
    <t>BDB-000180</t>
  </si>
  <si>
    <t>PVN-003236</t>
  </si>
  <si>
    <t>OrthoLite Eco LT-Hybrid-Converse SEEDPEARL/12-0703TPX Hybrid Flat Sheet 0.13D 25+/-4 Asker C 1.1M 2M 5mm</t>
  </si>
  <si>
    <t>CONVERSE</t>
  </si>
  <si>
    <t>Die cut</t>
  </si>
  <si>
    <t>S-2026-06-01</t>
  </si>
  <si>
    <t>RPRO-260602-0720</t>
  </si>
  <si>
    <t>PVN-004433</t>
  </si>
  <si>
    <t>OrthoLite X-30-Hybrid BROWN SUGAR/17-1134TPX Hybrid Flat Sheet 0.13D 25+/-4 Asker C 1.1M 2M 15mm</t>
  </si>
  <si>
    <t xml:space="preserve">DIE-CUT
URGENT </t>
  </si>
  <si>
    <t>S-2026-06-02</t>
  </si>
  <si>
    <t>RPRO-260602-0721</t>
  </si>
  <si>
    <t>BDB-000212</t>
  </si>
  <si>
    <t>PVN-003764</t>
  </si>
  <si>
    <t>OrthoLite X-25-Hybrid SEEDPEARL/12-0703TPX Hybrid Flat Sheet 0.12D 20+/-4 Asker C 1.1M 2M 5mm</t>
  </si>
  <si>
    <t>S-2026-06-03</t>
  </si>
  <si>
    <t>RPRO-260602-0722</t>
  </si>
  <si>
    <t>BDB-000321</t>
  </si>
  <si>
    <t>PVN-004092</t>
  </si>
  <si>
    <t>OrthoLite Float BLUE ATOLL/16-4535TPX Flat Sheet 0.12D 21+/-4 Asker C 1.1M 2M 14.5mm</t>
  </si>
  <si>
    <t>LOWA</t>
  </si>
  <si>
    <t>S-2026-06-04</t>
  </si>
  <si>
    <t>RPRO-260602-0723</t>
  </si>
  <si>
    <t>PVN-004057</t>
  </si>
  <si>
    <t>OrthoLite X-40 TRUE BLUE/19-4057TPX Flat Sheet 0.16D 25+/-4 Asker C 1.1M 1.7M 14.5mm</t>
  </si>
  <si>
    <t>S-2026-06-05</t>
  </si>
  <si>
    <t>RPRO-260602-0724</t>
  </si>
  <si>
    <t>PVN-003743</t>
  </si>
  <si>
    <t>OrthoLite Ultra-Hybrid SEEDPEARL/12-0703TPX Hybrid Flat Sheet 0.085D 25+/-4 Asker C 1.1M 2M 5.5mm</t>
  </si>
  <si>
    <t>S-2026-06-07</t>
  </si>
  <si>
    <t>RPRO-260602-0726</t>
  </si>
  <si>
    <t>PVN-003300</t>
  </si>
  <si>
    <t>OrthoLite Ultra-Hybrid SEEDPEARL/12-0703TPX Hybrid Flat Sheet 0.085D 25+/-4 Asker C 1.1M 2M 2mm</t>
  </si>
  <si>
    <t>SSO-2606-00031    - URGENT (6-10)</t>
  </si>
  <si>
    <t>S-2026-06-06</t>
  </si>
  <si>
    <t>RPRO-260602-0725</t>
  </si>
  <si>
    <t>PVN-004098</t>
  </si>
  <si>
    <t>OrthoLite Ultra GREEN/16-5932TPX Flat Sheet 0.085D 25+/-4 Asker C 1.1M 2M 3mm</t>
  </si>
  <si>
    <t>S-2026-06-08</t>
  </si>
  <si>
    <t>RPRO-260602-0727</t>
  </si>
  <si>
    <t>PVN-004330</t>
  </si>
  <si>
    <t>OrthoLite IMPERIAL SEEDPEARL/12-0703TPX Flat Sheet 0.22D 25+/-4 Asker C 1.1M 1.47M 2mm</t>
  </si>
  <si>
    <t>SSO-2606-00031</t>
  </si>
  <si>
    <t>S-2026-06-09</t>
  </si>
  <si>
    <t>RPRO-260603-0481</t>
  </si>
  <si>
    <t>BDB-000347</t>
  </si>
  <si>
    <t>PVN-004436</t>
  </si>
  <si>
    <t>OrthoLite X-55-Hybrid SEEDPEARL/12-0703TPX Hybrid Flat Sheet 0.16D 25+/-4 Asker C 1.1M 2M 5mm</t>
  </si>
  <si>
    <t>PAYNTR</t>
  </si>
  <si>
    <t>S-2026-06-10</t>
  </si>
  <si>
    <t>RPRO-260603-0482</t>
  </si>
  <si>
    <t>SSO-2606-00082 - URGENT (6-10)</t>
  </si>
  <si>
    <t>S-2026-06-11</t>
  </si>
  <si>
    <t>RPRO-260603-0483</t>
  </si>
  <si>
    <t>BDB-000195</t>
  </si>
  <si>
    <t>PVN-004435</t>
  </si>
  <si>
    <t>OrthoLite Ultra-Nike GREY/17-1501TPX Flat Sheet 0.085D 25+/-4 Asker C 1.1M 1.7M 4mm</t>
  </si>
  <si>
    <t>Sample/ URGENT</t>
  </si>
  <si>
    <t>S-2026-06-12</t>
  </si>
  <si>
    <t>RPRO-260603-0484</t>
  </si>
  <si>
    <t>BDB-000392</t>
  </si>
  <si>
    <t>PVN-004434</t>
  </si>
  <si>
    <t>OrthoLite X-40-Nike TRUE BLUE/19-4057TPX Flat Sheet 0.16D 35+/-4 Asker C 1.1M 2M 4mm</t>
  </si>
  <si>
    <t>S-2026-06-14</t>
  </si>
  <si>
    <t>RPRO-260603-0485</t>
  </si>
  <si>
    <t>SSO-2606-00089/00070/00128  - URGENT (6-10)</t>
  </si>
  <si>
    <t>S-2026-06-15</t>
  </si>
  <si>
    <t>RPRO-260604-0522</t>
  </si>
  <si>
    <t>BDB-000307</t>
  </si>
  <si>
    <t>PVN-004437</t>
  </si>
  <si>
    <t>OrthoLite X-35 SEEDPEARL/12-0703TPX Flat Sheet 0.145D 25+/-4 Asker C 1.1M 2M 8mm</t>
  </si>
  <si>
    <t>SSO-2606-00111</t>
  </si>
  <si>
    <t>L-2026-06-07</t>
  </si>
  <si>
    <t>RPRO-260604-0529</t>
  </si>
  <si>
    <t>PVN-002699</t>
  </si>
  <si>
    <t>OrthoLite Regular-Hybrid SEEDPEARL/12-0703TPX Hybrid Flat Sheet 0.11D 25+/-4 Asker C 1.1M 2M 4.5mm</t>
  </si>
  <si>
    <t>SHYANG HUNG TAH</t>
  </si>
  <si>
    <t>L-2026-06-01</t>
  </si>
  <si>
    <t>RPRO-260604-0523</t>
  </si>
  <si>
    <t>BDB-000131</t>
  </si>
  <si>
    <t>PVN-002424</t>
  </si>
  <si>
    <t>OrthoLite Regular-Nike AIR BLUE/16-4134TPX 0.11D 15+/-4 Asker C 1.1M 2M 3.5mm</t>
  </si>
  <si>
    <t>NIKE-POU CHEN VÀ CONVERSE</t>
  </si>
  <si>
    <t>L-2026-06-02</t>
  </si>
  <si>
    <t>RPRO-260604-0524</t>
  </si>
  <si>
    <t>PVN-001635</t>
  </si>
  <si>
    <t>OrthoLite Regular-Nike AIR BLUE/16-4134TPX 0.11D 15+/-4 Asker C 1.1M 2M 10mm</t>
  </si>
  <si>
    <t>L-2026-06-03</t>
  </si>
  <si>
    <t>RPRO-260604-0525</t>
  </si>
  <si>
    <t>BDB-000221</t>
  </si>
  <si>
    <t>PVN-004123</t>
  </si>
  <si>
    <t>OrthoLite X-40-Hybrid-Nike SEEDPEARL/12-0703TPX Hybrid Flat Sheet 0.16D 25+/-4 Asker C 1.1M 1.7M 3mm</t>
  </si>
  <si>
    <t>L-2026-06-04</t>
  </si>
  <si>
    <t>RPRO-260604-0526</t>
  </si>
  <si>
    <t>PVN-004124</t>
  </si>
  <si>
    <t>OrthoLite X-40-Hybrid-Nike SEEDPEARL/12-0703TPX 0.16D 25+/-4 Asker C 1.1M 1.7M 10mm</t>
  </si>
  <si>
    <t>L-2026-06-05</t>
  </si>
  <si>
    <t>RPRO-260604-0527</t>
  </si>
  <si>
    <t>PVN-002512</t>
  </si>
  <si>
    <t>Eco LT-Hybrid OrthoLite SEEDPEARL/12-0703TPX Hybrid Flat Sheet 0.11D 25+/-4 Asker C 1.1M 2M 10mm</t>
  </si>
  <si>
    <t>L-2026-06-06</t>
  </si>
  <si>
    <t>RPRO-260604-0528</t>
  </si>
  <si>
    <t>Eco LT-Hybrid OrthoLite SEEDPEARL/12-0703TPX Hybrid Flat Sheet 0.11D 25+/-4 Asker C 1.1M 2M 4mm</t>
  </si>
  <si>
    <t>S-2026-06-16</t>
  </si>
  <si>
    <t>RPRO-260605-0678</t>
  </si>
  <si>
    <t>PVN-004438</t>
  </si>
  <si>
    <t>Ortholite X-25 GREEN/16-5932TPX Flat Sheet 0.12D 20+/-4 Asker C 1.1M 2M 6.2mm</t>
  </si>
  <si>
    <t>S-2026-06-17</t>
  </si>
  <si>
    <t>RPRO-260605-0679</t>
  </si>
  <si>
    <t>PVN-004350</t>
  </si>
  <si>
    <t>OrthoLite Regular SEEDPEARL/12-0703TPX Flat Sheet 0.13D 35+/-4 Asker C 1.1M 1.47M 13mm</t>
  </si>
  <si>
    <t>S-2026-06-18</t>
  </si>
  <si>
    <t>RPRO-260605-0680</t>
  </si>
  <si>
    <t>PVN-002539</t>
  </si>
  <si>
    <t>OrthoLite Ultra-Hybrid SEEDPEARL/12-0703TPX Hybrid Flat Sheet 0.085D 25+/-4 Asker C 1.1M 2M 5mm</t>
  </si>
  <si>
    <t>S-2026-06-19</t>
  </si>
  <si>
    <t>RPRO-260605-0681</t>
  </si>
  <si>
    <t>S-2026-06-24</t>
  </si>
  <si>
    <t>RPRO-260605-0686</t>
  </si>
  <si>
    <t>S-2026-06-20</t>
  </si>
  <si>
    <t>RPRO-260605-0682</t>
  </si>
  <si>
    <t>PVN-001452</t>
  </si>
  <si>
    <t>OrthoLite Ultra SEEDPEARL/12-0703TPX Flat Sheet 0.085D 25+/-4 Asker C 1.1M 2M 4.5mm</t>
  </si>
  <si>
    <t>S-2026-06-21</t>
  </si>
  <si>
    <t>RPRO-260605-0683</t>
  </si>
  <si>
    <t>PVN-004076</t>
  </si>
  <si>
    <t>OrthoLite Regular NEUTRAL GRAY/17-4402TPX Flat Sheet 0.13D 15+/-4 Asker C 1.1M 2M 24mm</t>
  </si>
  <si>
    <t>S-2026-06-22</t>
  </si>
  <si>
    <t>RPRO-260605-0684</t>
  </si>
  <si>
    <t>PVN-003327</t>
  </si>
  <si>
    <t>OrthoLite X-40 TRUE BLUE/19-4057TPX 0.16D 35+/-4 Asker C 1.1M 1.7M 4mm</t>
  </si>
  <si>
    <t>S-2026-06-23</t>
  </si>
  <si>
    <t>RPRO-260605-0685</t>
  </si>
  <si>
    <t>PVN-004212</t>
  </si>
  <si>
    <t>OrthoLite X-40-Hybrid TRUE BLUE/19-4057TPX Hybrid Flat Sheet 0.16D 25+/-4 Asker C 1.1M 2M 3mm</t>
  </si>
  <si>
    <t>S-2026-05-84</t>
  </si>
  <si>
    <t>RPRO-260605-0687</t>
  </si>
  <si>
    <t>PVN-004430</t>
  </si>
  <si>
    <t>OrthoLite HybridPlus-Recycled COLORO 063-98-46 (fluorescent) Hybrid 0.12D 25+/-4 Asker C 1.1M 2M 6mm</t>
  </si>
  <si>
    <t>S-2026-06-25</t>
  </si>
  <si>
    <t>???</t>
  </si>
  <si>
    <t>????</t>
  </si>
  <si>
    <t>S-2026-06-26</t>
  </si>
  <si>
    <t>RPRO-260608-1016</t>
  </si>
  <si>
    <t>S-2026-06-27</t>
  </si>
  <si>
    <t>RPRO-260608-1017</t>
  </si>
  <si>
    <t>PVN-002413</t>
  </si>
  <si>
    <t>OrthoLite Regular-Nike AIR BLUE/16-4134TPX Flat Sheet 0.11D 25+/-4 Asker C 1.1M 2M 4.2mm</t>
  </si>
  <si>
    <t>S-2026-06-28</t>
  </si>
  <si>
    <t>RPRO-260608-1018</t>
  </si>
  <si>
    <t>S-2026-06-29</t>
  </si>
  <si>
    <t>RPRO-260608-1019</t>
  </si>
  <si>
    <t>BDB-000305</t>
  </si>
  <si>
    <t>PVN-004000</t>
  </si>
  <si>
    <t>OrthoLite X-35-Nike YELLOW/13-0858TPX Flat Sheet 0.145D 25+/-4 Asker C 1.1M 2M 5.5mm</t>
  </si>
  <si>
    <t>S-2026-06-30</t>
  </si>
  <si>
    <t>RPRO-260608-1020</t>
  </si>
  <si>
    <t>BDB-000349</t>
  </si>
  <si>
    <t>PVN-004352</t>
  </si>
  <si>
    <t>OrthoLite Ultra GREEN/16-5932TPX Flat Sheet 0.085D 15+/-4 Asker C 1.1M 2M 11mm</t>
  </si>
  <si>
    <t>BLACKYAK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</si>
</sst>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  <font>
      <sz val="16"/>
      <name val="Times New Roman"/>
      <family val="1"/>
    </font>
    <font>
      <b/>
      <sz val="26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4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  <xf numFmtId="0" fontId="31" fillId="0" borderId="1" xfId="0" applyFont="1" applyBorder="1" applyAlignment="1">
      <alignment vertical="center"/>
    </xf>
    <xf numFmtId="0" fontId="31" fillId="6" borderId="1" xfId="0" applyFont="1" applyFill="1" applyBorder="1" applyAlignment="1">
      <alignment vertical="center"/>
    </xf>
    <xf numFmtId="164" fontId="11" fillId="2" borderId="5" xfId="1" applyNumberFormat="1" applyFont="1" applyFill="1" applyBorder="1" applyAlignment="1">
      <alignment horizontal="center" vertical="center" wrapText="1"/>
    </xf>
    <xf numFmtId="49" fontId="24" fillId="0" borderId="5" xfId="1" applyNumberFormat="1" applyFont="1" applyBorder="1" applyAlignment="1">
      <alignment horizontal="center" vertical="center" wrapText="1"/>
    </xf>
    <xf numFmtId="164" fontId="32" fillId="2" borderId="5" xfId="1" applyNumberFormat="1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form Lab"/>
      <sheetName val="Form hệ thống"/>
      <sheetName val="master plan"/>
      <sheetName val="Sheet5"/>
      <sheetName val="Sheet4"/>
      <sheetName val="Sheet3"/>
      <sheetName val="Sheet2"/>
      <sheetName val="MỚI"/>
      <sheetName val="master plan BCN"/>
      <sheetName val="Delivery"/>
      <sheetName val="cancelled orders"/>
      <sheetName val="đơn in lại 28.2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15.5"/>
      <sheetName val="BCN 1.6"/>
      <sheetName val="18.5"/>
      <sheetName val="20.5"/>
      <sheetName val="21.5"/>
      <sheetName val="23.5"/>
      <sheetName val="25.5"/>
      <sheetName val="27.5"/>
      <sheetName val="29.5"/>
      <sheetName val="29.5 - L2"/>
      <sheetName val="1.6"/>
      <sheetName val="2.6"/>
      <sheetName val="5.6"/>
      <sheetName val="3.6"/>
      <sheetName val="4.6"/>
      <sheetName val="6.6"/>
      <sheetName val="8.6"/>
      <sheetName val="form 2 (22)"/>
      <sheetName val="In đơn"/>
      <sheetName val="Production BOM"/>
      <sheetName val="Items"/>
      <sheetName val="mm Pu"/>
      <sheetName val="master plan (2)"/>
      <sheetName val="form 2 (21)"/>
      <sheetName val="form 2 (20)"/>
      <sheetName val="form 2 (18)"/>
      <sheetName val="form 2 (19)"/>
      <sheetName val="form 2 (17)"/>
      <sheetName val="form 2 (16)"/>
      <sheetName val="form 2 (15)"/>
      <sheetName val="form 2 (14)"/>
      <sheetName val="28.5"/>
      <sheetName val="MỚI (2)"/>
      <sheetName val="Sheet1"/>
      <sheetName val="form 2 (13)"/>
      <sheetName val="Sheet6"/>
      <sheetName val="form 2 (12)"/>
      <sheetName val="form 2 (11)"/>
      <sheetName val="form 2 (10)"/>
      <sheetName val="form 2 (8)"/>
      <sheetName val="form 2 (7)"/>
      <sheetName val="form 2 (6)"/>
      <sheetName val="form 2 (5)"/>
      <sheetName val="Form (16)"/>
      <sheetName val="4.3"/>
      <sheetName val="6.3"/>
      <sheetName val="11.3"/>
      <sheetName val="12.3"/>
      <sheetName val="13.3"/>
      <sheetName val="20.3"/>
      <sheetName val="26.3"/>
      <sheetName val="28.3"/>
      <sheetName val="31.03"/>
      <sheetName val="4.4"/>
      <sheetName val="8.4"/>
      <sheetName val="11.4"/>
      <sheetName val="15.4"/>
      <sheetName val="16.4"/>
      <sheetName val="18.4"/>
      <sheetName val="19.4"/>
      <sheetName val="24.4"/>
      <sheetName val="29.04 "/>
      <sheetName val="3.5"/>
      <sheetName val="7.5 "/>
      <sheetName val="9.5 "/>
      <sheetName val="14.5"/>
      <sheetName val="16.5"/>
      <sheetName val="22.5"/>
      <sheetName val="30.5"/>
      <sheetName val="3.6 (L)"/>
      <sheetName val="9.6"/>
      <sheetName val="9.6 (L)"/>
      <sheetName val="10.6"/>
      <sheetName val="11.6"/>
      <sheetName val="12.6"/>
      <sheetName val="12.6 (L)"/>
      <sheetName val="13.6"/>
      <sheetName val="16.6"/>
      <sheetName val="16.6 (2)"/>
      <sheetName val="16.6 (L)"/>
      <sheetName val="18.6"/>
      <sheetName val="19.6"/>
      <sheetName val="23.6"/>
      <sheetName val="24.6"/>
      <sheetName val="25.6"/>
      <sheetName val="27.6"/>
      <sheetName val="30.6"/>
      <sheetName val="1.7"/>
      <sheetName val="4.7"/>
      <sheetName val="8.7"/>
      <sheetName val="9.7"/>
      <sheetName val="11.7"/>
      <sheetName val="11.7 (2)"/>
      <sheetName val="14.7"/>
      <sheetName val="15.7"/>
      <sheetName val="22.7"/>
      <sheetName val="22.7 (L)"/>
      <sheetName val="23.7"/>
      <sheetName val="24.7"/>
      <sheetName val="25.7"/>
      <sheetName val="25.7 (2)"/>
      <sheetName val="28.7"/>
      <sheetName val="28.7 (L)"/>
      <sheetName val="29.7"/>
      <sheetName val="30.7"/>
      <sheetName val="31.7"/>
      <sheetName val="1.8"/>
      <sheetName val="1.8 (2)"/>
      <sheetName val="4.8"/>
      <sheetName val="5.8"/>
      <sheetName val="6.8"/>
      <sheetName val="7.8"/>
      <sheetName val="8.8"/>
      <sheetName val="24.12 (3)"/>
      <sheetName val="11.8"/>
      <sheetName val="12.8"/>
      <sheetName val="13.8"/>
      <sheetName val="14.8"/>
      <sheetName val="19.8"/>
      <sheetName val="19.8 (2)"/>
      <sheetName val="20.8"/>
      <sheetName val="22.8 (L)"/>
      <sheetName val="22.8 (L) (2)"/>
      <sheetName val="25.8"/>
      <sheetName val="26.8"/>
      <sheetName val="29.8"/>
      <sheetName val="3.9"/>
      <sheetName val="4.9"/>
      <sheetName val="5.9"/>
      <sheetName val="8.9"/>
      <sheetName val="9.9"/>
      <sheetName val="11.9"/>
      <sheetName val="12.9"/>
      <sheetName val="12.9 (2)"/>
      <sheetName val="16.9"/>
      <sheetName val="17.9"/>
      <sheetName val="17.9 (2)"/>
      <sheetName val="19.9"/>
      <sheetName val="22.9"/>
      <sheetName val="23.9"/>
      <sheetName val="24.9"/>
      <sheetName val="29.9"/>
      <sheetName val="29.9 (2)"/>
      <sheetName val="1.10"/>
      <sheetName val="2.10"/>
      <sheetName val="3.10"/>
      <sheetName val="6.10"/>
      <sheetName val="9.10"/>
      <sheetName val="10.10"/>
      <sheetName val="10.10 (2)"/>
      <sheetName val="13.10"/>
      <sheetName val="15.10"/>
      <sheetName val="16.10"/>
      <sheetName val="17.10"/>
      <sheetName val="17.10 (2)"/>
      <sheetName val="20.10"/>
      <sheetName val="21.10"/>
      <sheetName val="22.10"/>
      <sheetName val="23.8 (L)"/>
      <sheetName val="23.10"/>
      <sheetName val="27.10"/>
      <sheetName val="28.10"/>
      <sheetName val="29.10"/>
      <sheetName val="30.10"/>
      <sheetName val="31.10"/>
      <sheetName val="4.11"/>
      <sheetName val="5.11"/>
      <sheetName val="6.11"/>
      <sheetName val="6.11 (2)"/>
      <sheetName val="7.11"/>
      <sheetName val="11.11"/>
      <sheetName val="14.11"/>
      <sheetName val="18.11"/>
      <sheetName val="19.11"/>
      <sheetName val="20.11"/>
      <sheetName val="21.11"/>
      <sheetName val="24.11"/>
      <sheetName val="26.11"/>
      <sheetName val="27.11"/>
      <sheetName val="01.12"/>
      <sheetName val="02.12"/>
      <sheetName val="03.12"/>
      <sheetName val="5.12"/>
      <sheetName val="5.12 (2)"/>
      <sheetName val="10.12"/>
      <sheetName val="11.12"/>
      <sheetName val="12.12"/>
      <sheetName val="16.12 "/>
      <sheetName val="19.12 (L) "/>
      <sheetName val="19.12"/>
      <sheetName val="20.12 "/>
      <sheetName val="23.12 "/>
      <sheetName val="24.12"/>
      <sheetName val="23.12 (L)"/>
      <sheetName val="26.12 "/>
      <sheetName val="30.12 "/>
      <sheetName val="Form"/>
      <sheetName val="BCN 22.4"/>
      <sheetName val="form 2 (4)"/>
      <sheetName val="form 2 (3)"/>
      <sheetName val="form 2"/>
      <sheetName val="25.4 (2)"/>
      <sheetName val="form 2 (9)"/>
    </sheetNames>
    <sheetDataSet>
      <sheetData sheetId="0"/>
      <sheetData sheetId="1"/>
      <sheetData sheetId="2"/>
      <sheetData sheetId="3">
        <row r="1">
          <cell r="C1" t="str">
            <v>TẠM THỜI NGƯNG NHẬN LAZY</v>
          </cell>
          <cell r="G1" t="str">
            <v>ASICS 12MM DÙNG BOM 132 (roundup(12/132),5)</v>
          </cell>
        </row>
        <row r="2">
          <cell r="G2" t="str">
            <v>SAMPLE</v>
          </cell>
          <cell r="H2">
            <v>267</v>
          </cell>
          <cell r="I2">
            <v>267</v>
          </cell>
          <cell r="J2">
            <v>0</v>
          </cell>
          <cell r="K2">
            <v>267</v>
          </cell>
          <cell r="L2" t="str">
            <v>ASICS</v>
          </cell>
          <cell r="Q2" t="str">
            <v>ETD hệ thống+1ngay</v>
          </cell>
          <cell r="R2" t="e">
            <v>#VALUE!</v>
          </cell>
          <cell r="U2">
            <v>12</v>
          </cell>
          <cell r="W2">
            <v>10</v>
          </cell>
        </row>
        <row r="3">
          <cell r="A3" t="str">
            <v>NO.Order</v>
          </cell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2.7779999999999999E-2</v>
          </cell>
          <cell r="W179">
            <v>1</v>
          </cell>
        </row>
        <row r="180">
          <cell r="A180" t="str">
            <v>L-2026-03-26</v>
          </cell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M263" t="str">
            <v xml:space="preserve">Lab test </v>
          </cell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2.7779999999999999E-2</v>
          </cell>
          <cell r="W279">
            <v>2</v>
          </cell>
        </row>
        <row r="280">
          <cell r="A280" t="str">
            <v>S-2026-03-126</v>
          </cell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 t="str">
            <v>BDB-000316</v>
          </cell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>
            <v>5.8819999999999997E-2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 t="str">
            <v>BDB-000316</v>
          </cell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>
            <v>5.8819999999999997E-2</v>
          </cell>
          <cell r="W294">
            <v>6</v>
          </cell>
        </row>
        <row r="295">
          <cell r="A295" t="str">
            <v>S-2026-03-141</v>
          </cell>
          <cell r="C295" t="str">
            <v>RPRO-260327-0941</v>
          </cell>
          <cell r="D295" t="str">
            <v xml:space="preserve">PUR2603270001S  </v>
          </cell>
          <cell r="E295" t="str">
            <v>BDB-000081</v>
          </cell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 t="str">
            <v>BDB-000275</v>
          </cell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>
            <v>1.4290000000000001E-2</v>
          </cell>
          <cell r="W297">
            <v>1</v>
          </cell>
        </row>
        <row r="298">
          <cell r="A298" t="str">
            <v>S-2026-03-144</v>
          </cell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C299" t="str">
            <v>RPRO-260401-0248</v>
          </cell>
          <cell r="D299" t="str">
            <v>PUR-202603300001S</v>
          </cell>
          <cell r="E299" t="str">
            <v>BDB-000367</v>
          </cell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C302" t="str">
            <v>RPRO-260401-0251</v>
          </cell>
          <cell r="D302" t="str">
            <v>PUR260040100001S</v>
          </cell>
          <cell r="E302" t="str">
            <v>BDB-000382</v>
          </cell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C309" t="str">
            <v>RPRO-260406-1201</v>
          </cell>
          <cell r="D309" t="str">
            <v>PUR2604030002S</v>
          </cell>
          <cell r="E309" t="str">
            <v>BDB-000384</v>
          </cell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C310" t="str">
            <v>RPRO-260406-1202</v>
          </cell>
          <cell r="D310" t="str">
            <v>PUR2604030002S</v>
          </cell>
          <cell r="E310" t="str">
            <v>BDB-000384</v>
          </cell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C316" t="str">
            <v>RPRO-260409-0346</v>
          </cell>
          <cell r="D316" t="str">
            <v>PUR2604080002S</v>
          </cell>
          <cell r="E316" t="str">
            <v>BDB-000179</v>
          </cell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C325" t="str">
            <v>RPRO-260410-0284</v>
          </cell>
          <cell r="D325" t="str">
            <v>PUR2600401000002S</v>
          </cell>
          <cell r="E325" t="str">
            <v>BDB-000387</v>
          </cell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 t="str">
            <v>BDB-000324</v>
          </cell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>
            <v>5.5559999999999998E-2</v>
          </cell>
          <cell r="W329">
            <v>1</v>
          </cell>
        </row>
        <row r="330">
          <cell r="A330" t="str">
            <v>S-2026-04-30</v>
          </cell>
          <cell r="C330" t="str">
            <v>RPRO-260414-0202</v>
          </cell>
          <cell r="D330" t="str">
            <v>PUR2600401000005S</v>
          </cell>
          <cell r="E330" t="str">
            <v>BDB-000388</v>
          </cell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C332" t="str">
            <v>RPRO-260414-0204</v>
          </cell>
          <cell r="D332" t="str">
            <v>PUR2604130002S</v>
          </cell>
          <cell r="E332" t="str">
            <v>BDB-000083</v>
          </cell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C340" t="str">
            <v>RPRO-260414-0212</v>
          </cell>
          <cell r="D340" t="str">
            <v>PUR2604130005S</v>
          </cell>
          <cell r="E340" t="str">
            <v>BDB-000352</v>
          </cell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C344" t="str">
            <v>RPRO-260417-0244</v>
          </cell>
          <cell r="D344" t="str">
            <v>PUR2600401700002S</v>
          </cell>
          <cell r="E344" t="str">
            <v>BDB-000224</v>
          </cell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C351" t="str">
            <v>RPRO-260421-0626</v>
          </cell>
          <cell r="D351" t="str">
            <v xml:space="preserve">PUR2604200001S   </v>
          </cell>
          <cell r="E351" t="str">
            <v>BDB-000081</v>
          </cell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C361" t="str">
            <v>RPRO-260423-0487</v>
          </cell>
          <cell r="D361" t="str">
            <v>PUR2604230001S</v>
          </cell>
          <cell r="E361" t="str">
            <v>BDB-000028</v>
          </cell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C362" t="str">
            <v>RPRO-260424-1197</v>
          </cell>
          <cell r="D362" t="str">
            <v xml:space="preserve"> PUR2604230002S</v>
          </cell>
          <cell r="E362" t="str">
            <v>BDB-000384</v>
          </cell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C363" t="str">
            <v>RPRO-260424-1198</v>
          </cell>
          <cell r="D363" t="str">
            <v xml:space="preserve"> PUR2604230002S</v>
          </cell>
          <cell r="E363" t="str">
            <v>BDB-000384</v>
          </cell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C364" t="str">
            <v>RPRO-260424-1199</v>
          </cell>
          <cell r="D364" t="str">
            <v xml:space="preserve"> PUR2604230002S</v>
          </cell>
          <cell r="E364" t="str">
            <v>BDB-000384</v>
          </cell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 t="str">
            <v>BDB-000229</v>
          </cell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>
            <v>3.8460000000000001E-2</v>
          </cell>
          <cell r="W367">
            <v>1</v>
          </cell>
        </row>
        <row r="368">
          <cell r="A368" t="str">
            <v>S-2026-04-68</v>
          </cell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C371" t="str">
            <v>RPRO-260424-1206</v>
          </cell>
          <cell r="D371" t="str">
            <v>PUR2604240002S</v>
          </cell>
          <cell r="E371" t="str">
            <v>BDB-000386</v>
          </cell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C375" t="str">
            <v>RPRO-260429-0126</v>
          </cell>
          <cell r="D375" t="str">
            <v>PUR2600402900002S</v>
          </cell>
          <cell r="E375" t="str">
            <v>BDB-000389</v>
          </cell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C377" t="str">
            <v>RPRO-260505-0654</v>
          </cell>
          <cell r="D377" t="str">
            <v>PUR2600402900003S</v>
          </cell>
          <cell r="E377" t="str">
            <v>BDB-000371</v>
          </cell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C386" t="str">
            <v>RPRO-260505-0663</v>
          </cell>
          <cell r="D386" t="str">
            <v>PUR2605040003S</v>
          </cell>
          <cell r="E386" t="str">
            <v>BDB-000318</v>
          </cell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C390" t="str">
            <v>RPRO-260506-0394</v>
          </cell>
          <cell r="D390" t="str">
            <v>PUR2605060001S</v>
          </cell>
          <cell r="E390" t="str">
            <v>BDB-000371</v>
          </cell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C394" t="str">
            <v>RPRO-260506-0415</v>
          </cell>
          <cell r="D394" t="str">
            <v xml:space="preserve">PUR2605060002S   </v>
          </cell>
          <cell r="E394" t="str">
            <v>BDB-000348</v>
          </cell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C403" t="str">
            <v>RPRO-260512-0580</v>
          </cell>
          <cell r="D403" t="str">
            <v>thuy.tao@ortholite.vn</v>
          </cell>
          <cell r="E403" t="str">
            <v>BDB-000321</v>
          </cell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C404" t="str">
            <v>RPRO-260512-0581</v>
          </cell>
          <cell r="D404" t="str">
            <v>thuy.tao@ortholite.vn</v>
          </cell>
          <cell r="E404" t="str">
            <v>BDB-000058</v>
          </cell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 t="str">
            <v>TBS</v>
          </cell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40</v>
          </cell>
          <cell r="K407">
            <v>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50</v>
          </cell>
          <cell r="K408">
            <v>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C410" t="str">
            <v>RPRO-260513-0948</v>
          </cell>
          <cell r="D410" t="str">
            <v>PUR2605130003S</v>
          </cell>
          <cell r="E410" t="str">
            <v>BDB-000371</v>
          </cell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10</v>
          </cell>
          <cell r="K410">
            <v>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>
            <v>3.5709999999999999E-2</v>
          </cell>
          <cell r="W410">
            <v>1</v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20</v>
          </cell>
          <cell r="K411">
            <v>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20</v>
          </cell>
          <cell r="K413">
            <v>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15</v>
          </cell>
          <cell r="K414">
            <v>0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50</v>
          </cell>
          <cell r="K415">
            <v>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20</v>
          </cell>
          <cell r="K416">
            <v>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C417" t="str">
            <v>RPRO-260515-0276</v>
          </cell>
          <cell r="D417" t="str">
            <v>PUR2605150003S</v>
          </cell>
          <cell r="E417" t="str">
            <v>BDB-000028</v>
          </cell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10</v>
          </cell>
          <cell r="K417">
            <v>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50</v>
          </cell>
          <cell r="K419">
            <v>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50</v>
          </cell>
          <cell r="K420">
            <v>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50</v>
          </cell>
          <cell r="K421">
            <v>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40</v>
          </cell>
          <cell r="K422">
            <v>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30</v>
          </cell>
          <cell r="K423">
            <v>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30</v>
          </cell>
          <cell r="K424">
            <v>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30</v>
          </cell>
          <cell r="K425">
            <v>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 t="str">
            <v>BDB-000343</v>
          </cell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5</v>
          </cell>
          <cell r="K428">
            <v>0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>
            <v>4.3479999999999998E-2</v>
          </cell>
          <cell r="W428">
            <v>1</v>
          </cell>
        </row>
        <row r="429">
          <cell r="A429" t="str">
            <v>S-2026-05-53</v>
          </cell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150</v>
          </cell>
          <cell r="K429">
            <v>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150</v>
          </cell>
          <cell r="K430">
            <v>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50</v>
          </cell>
          <cell r="K431">
            <v>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50</v>
          </cell>
          <cell r="K432">
            <v>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40</v>
          </cell>
          <cell r="K433">
            <v>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40</v>
          </cell>
          <cell r="K434">
            <v>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40</v>
          </cell>
          <cell r="K435">
            <v>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70</v>
          </cell>
          <cell r="K436">
            <v>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40</v>
          </cell>
          <cell r="K437">
            <v>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40</v>
          </cell>
          <cell r="K438">
            <v>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40</v>
          </cell>
          <cell r="K439">
            <v>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30</v>
          </cell>
          <cell r="K440">
            <v>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50</v>
          </cell>
          <cell r="K441">
            <v>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30</v>
          </cell>
          <cell r="K442">
            <v>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80</v>
          </cell>
          <cell r="K443">
            <v>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20</v>
          </cell>
          <cell r="K444">
            <v>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30</v>
          </cell>
          <cell r="K445">
            <v>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C446" t="str">
            <v>RPRO-260520-0229</v>
          </cell>
          <cell r="D446" t="str">
            <v>PUR-202605200002S</v>
          </cell>
          <cell r="E446" t="str">
            <v>BDB-000234</v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20</v>
          </cell>
          <cell r="K446">
            <v>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>
            <v>4.1669999999999999E-2</v>
          </cell>
          <cell r="W446">
            <v>1</v>
          </cell>
        </row>
        <row r="447">
          <cell r="A447" t="str">
            <v>S-2026-05-71</v>
          </cell>
          <cell r="C447" t="str">
            <v>RPRO-260521-0669</v>
          </cell>
          <cell r="D447" t="str">
            <v xml:space="preserve">PUR2605210001S  </v>
          </cell>
          <cell r="E447" t="str">
            <v>BDB-000058</v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50</v>
          </cell>
          <cell r="K447">
            <v>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>
            <v>5</v>
          </cell>
          <cell r="V447">
            <v>3.5709999999999999E-2</v>
          </cell>
          <cell r="W447">
            <v>2</v>
          </cell>
        </row>
        <row r="448">
          <cell r="A448" t="str">
            <v>S-2026-05-72</v>
          </cell>
          <cell r="C448" t="str">
            <v>RPRO-260521-0670</v>
          </cell>
          <cell r="D448" t="str">
            <v xml:space="preserve">PUR2605210002S   </v>
          </cell>
          <cell r="E448" t="str">
            <v>BDB-000076</v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30</v>
          </cell>
          <cell r="K448">
            <v>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>
            <v>5</v>
          </cell>
          <cell r="V448">
            <v>3.5709999999999999E-2</v>
          </cell>
          <cell r="W448">
            <v>2</v>
          </cell>
        </row>
        <row r="449">
          <cell r="A449" t="str">
            <v>S-2026-05-73</v>
          </cell>
          <cell r="C449" t="str">
            <v>RPRO-260523-0221</v>
          </cell>
          <cell r="D449" t="str">
            <v>PUR2605220001S</v>
          </cell>
          <cell r="E449" t="str">
            <v>BDB-000376</v>
          </cell>
          <cell r="F449" t="str">
            <v>PVN-004323</v>
          </cell>
          <cell r="G449" t="str">
            <v>OrthoLite Regular BLACK/19-4007TPX Flat Sheet 0.11D 25+/-4 Asker C 1.1M 2M 13mm</v>
          </cell>
          <cell r="H449">
            <v>15</v>
          </cell>
          <cell r="I449">
            <v>15</v>
          </cell>
          <cell r="J449">
            <v>15</v>
          </cell>
          <cell r="K449">
            <v>0</v>
          </cell>
          <cell r="L449" t="str">
            <v>ADIDAS</v>
          </cell>
          <cell r="M449" t="str">
            <v>SSO-2605-01170   - URGENT (5-30)</v>
          </cell>
          <cell r="N449" t="str">
            <v>Molded</v>
          </cell>
          <cell r="O449" t="str">
            <v>Sample</v>
          </cell>
          <cell r="P449">
            <v>46164</v>
          </cell>
          <cell r="Q449">
            <v>46172</v>
          </cell>
          <cell r="R449">
            <v>46169</v>
          </cell>
          <cell r="S449">
            <v>6</v>
          </cell>
          <cell r="T449">
            <v>8</v>
          </cell>
          <cell r="U449">
            <v>13</v>
          </cell>
          <cell r="V449">
            <v>0.1</v>
          </cell>
          <cell r="W449">
            <v>2</v>
          </cell>
        </row>
        <row r="450">
          <cell r="A450" t="str">
            <v>S-2026-05-74</v>
          </cell>
          <cell r="C450" t="str">
            <v>RPRO-260523-0222</v>
          </cell>
          <cell r="D450" t="str">
            <v>PUR2605220001S</v>
          </cell>
          <cell r="E450" t="str">
            <v>BDB-000123</v>
          </cell>
          <cell r="F450" t="str">
            <v>PVN-003299</v>
          </cell>
          <cell r="G450" t="str">
            <v>OrthoLite Ultra-Hybrid SEEDPEARL/12-0703TPX Hybrid Flat Sheet 0.085D 25+/-4 Asker C 1.1M 2M 3mm</v>
          </cell>
          <cell r="H450">
            <v>100</v>
          </cell>
          <cell r="I450">
            <v>100</v>
          </cell>
          <cell r="J450">
            <v>100</v>
          </cell>
          <cell r="K450">
            <v>0</v>
          </cell>
          <cell r="L450" t="str">
            <v>ADIDAS</v>
          </cell>
          <cell r="M450" t="str">
            <v>SSO-2605-01174   - URGENT (5-30)</v>
          </cell>
          <cell r="N450" t="str">
            <v>Flat sheet</v>
          </cell>
          <cell r="O450" t="str">
            <v>Sample</v>
          </cell>
          <cell r="P450">
            <v>46164</v>
          </cell>
          <cell r="Q450">
            <v>46172</v>
          </cell>
          <cell r="R450">
            <v>46169</v>
          </cell>
          <cell r="S450">
            <v>6</v>
          </cell>
          <cell r="T450">
            <v>8</v>
          </cell>
          <cell r="U450">
            <v>3</v>
          </cell>
          <cell r="V450">
            <v>2.1739999999999999E-2</v>
          </cell>
          <cell r="W450">
            <v>3</v>
          </cell>
        </row>
        <row r="451">
          <cell r="A451" t="str">
            <v>S-2026-05-75</v>
          </cell>
          <cell r="C451" t="str">
            <v>RPRO-260523-0223</v>
          </cell>
          <cell r="D451" t="str">
            <v>PUR2600502300001S</v>
          </cell>
          <cell r="E451" t="str">
            <v>BDB-000076</v>
          </cell>
          <cell r="F451" t="str">
            <v>PVN-004056</v>
          </cell>
          <cell r="G451" t="str">
            <v>OrthoLite X-25 BILLIARD/16-5427TPX Flat Sheet 0.12D 20+/-4 Asker C 1.1M 2M 12mm</v>
          </cell>
          <cell r="H451">
            <v>20</v>
          </cell>
          <cell r="I451">
            <v>20</v>
          </cell>
          <cell r="J451">
            <v>20</v>
          </cell>
          <cell r="K451">
            <v>0</v>
          </cell>
          <cell r="L451" t="str">
            <v>FOOTJOY</v>
          </cell>
          <cell r="M451" t="str">
            <v>Sample</v>
          </cell>
          <cell r="N451" t="str">
            <v>MOLDED</v>
          </cell>
          <cell r="O451" t="str">
            <v>Sample</v>
          </cell>
          <cell r="P451">
            <v>46165</v>
          </cell>
          <cell r="Q451">
            <v>46172</v>
          </cell>
          <cell r="R451">
            <v>46169</v>
          </cell>
          <cell r="S451">
            <v>6</v>
          </cell>
          <cell r="T451">
            <v>7</v>
          </cell>
          <cell r="U451">
            <v>12</v>
          </cell>
          <cell r="V451">
            <v>9.0910000000000005E-2</v>
          </cell>
          <cell r="W451">
            <v>2</v>
          </cell>
        </row>
        <row r="452">
          <cell r="A452" t="str">
            <v>S-2026-05-76</v>
          </cell>
          <cell r="C452" t="str">
            <v>RPRO-260526-0394</v>
          </cell>
          <cell r="D452" t="str">
            <v xml:space="preserve">PUR-202605250001S </v>
          </cell>
          <cell r="E452" t="str">
            <v>BDB-000235</v>
          </cell>
          <cell r="F452" t="str">
            <v>PVN-003576</v>
          </cell>
          <cell r="G452" t="str">
            <v>OrthoLite X-55-Hybrid FOSSIL/17-0909TPX Hybrid 0.16D 25+/-4 Asker C 1.1M 1.7M 12mm</v>
          </cell>
          <cell r="H452">
            <v>30</v>
          </cell>
          <cell r="I452">
            <v>30</v>
          </cell>
          <cell r="J452">
            <v>30</v>
          </cell>
          <cell r="K452">
            <v>0</v>
          </cell>
          <cell r="L452" t="str">
            <v>ASICS</v>
          </cell>
          <cell r="M452" t="str">
            <v>Sample</v>
          </cell>
          <cell r="N452" t="str">
            <v>MOLDED</v>
          </cell>
          <cell r="O452" t="str">
            <v>Sample</v>
          </cell>
          <cell r="P452">
            <v>46167</v>
          </cell>
          <cell r="Q452">
            <v>46174</v>
          </cell>
          <cell r="R452">
            <v>46171</v>
          </cell>
          <cell r="S452">
            <v>6</v>
          </cell>
          <cell r="T452">
            <v>7</v>
          </cell>
          <cell r="U452">
            <v>12</v>
          </cell>
          <cell r="V452">
            <v>9.0909999999999991E-2</v>
          </cell>
          <cell r="W452">
            <v>3</v>
          </cell>
        </row>
        <row r="453">
          <cell r="A453" t="str">
            <v>S-2026-05-77</v>
          </cell>
          <cell r="C453" t="str">
            <v>RPRO-260526-0395</v>
          </cell>
          <cell r="D453" t="str">
            <v xml:space="preserve">PUR-202605250001S </v>
          </cell>
          <cell r="E453" t="str">
            <v>BDB-000113</v>
          </cell>
          <cell r="F453" t="str">
            <v>PVN-002688</v>
          </cell>
          <cell r="G453" t="str">
            <v>OrthoLite Regular-Hybrid SEEDPEARL/12-0703TPX Hybrid 0.11D 25+/-4 Asker C 1.1M 2M 6mm</v>
          </cell>
          <cell r="H453">
            <v>100</v>
          </cell>
          <cell r="I453">
            <v>100</v>
          </cell>
          <cell r="J453">
            <v>100</v>
          </cell>
          <cell r="K453">
            <v>0</v>
          </cell>
          <cell r="L453" t="str">
            <v>ASICS</v>
          </cell>
          <cell r="M453" t="str">
            <v>Sample</v>
          </cell>
          <cell r="N453" t="str">
            <v>MOLDED</v>
          </cell>
          <cell r="O453" t="str">
            <v>Sample</v>
          </cell>
          <cell r="P453">
            <v>46167</v>
          </cell>
          <cell r="Q453">
            <v>46174</v>
          </cell>
          <cell r="R453">
            <v>46171</v>
          </cell>
          <cell r="S453">
            <v>6</v>
          </cell>
          <cell r="T453">
            <v>7</v>
          </cell>
          <cell r="U453">
            <v>6</v>
          </cell>
          <cell r="V453">
            <v>4.3479999999999998E-2</v>
          </cell>
          <cell r="W453">
            <v>5</v>
          </cell>
        </row>
        <row r="454">
          <cell r="A454" t="str">
            <v>S-2026-05-78</v>
          </cell>
          <cell r="C454" t="str">
            <v>RPRO-260526-0396</v>
          </cell>
          <cell r="D454" t="str">
            <v xml:space="preserve">PUR-202605250001S </v>
          </cell>
          <cell r="E454" t="str">
            <v>BDB-000113</v>
          </cell>
          <cell r="F454" t="str">
            <v>PVN-002887</v>
          </cell>
          <cell r="G454" t="str">
            <v>OrthoLite Regular-Hybrid SEEDPEARL/12-0703TPX Hybrid Flat Sheet 0.11D 25+/-4 Asker C 1.1M 2M 5.5mm</v>
          </cell>
          <cell r="H454">
            <v>20</v>
          </cell>
          <cell r="I454">
            <v>20</v>
          </cell>
          <cell r="J454">
            <v>20</v>
          </cell>
          <cell r="K454">
            <v>0</v>
          </cell>
          <cell r="L454" t="str">
            <v>ASICS</v>
          </cell>
          <cell r="M454" t="str">
            <v>Sample</v>
          </cell>
          <cell r="N454" t="str">
            <v>MOLDED</v>
          </cell>
          <cell r="O454" t="str">
            <v>Sample</v>
          </cell>
          <cell r="P454">
            <v>46167</v>
          </cell>
          <cell r="Q454">
            <v>46174</v>
          </cell>
          <cell r="R454">
            <v>46171</v>
          </cell>
          <cell r="S454">
            <v>6</v>
          </cell>
          <cell r="T454">
            <v>7</v>
          </cell>
          <cell r="U454">
            <v>5.5</v>
          </cell>
          <cell r="V454">
            <v>0.04</v>
          </cell>
          <cell r="W454">
            <v>1</v>
          </cell>
        </row>
        <row r="455">
          <cell r="A455" t="str">
            <v>S-2026-05-79</v>
          </cell>
          <cell r="C455" t="str">
            <v>RPRO-260526-0397</v>
          </cell>
          <cell r="D455" t="str">
            <v xml:space="preserve">PUR-202605250001S </v>
          </cell>
          <cell r="E455" t="str">
            <v>BDB-000113</v>
          </cell>
          <cell r="F455" t="str">
            <v>PVN-003601</v>
          </cell>
          <cell r="G455" t="str">
            <v>OrthoLite Regular-Hybrid SEEDPEARL/12-0703TPX Hybrid Flat Sheet 0.11D 25+/-4 Asker C 1.1M 2M 20mm</v>
          </cell>
          <cell r="H455">
            <v>10</v>
          </cell>
          <cell r="I455">
            <v>10</v>
          </cell>
          <cell r="J455">
            <v>10</v>
          </cell>
          <cell r="K455">
            <v>0</v>
          </cell>
          <cell r="L455" t="str">
            <v>ASICS</v>
          </cell>
          <cell r="M455" t="str">
            <v>Sample</v>
          </cell>
          <cell r="N455" t="str">
            <v>MOLDED</v>
          </cell>
          <cell r="O455" t="str">
            <v>Sample</v>
          </cell>
          <cell r="P455">
            <v>46167</v>
          </cell>
          <cell r="Q455">
            <v>46174</v>
          </cell>
          <cell r="R455">
            <v>46171</v>
          </cell>
          <cell r="S455">
            <v>6</v>
          </cell>
          <cell r="T455">
            <v>7</v>
          </cell>
          <cell r="U455">
            <v>20</v>
          </cell>
          <cell r="V455">
            <v>0.16667000000000001</v>
          </cell>
          <cell r="W455">
            <v>2</v>
          </cell>
        </row>
        <row r="456">
          <cell r="A456" t="str">
            <v>S-2026-05-80</v>
          </cell>
          <cell r="C456" t="str">
            <v>RPRO-260526-0398</v>
          </cell>
          <cell r="D456" t="str">
            <v xml:space="preserve">PUR-202605250001S </v>
          </cell>
          <cell r="E456" t="str">
            <v>BDB-000097</v>
          </cell>
          <cell r="F456" t="str">
            <v>PVN-002478</v>
          </cell>
          <cell r="G456" t="str">
            <v>OrthoLite Eco LT-Hybrid SEEDPEARL/12-0703TPX Hybrid 0.11D 25+/-4 Asker C 1.1M 2M 4mm</v>
          </cell>
          <cell r="H456">
            <v>50</v>
          </cell>
          <cell r="I456">
            <v>50</v>
          </cell>
          <cell r="J456">
            <v>50</v>
          </cell>
          <cell r="K456">
            <v>0</v>
          </cell>
          <cell r="L456" t="str">
            <v>NEW BALANCE</v>
          </cell>
          <cell r="M456" t="str">
            <v>Sample</v>
          </cell>
          <cell r="N456" t="str">
            <v>DIE-CUT</v>
          </cell>
          <cell r="O456" t="str">
            <v>Sample</v>
          </cell>
          <cell r="P456">
            <v>46167</v>
          </cell>
          <cell r="Q456">
            <v>46174</v>
          </cell>
          <cell r="R456">
            <v>46171</v>
          </cell>
          <cell r="S456">
            <v>6</v>
          </cell>
          <cell r="T456">
            <v>7</v>
          </cell>
          <cell r="U456">
            <v>4</v>
          </cell>
          <cell r="V456">
            <v>2.8570000000000002E-2</v>
          </cell>
          <cell r="W456">
            <v>2</v>
          </cell>
        </row>
        <row r="457">
          <cell r="A457" t="str">
            <v>S-2026-05-81</v>
          </cell>
          <cell r="C457" t="str">
            <v>RPRO-260526-0399</v>
          </cell>
          <cell r="D457" t="str">
            <v xml:space="preserve">PUR-202605250001S </v>
          </cell>
          <cell r="E457" t="str">
            <v>BDB-000113</v>
          </cell>
          <cell r="F457" t="str">
            <v>PVN-003414</v>
          </cell>
          <cell r="G457" t="str">
            <v>OrthoLite Regular-Hybrid SEEDPEARL/12-0703TPX Hybrid 0.11D 25+/-4 Asker C 1.1M 2M 12mm</v>
          </cell>
          <cell r="H457">
            <v>50</v>
          </cell>
          <cell r="I457">
            <v>50</v>
          </cell>
          <cell r="J457">
            <v>50</v>
          </cell>
          <cell r="K457">
            <v>0</v>
          </cell>
          <cell r="L457" t="str">
            <v>ASICS</v>
          </cell>
          <cell r="M457" t="str">
            <v>Sample</v>
          </cell>
          <cell r="N457" t="str">
            <v>MOLDED</v>
          </cell>
          <cell r="O457" t="str">
            <v>Sample</v>
          </cell>
          <cell r="P457">
            <v>46167</v>
          </cell>
          <cell r="Q457">
            <v>46175</v>
          </cell>
          <cell r="R457">
            <v>46172</v>
          </cell>
          <cell r="S457">
            <v>6</v>
          </cell>
          <cell r="T457">
            <v>8</v>
          </cell>
          <cell r="U457">
            <v>12</v>
          </cell>
          <cell r="V457">
            <v>9.0909999999999991E-2</v>
          </cell>
          <cell r="W457">
            <v>5</v>
          </cell>
        </row>
        <row r="458">
          <cell r="A458" t="str">
            <v>S-2026-05-82</v>
          </cell>
          <cell r="B458" t="str">
            <v xml:space="preserve">sx xin dời ETD </v>
          </cell>
          <cell r="C458" t="str">
            <v>RPRO-260526-0400</v>
          </cell>
          <cell r="D458" t="str">
            <v xml:space="preserve">PUR-202605250001S </v>
          </cell>
          <cell r="E458" t="str">
            <v>BDB-000051</v>
          </cell>
          <cell r="F458" t="str">
            <v>PVN-003450</v>
          </cell>
          <cell r="G458" t="str">
            <v>OrthoLite X-40 TRUE BLUE/19-4057TPX Flat Sheet 0.16D 25+/-4 Asker C 1.1M 1.7M 6mm</v>
          </cell>
          <cell r="H458">
            <v>100</v>
          </cell>
          <cell r="I458">
            <v>100</v>
          </cell>
          <cell r="J458">
            <v>100</v>
          </cell>
          <cell r="K458">
            <v>0</v>
          </cell>
          <cell r="L458" t="str">
            <v>ASICS</v>
          </cell>
          <cell r="M458" t="str">
            <v>Sample</v>
          </cell>
          <cell r="N458" t="str">
            <v>MOLDED</v>
          </cell>
          <cell r="O458" t="str">
            <v>Sample</v>
          </cell>
          <cell r="P458">
            <v>46167</v>
          </cell>
          <cell r="Q458">
            <v>46179</v>
          </cell>
          <cell r="R458">
            <v>46176</v>
          </cell>
          <cell r="S458">
            <v>6</v>
          </cell>
          <cell r="T458">
            <v>12</v>
          </cell>
          <cell r="U458">
            <v>6</v>
          </cell>
          <cell r="V458">
            <v>4.3479999999999998E-2</v>
          </cell>
          <cell r="W458">
            <v>5</v>
          </cell>
        </row>
        <row r="459">
          <cell r="A459" t="str">
            <v>S-2026-05-83</v>
          </cell>
          <cell r="C459" t="str">
            <v>RPRO-260526-0401</v>
          </cell>
          <cell r="D459" t="str">
            <v xml:space="preserve">PUR-202605250001S </v>
          </cell>
          <cell r="E459" t="str">
            <v>BDB-000234</v>
          </cell>
          <cell r="F459" t="str">
            <v>PVN-003581</v>
          </cell>
          <cell r="G459" t="str">
            <v>OrthoLite X-30-Hybrid BROWN SUGAR/17-1134TPX Hybrid Flat Sheet 0.13D 25+/-4 Asker C 1.1M 2M 12mm</v>
          </cell>
          <cell r="H459">
            <v>30</v>
          </cell>
          <cell r="I459">
            <v>30</v>
          </cell>
          <cell r="J459">
            <v>30</v>
          </cell>
          <cell r="K459">
            <v>0</v>
          </cell>
          <cell r="L459" t="str">
            <v>ASICS</v>
          </cell>
          <cell r="M459" t="str">
            <v>Sample</v>
          </cell>
          <cell r="N459" t="str">
            <v>MOLDED</v>
          </cell>
          <cell r="O459" t="str">
            <v>Sample</v>
          </cell>
          <cell r="P459">
            <v>46167</v>
          </cell>
          <cell r="Q459">
            <v>46175</v>
          </cell>
          <cell r="R459">
            <v>46172</v>
          </cell>
          <cell r="S459">
            <v>6</v>
          </cell>
          <cell r="T459">
            <v>8</v>
          </cell>
          <cell r="U459">
            <v>12</v>
          </cell>
          <cell r="V459">
            <v>9.0909999999999991E-2</v>
          </cell>
          <cell r="W459">
            <v>3</v>
          </cell>
        </row>
        <row r="460">
          <cell r="A460" t="str">
            <v>S-2026-05-84</v>
          </cell>
          <cell r="B460" t="str">
            <v>ƯU TIÊN GIAO 06-JUN KHI CÓ LIỆU</v>
          </cell>
          <cell r="C460" t="str">
            <v>RPRO-260605-0687</v>
          </cell>
          <cell r="D460" t="str">
            <v>PUR2605250002S</v>
          </cell>
          <cell r="E460" t="str">
            <v>BDB-000391</v>
          </cell>
          <cell r="F460" t="str">
            <v>PVN-004430</v>
          </cell>
          <cell r="G460" t="str">
            <v>OrthoLite HybridPlus-Recycled COLORO 063-98-46 (fluorescent) Hybrid 0.12D 25+/-4 Asker C 1.1M 2M 6mm</v>
          </cell>
          <cell r="H460">
            <v>40</v>
          </cell>
          <cell r="I460">
            <v>40</v>
          </cell>
          <cell r="J460">
            <v>0</v>
          </cell>
          <cell r="K460">
            <v>40</v>
          </cell>
          <cell r="L460" t="str">
            <v>ON RUNNING</v>
          </cell>
          <cell r="M460" t="str">
            <v>SSO-2605-00765</v>
          </cell>
          <cell r="N460" t="str">
            <v>OV-0408</v>
          </cell>
          <cell r="O460" t="str">
            <v>Sample</v>
          </cell>
          <cell r="P460">
            <v>46167</v>
          </cell>
          <cell r="Q460">
            <v>46185</v>
          </cell>
          <cell r="R460">
            <v>46182</v>
          </cell>
          <cell r="S460">
            <v>6</v>
          </cell>
          <cell r="T460">
            <v>18</v>
          </cell>
          <cell r="U460">
            <v>6</v>
          </cell>
          <cell r="V460">
            <v>4.3479999999999998E-2</v>
          </cell>
          <cell r="W460">
            <v>2</v>
          </cell>
        </row>
        <row r="461">
          <cell r="A461" t="str">
            <v>S-2026-05-85</v>
          </cell>
          <cell r="C461" t="str">
            <v>RPRO-260526-0402</v>
          </cell>
          <cell r="D461" t="str">
            <v xml:space="preserve">PUR2605250003S </v>
          </cell>
          <cell r="E461" t="str">
            <v>BDB-000097</v>
          </cell>
          <cell r="F461" t="str">
            <v>PVN-002478</v>
          </cell>
          <cell r="G461" t="str">
            <v>OrthoLite Eco LT-Hybrid SEEDPEARL/12-0703TPX Hybrid Flat Sheet 0.11D 25+/-4 Asker C 1.1M 2M 4mm</v>
          </cell>
          <cell r="H461">
            <v>50</v>
          </cell>
          <cell r="I461">
            <v>50</v>
          </cell>
          <cell r="J461">
            <v>50</v>
          </cell>
          <cell r="K461">
            <v>0</v>
          </cell>
          <cell r="L461" t="str">
            <v>ADIDAS</v>
          </cell>
          <cell r="M461" t="str">
            <v>SSO-2605-01304   - URGENT (6-2)</v>
          </cell>
          <cell r="N461" t="str">
            <v>Flat sheet</v>
          </cell>
          <cell r="O461" t="str">
            <v>Sample</v>
          </cell>
          <cell r="P461">
            <v>46167</v>
          </cell>
          <cell r="Q461">
            <v>46174</v>
          </cell>
          <cell r="R461">
            <v>46171</v>
          </cell>
          <cell r="S461">
            <v>6</v>
          </cell>
          <cell r="T461">
            <v>7</v>
          </cell>
          <cell r="U461">
            <v>4</v>
          </cell>
          <cell r="V461">
            <v>2.8570000000000002E-2</v>
          </cell>
          <cell r="W461">
            <v>2</v>
          </cell>
        </row>
        <row r="462">
          <cell r="A462" t="str">
            <v>S-2026-05-86</v>
          </cell>
          <cell r="C462" t="str">
            <v>RPRO-260527-0578</v>
          </cell>
          <cell r="D462" t="str">
            <v>PUR2600502600002S</v>
          </cell>
          <cell r="E462" t="str">
            <v>BDB-000348</v>
          </cell>
          <cell r="F462" t="str">
            <v>PVN-004195</v>
          </cell>
          <cell r="G462" t="str">
            <v>OrthoLite IMPERIAL SEEDPEARL/12-0703TPX Flat Sheet 0.22D 25+/-4 Asker C 1.1M 1.47M 4mm</v>
          </cell>
          <cell r="H462">
            <v>100</v>
          </cell>
          <cell r="I462">
            <v>100</v>
          </cell>
          <cell r="J462">
            <v>100</v>
          </cell>
          <cell r="K462">
            <v>0</v>
          </cell>
          <cell r="L462" t="str">
            <v>ADIDAS</v>
          </cell>
          <cell r="M462" t="str">
            <v xml:space="preserve"> Sample</v>
          </cell>
          <cell r="N462" t="str">
            <v>LA SHEET</v>
          </cell>
          <cell r="O462" t="str">
            <v>Sample</v>
          </cell>
          <cell r="P462">
            <v>46168</v>
          </cell>
          <cell r="Q462">
            <v>46174</v>
          </cell>
          <cell r="R462">
            <v>46171</v>
          </cell>
          <cell r="S462">
            <v>6</v>
          </cell>
          <cell r="T462">
            <v>6</v>
          </cell>
          <cell r="U462">
            <v>4</v>
          </cell>
          <cell r="V462">
            <v>2.8570000000000002E-2</v>
          </cell>
          <cell r="W462">
            <v>3</v>
          </cell>
        </row>
        <row r="463">
          <cell r="A463" t="str">
            <v>S-2026-05-87</v>
          </cell>
          <cell r="C463" t="str">
            <v>RPRO-260527-0579</v>
          </cell>
          <cell r="D463" t="str">
            <v>PUR2600502600002S</v>
          </cell>
          <cell r="E463" t="str">
            <v>BDB-000348</v>
          </cell>
          <cell r="F463" t="str">
            <v>PVN-004210</v>
          </cell>
          <cell r="G463" t="str">
            <v>OrthoLite IMPERIAL SEEDPEARL/12-0703TPX Flat Sheet 0.22D 25+/-4 Asker C 1.1M 1.47M 5mm</v>
          </cell>
          <cell r="H463">
            <v>100</v>
          </cell>
          <cell r="I463">
            <v>100</v>
          </cell>
          <cell r="J463">
            <v>100</v>
          </cell>
          <cell r="K463">
            <v>0</v>
          </cell>
          <cell r="L463" t="str">
            <v>ADIDAS</v>
          </cell>
          <cell r="M463" t="str">
            <v xml:space="preserve"> Sample</v>
          </cell>
          <cell r="N463" t="str">
            <v>LA SHEET</v>
          </cell>
          <cell r="O463" t="str">
            <v>Sample</v>
          </cell>
          <cell r="P463">
            <v>46168</v>
          </cell>
          <cell r="Q463">
            <v>46174</v>
          </cell>
          <cell r="R463">
            <v>46171</v>
          </cell>
          <cell r="S463">
            <v>6</v>
          </cell>
          <cell r="T463">
            <v>6</v>
          </cell>
          <cell r="U463">
            <v>5</v>
          </cell>
          <cell r="V463">
            <v>3.5709999999999999E-2</v>
          </cell>
          <cell r="W463">
            <v>4</v>
          </cell>
        </row>
        <row r="464">
          <cell r="A464" t="str">
            <v>S-2026-05-88</v>
          </cell>
          <cell r="C464" t="str">
            <v>RPRO-260527-0580</v>
          </cell>
          <cell r="D464" t="str">
            <v>PUR2600502700001S</v>
          </cell>
          <cell r="E464" t="str">
            <v>BDB-000162</v>
          </cell>
          <cell r="F464" t="str">
            <v>PVN-001566</v>
          </cell>
          <cell r="G464" t="str">
            <v>OrthoLite Ultra-Nike SEEDPEARL/12-0703TPX Flat Sheet 0.085D 25+/-4 Asker C 1.1M 2M 4mm</v>
          </cell>
          <cell r="H464">
            <v>70</v>
          </cell>
          <cell r="I464">
            <v>70</v>
          </cell>
          <cell r="J464">
            <v>70</v>
          </cell>
          <cell r="K464">
            <v>0</v>
          </cell>
          <cell r="L464" t="str">
            <v>NIKE</v>
          </cell>
          <cell r="M464" t="str">
            <v xml:space="preserve"> Sample/ URGENT</v>
          </cell>
          <cell r="N464" t="str">
            <v>DIE CUT</v>
          </cell>
          <cell r="O464" t="str">
            <v>Sample</v>
          </cell>
          <cell r="P464">
            <v>46169</v>
          </cell>
          <cell r="Q464">
            <v>46176</v>
          </cell>
          <cell r="R464">
            <v>46173</v>
          </cell>
          <cell r="S464">
            <v>6</v>
          </cell>
          <cell r="T464">
            <v>7</v>
          </cell>
          <cell r="U464">
            <v>4</v>
          </cell>
          <cell r="V464">
            <v>2.8570000000000002E-2</v>
          </cell>
          <cell r="W464">
            <v>2</v>
          </cell>
        </row>
        <row r="465">
          <cell r="A465" t="str">
            <v>S-2026-05-89</v>
          </cell>
          <cell r="C465" t="str">
            <v>RPRO-260527-0581</v>
          </cell>
          <cell r="D465" t="str">
            <v>PUR2600502700001S</v>
          </cell>
          <cell r="E465" t="str">
            <v>BDB-000129</v>
          </cell>
          <cell r="F465" t="str">
            <v>PVN-001550</v>
          </cell>
          <cell r="G465" t="str">
            <v>OrthoLite Regular-Nike AIR BLUE/16-4134TPX Flat Sheet 0.11D 25+/-4 Asker C 1.1M 1.7M 2mm</v>
          </cell>
          <cell r="H465">
            <v>50</v>
          </cell>
          <cell r="I465">
            <v>50</v>
          </cell>
          <cell r="J465">
            <v>50</v>
          </cell>
          <cell r="K465">
            <v>0</v>
          </cell>
          <cell r="L465" t="str">
            <v>NIKE</v>
          </cell>
          <cell r="M465" t="str">
            <v xml:space="preserve"> Sample</v>
          </cell>
          <cell r="N465" t="str">
            <v>DIE CUT</v>
          </cell>
          <cell r="O465" t="str">
            <v>Sample</v>
          </cell>
          <cell r="P465">
            <v>46169</v>
          </cell>
          <cell r="Q465">
            <v>46176</v>
          </cell>
          <cell r="R465">
            <v>46173</v>
          </cell>
          <cell r="S465">
            <v>6</v>
          </cell>
          <cell r="T465">
            <v>7</v>
          </cell>
          <cell r="U465">
            <v>2</v>
          </cell>
          <cell r="V465">
            <v>1.4290000000000001E-2</v>
          </cell>
          <cell r="W465">
            <v>1</v>
          </cell>
        </row>
        <row r="466">
          <cell r="A466" t="str">
            <v>S-2026-05-90</v>
          </cell>
          <cell r="C466" t="str">
            <v>RPRO-260527-0582</v>
          </cell>
          <cell r="D466" t="str">
            <v>PUR2600502700001S</v>
          </cell>
          <cell r="E466" t="str">
            <v>BDB-000157</v>
          </cell>
          <cell r="F466" t="str">
            <v>PVN-003573</v>
          </cell>
          <cell r="G466" t="str">
            <v>OrthoLite X-35-Hybrid-Nike SEEDPEARL/12-0703TPX Hybrid Flat Sheet 0.145D 25+/-4 Asker C 1.1M 2M 4.2mm</v>
          </cell>
          <cell r="H466">
            <v>40</v>
          </cell>
          <cell r="I466">
            <v>40</v>
          </cell>
          <cell r="J466">
            <v>40</v>
          </cell>
          <cell r="K466">
            <v>0</v>
          </cell>
          <cell r="L466" t="str">
            <v>NIKE</v>
          </cell>
          <cell r="M466" t="str">
            <v xml:space="preserve"> Sample</v>
          </cell>
          <cell r="N466" t="str">
            <v>MOLDED</v>
          </cell>
          <cell r="O466" t="str">
            <v>Sample</v>
          </cell>
          <cell r="P466">
            <v>46169</v>
          </cell>
          <cell r="Q466">
            <v>46176</v>
          </cell>
          <cell r="R466">
            <v>46173</v>
          </cell>
          <cell r="S466">
            <v>6</v>
          </cell>
          <cell r="T466">
            <v>7</v>
          </cell>
          <cell r="U466">
            <v>4.2</v>
          </cell>
          <cell r="V466">
            <v>3.0300000000000001E-2</v>
          </cell>
          <cell r="W466">
            <v>2</v>
          </cell>
        </row>
        <row r="467">
          <cell r="A467" t="str">
            <v>S-2026-05-91</v>
          </cell>
          <cell r="C467" t="str">
            <v>RPRO-260527-0583</v>
          </cell>
          <cell r="D467" t="str">
            <v>PUR2600502700001S</v>
          </cell>
          <cell r="E467" t="str">
            <v>BDB-000385</v>
          </cell>
          <cell r="F467" t="str">
            <v>PVN-004381</v>
          </cell>
          <cell r="G467" t="str">
            <v>OrthoLite Impressions-Nike TAWNY PORT/19-1725TPX Flat Sheet 0.15D 70-80 Asker F 1.1M 1.7M 3mm</v>
          </cell>
          <cell r="H467">
            <v>70</v>
          </cell>
          <cell r="I467">
            <v>70</v>
          </cell>
          <cell r="J467">
            <v>70</v>
          </cell>
          <cell r="K467">
            <v>0</v>
          </cell>
          <cell r="L467" t="str">
            <v>NIKE</v>
          </cell>
          <cell r="M467" t="str">
            <v xml:space="preserve"> Sample/ URGENT</v>
          </cell>
          <cell r="N467" t="str">
            <v>DIE CUT</v>
          </cell>
          <cell r="O467" t="str">
            <v>Sample</v>
          </cell>
          <cell r="P467">
            <v>46169</v>
          </cell>
          <cell r="Q467">
            <v>46176</v>
          </cell>
          <cell r="R467">
            <v>46172</v>
          </cell>
          <cell r="S467">
            <v>6</v>
          </cell>
          <cell r="T467">
            <v>7</v>
          </cell>
          <cell r="U467">
            <v>3</v>
          </cell>
          <cell r="V467">
            <v>2.1739999999999999E-2</v>
          </cell>
          <cell r="W467">
            <v>2</v>
          </cell>
        </row>
        <row r="468">
          <cell r="A468" t="str">
            <v>S-2026-05-92</v>
          </cell>
          <cell r="C468" t="str">
            <v>RPRO-260528-0001</v>
          </cell>
          <cell r="D468" t="str">
            <v>PUR2605270002S</v>
          </cell>
          <cell r="E468" t="str">
            <v>BDB-000179</v>
          </cell>
          <cell r="F468" t="str">
            <v>PVN-004107</v>
          </cell>
          <cell r="G468" t="str">
            <v>OrthoLite X-55 RED/19-1764TPX Flat Sheet 0.16D 25+/-4 Asker C 1.1M 1.7M 5.5mm</v>
          </cell>
          <cell r="H468">
            <v>30</v>
          </cell>
          <cell r="I468">
            <v>30</v>
          </cell>
          <cell r="J468">
            <v>30</v>
          </cell>
          <cell r="K468">
            <v>0</v>
          </cell>
          <cell r="L468" t="str">
            <v>LULULEMON</v>
          </cell>
          <cell r="M468" t="str">
            <v>SSO-2605-01396/SSO-2605-01403</v>
          </cell>
          <cell r="N468" t="str">
            <v>OV-0452</v>
          </cell>
          <cell r="O468" t="str">
            <v>Sample</v>
          </cell>
          <cell r="P468">
            <v>46169</v>
          </cell>
          <cell r="Q468">
            <v>46176</v>
          </cell>
          <cell r="R468">
            <v>46173</v>
          </cell>
          <cell r="S468">
            <v>6</v>
          </cell>
          <cell r="T468">
            <v>7</v>
          </cell>
          <cell r="U468">
            <v>5.5</v>
          </cell>
          <cell r="V468">
            <v>0.04</v>
          </cell>
          <cell r="W468">
            <v>2</v>
          </cell>
        </row>
        <row r="469">
          <cell r="A469" t="str">
            <v>S-2026-05-93</v>
          </cell>
          <cell r="C469" t="str">
            <v>RPRO-260529-0339</v>
          </cell>
          <cell r="D469" t="str">
            <v>PUR2605280001S</v>
          </cell>
          <cell r="E469" t="str">
            <v>BDB-000058</v>
          </cell>
          <cell r="F469" t="str">
            <v>PVN-001277</v>
          </cell>
          <cell r="G469" t="str">
            <v>OrthoLite Ultra GREEN/16-5932TPX Flat Sheet 0.085D 25+/-4 Asker C 1.1M 2M 4mm</v>
          </cell>
          <cell r="H469">
            <v>50</v>
          </cell>
          <cell r="I469">
            <v>50</v>
          </cell>
          <cell r="J469">
            <v>50</v>
          </cell>
          <cell r="K469">
            <v>0</v>
          </cell>
          <cell r="L469" t="str">
            <v>ADIDAS</v>
          </cell>
          <cell r="M469" t="str">
            <v>SSO-2605-01455   - URGENT (6-5)</v>
          </cell>
          <cell r="N469" t="str">
            <v>Flat sheet</v>
          </cell>
          <cell r="O469" t="str">
            <v>Sample</v>
          </cell>
          <cell r="P469">
            <v>46170</v>
          </cell>
          <cell r="Q469">
            <v>46177</v>
          </cell>
          <cell r="R469">
            <v>46174</v>
          </cell>
          <cell r="S469">
            <v>6</v>
          </cell>
          <cell r="T469">
            <v>7</v>
          </cell>
          <cell r="U469">
            <v>4</v>
          </cell>
          <cell r="V469">
            <v>2.8570000000000002E-2</v>
          </cell>
          <cell r="W469">
            <v>2</v>
          </cell>
        </row>
        <row r="470">
          <cell r="A470" t="str">
            <v>S-2026-05-94</v>
          </cell>
          <cell r="C470" t="str">
            <v>RPRO-260529-0340</v>
          </cell>
          <cell r="D470" t="str">
            <v>PUR2600502900001S</v>
          </cell>
          <cell r="E470" t="str">
            <v>BDB-000123</v>
          </cell>
          <cell r="F470" t="str">
            <v>PVN-003815</v>
          </cell>
          <cell r="G470" t="str">
            <v>OrthoLite Ultra-Hybrid SEEDPEARL/12-0703TPX Hybrid Flat Sheet 0.085D 25+/-4 Asker C 1.1M 2M 6mm</v>
          </cell>
          <cell r="H470">
            <v>30</v>
          </cell>
          <cell r="I470">
            <v>30</v>
          </cell>
          <cell r="J470">
            <v>30</v>
          </cell>
          <cell r="K470">
            <v>0</v>
          </cell>
          <cell r="L470" t="str">
            <v>FOOTJOY</v>
          </cell>
          <cell r="M470" t="str">
            <v xml:space="preserve"> Sample/ URGENT</v>
          </cell>
          <cell r="N470" t="str">
            <v>MOLDED</v>
          </cell>
          <cell r="O470" t="str">
            <v>Sample</v>
          </cell>
          <cell r="P470">
            <v>46171</v>
          </cell>
          <cell r="Q470">
            <v>46177</v>
          </cell>
          <cell r="R470">
            <v>46174</v>
          </cell>
          <cell r="S470">
            <v>6</v>
          </cell>
          <cell r="T470">
            <v>6</v>
          </cell>
          <cell r="U470">
            <v>6</v>
          </cell>
          <cell r="V470">
            <v>4.3479999999999998E-2</v>
          </cell>
          <cell r="W470">
            <v>2</v>
          </cell>
        </row>
        <row r="471">
          <cell r="A471" t="str">
            <v>S-2026-05-95</v>
          </cell>
          <cell r="B471" t="str">
            <v>Xịn dời ETD</v>
          </cell>
          <cell r="C471" t="str">
            <v>RPRO-260529-0341</v>
          </cell>
          <cell r="D471" t="str">
            <v>PUR2600502900001S</v>
          </cell>
          <cell r="E471" t="str">
            <v>BDB-000314</v>
          </cell>
          <cell r="F471" t="str">
            <v>PVN-004066</v>
          </cell>
          <cell r="G471" t="str">
            <v>OrthoLite Regular NEUTRAL GRAY/17-4402TPX Flat Sheet 0.16D 51+/-4 Asker C 1.1M 1.7M 9.5mm</v>
          </cell>
          <cell r="H471">
            <v>30</v>
          </cell>
          <cell r="I471">
            <v>30</v>
          </cell>
          <cell r="J471">
            <v>100</v>
          </cell>
          <cell r="K471">
            <v>-70</v>
          </cell>
          <cell r="L471" t="str">
            <v>FOOTJOY</v>
          </cell>
          <cell r="M471" t="str">
            <v xml:space="preserve"> Sample</v>
          </cell>
          <cell r="N471" t="str">
            <v>MOLDED</v>
          </cell>
          <cell r="O471" t="str">
            <v>Sample</v>
          </cell>
          <cell r="P471">
            <v>46171</v>
          </cell>
          <cell r="Q471">
            <v>46181</v>
          </cell>
          <cell r="R471">
            <v>46178</v>
          </cell>
          <cell r="S471">
            <v>6</v>
          </cell>
          <cell r="T471">
            <v>10</v>
          </cell>
          <cell r="U471">
            <v>9.5</v>
          </cell>
          <cell r="V471">
            <v>7.1429999999999993E-2</v>
          </cell>
          <cell r="W471">
            <v>3</v>
          </cell>
        </row>
        <row r="472">
          <cell r="A472" t="str">
            <v>S-2026-05-96</v>
          </cell>
          <cell r="C472" t="str">
            <v>RPRO-260529-0342</v>
          </cell>
          <cell r="D472" t="str">
            <v>PUR2600502900001S</v>
          </cell>
          <cell r="E472" t="str">
            <v>BDB-000382</v>
          </cell>
          <cell r="F472" t="str">
            <v>PVN-004363</v>
          </cell>
          <cell r="G472" t="str">
            <v>OrthoLite Regular FOSSIL/17-0909TPX Flat Sheet 0.16D 51+/-4 Asker C 1.1M 1.7M 9.5mm</v>
          </cell>
          <cell r="H472">
            <v>20</v>
          </cell>
          <cell r="I472">
            <v>20</v>
          </cell>
          <cell r="J472">
            <v>20</v>
          </cell>
          <cell r="K472">
            <v>0</v>
          </cell>
          <cell r="L472" t="str">
            <v>FOOTJOY</v>
          </cell>
          <cell r="M472" t="str">
            <v xml:space="preserve"> Sample</v>
          </cell>
          <cell r="N472" t="str">
            <v>MOLDED</v>
          </cell>
          <cell r="O472" t="str">
            <v>Sample</v>
          </cell>
          <cell r="P472">
            <v>46171</v>
          </cell>
          <cell r="Q472">
            <v>46178</v>
          </cell>
          <cell r="R472">
            <v>46175</v>
          </cell>
          <cell r="S472">
            <v>6</v>
          </cell>
          <cell r="T472">
            <v>7</v>
          </cell>
          <cell r="U472">
            <v>9.5</v>
          </cell>
          <cell r="V472">
            <v>6.6669999999999993E-2</v>
          </cell>
          <cell r="W472">
            <v>2</v>
          </cell>
        </row>
        <row r="473">
          <cell r="A473" t="str">
            <v>S-2026-05-97</v>
          </cell>
          <cell r="C473" t="str">
            <v>RPRO-260529-0343</v>
          </cell>
          <cell r="D473" t="str">
            <v>PUR2600502900001S</v>
          </cell>
          <cell r="E473" t="str">
            <v>BDB-000387</v>
          </cell>
          <cell r="F473" t="str">
            <v>PVN-004385</v>
          </cell>
          <cell r="G473" t="str">
            <v>OrthoLite Regular AMAZON/18-6024TPX Flat Sheet 0.16D 51+/-4 Asker C 1.1M 1.7M 9.5mm</v>
          </cell>
          <cell r="H473">
            <v>20</v>
          </cell>
          <cell r="I473">
            <v>20</v>
          </cell>
          <cell r="J473">
            <v>20</v>
          </cell>
          <cell r="K473">
            <v>0</v>
          </cell>
          <cell r="L473" t="str">
            <v>FOOTJOY</v>
          </cell>
          <cell r="M473" t="str">
            <v xml:space="preserve"> Sample</v>
          </cell>
          <cell r="N473" t="str">
            <v>MOLDED</v>
          </cell>
          <cell r="O473" t="str">
            <v>Sample</v>
          </cell>
          <cell r="P473">
            <v>46171</v>
          </cell>
          <cell r="Q473">
            <v>46178</v>
          </cell>
          <cell r="R473">
            <v>46175</v>
          </cell>
          <cell r="S473">
            <v>6</v>
          </cell>
          <cell r="T473">
            <v>7</v>
          </cell>
          <cell r="U473">
            <v>9.5</v>
          </cell>
          <cell r="V473">
            <v>6.6669999999999993E-2</v>
          </cell>
          <cell r="W473">
            <v>2</v>
          </cell>
        </row>
        <row r="474">
          <cell r="A474" t="str">
            <v>S-2026-05-98</v>
          </cell>
          <cell r="B474" t="str">
            <v>Xịn dời ETD</v>
          </cell>
          <cell r="C474" t="str">
            <v>RPRO-260529-0344</v>
          </cell>
          <cell r="D474" t="str">
            <v>PUR2600502900001S</v>
          </cell>
          <cell r="E474" t="str">
            <v>BDB-000378</v>
          </cell>
          <cell r="F474" t="str">
            <v>PVN-004336</v>
          </cell>
          <cell r="G474" t="str">
            <v>OrthoLite Regular AMAZON/18-6024TPX Flat Sheet 0.15D 45+/-4 Asker C 1.1M 1.7M 9.8mm</v>
          </cell>
          <cell r="H474">
            <v>20</v>
          </cell>
          <cell r="I474">
            <v>20</v>
          </cell>
          <cell r="J474">
            <v>0</v>
          </cell>
          <cell r="K474">
            <v>20</v>
          </cell>
          <cell r="L474" t="str">
            <v>FOOTJOY</v>
          </cell>
          <cell r="M474" t="str">
            <v xml:space="preserve"> Sample</v>
          </cell>
          <cell r="N474" t="str">
            <v>MOLDED</v>
          </cell>
          <cell r="O474" t="str">
            <v>Sample</v>
          </cell>
          <cell r="P474">
            <v>46171</v>
          </cell>
          <cell r="Q474">
            <v>46182</v>
          </cell>
          <cell r="R474">
            <v>46179</v>
          </cell>
          <cell r="S474">
            <v>6</v>
          </cell>
          <cell r="T474">
            <v>11</v>
          </cell>
          <cell r="U474">
            <v>9.8000000000000007</v>
          </cell>
          <cell r="V474">
            <v>7.1429999999999993E-2</v>
          </cell>
          <cell r="W474">
            <v>2</v>
          </cell>
        </row>
        <row r="475">
          <cell r="A475" t="str">
            <v>S-2026-05-99</v>
          </cell>
          <cell r="B475" t="str">
            <v>Xịn dời ETD</v>
          </cell>
          <cell r="C475" t="str">
            <v>RPRO-260529-0345</v>
          </cell>
          <cell r="D475" t="str">
            <v>PUR2600502900001S</v>
          </cell>
          <cell r="E475" t="str">
            <v>BDB-000291</v>
          </cell>
          <cell r="F475" t="str">
            <v>PVN-004250</v>
          </cell>
          <cell r="G475" t="str">
            <v>OrthoLite Regular NEUTRAL GRAY/17-4402TPX Flat Sheet 0.15D 45+/-4 Asker C 1.1M 1.7M 9.8mm</v>
          </cell>
          <cell r="H475">
            <v>30</v>
          </cell>
          <cell r="I475">
            <v>30</v>
          </cell>
          <cell r="J475">
            <v>30</v>
          </cell>
          <cell r="K475">
            <v>0</v>
          </cell>
          <cell r="L475" t="str">
            <v>FOOTJOY</v>
          </cell>
          <cell r="M475" t="str">
            <v xml:space="preserve"> Sample</v>
          </cell>
          <cell r="N475" t="str">
            <v>MOLDED</v>
          </cell>
          <cell r="O475" t="str">
            <v>Sample</v>
          </cell>
          <cell r="P475">
            <v>46171</v>
          </cell>
          <cell r="Q475">
            <v>46178</v>
          </cell>
          <cell r="R475">
            <v>46175</v>
          </cell>
          <cell r="S475">
            <v>6</v>
          </cell>
          <cell r="T475">
            <v>7</v>
          </cell>
          <cell r="U475">
            <v>9.8000000000000007</v>
          </cell>
          <cell r="V475">
            <v>7.1429999999999993E-2</v>
          </cell>
          <cell r="W475">
            <v>3</v>
          </cell>
        </row>
        <row r="476">
          <cell r="A476" t="str">
            <v>S-2026-05-100</v>
          </cell>
          <cell r="C476" t="str">
            <v>RPRO-260529-0346</v>
          </cell>
          <cell r="D476" t="str">
            <v>PUR2600502900001S</v>
          </cell>
          <cell r="E476" t="str">
            <v>BDB-000051</v>
          </cell>
          <cell r="F476" t="str">
            <v>PVN-003324</v>
          </cell>
          <cell r="G476" t="str">
            <v>OrthoLite X-40 TRUE BLUE/19-4057TPX Flat Sheet 0.16D 25+/-4 Asker C 1.1M 1.7M 7.5mm</v>
          </cell>
          <cell r="H476">
            <v>10</v>
          </cell>
          <cell r="I476">
            <v>10</v>
          </cell>
          <cell r="J476">
            <v>10</v>
          </cell>
          <cell r="K476">
            <v>0</v>
          </cell>
          <cell r="L476" t="str">
            <v>FOOTJOY</v>
          </cell>
          <cell r="M476" t="str">
            <v xml:space="preserve"> Sample/ URGENT</v>
          </cell>
          <cell r="N476" t="str">
            <v>MOLDED</v>
          </cell>
          <cell r="O476" t="str">
            <v>Sample</v>
          </cell>
          <cell r="P476">
            <v>46171</v>
          </cell>
          <cell r="Q476">
            <v>46177</v>
          </cell>
          <cell r="R476">
            <v>46174</v>
          </cell>
          <cell r="S476">
            <v>6</v>
          </cell>
          <cell r="T476">
            <v>6</v>
          </cell>
          <cell r="U476">
            <v>7.5</v>
          </cell>
          <cell r="V476">
            <v>5.5559999999999998E-2</v>
          </cell>
          <cell r="W476">
            <v>1</v>
          </cell>
        </row>
        <row r="477">
          <cell r="A477" t="str">
            <v>S-2026-05-102</v>
          </cell>
          <cell r="C477" t="str">
            <v>RPRO-260601-0847</v>
          </cell>
          <cell r="D477" t="str">
            <v>PUR-202606010001S</v>
          </cell>
          <cell r="E477" t="str">
            <v>BDB-000123</v>
          </cell>
          <cell r="F477" t="str">
            <v>PVN-003298</v>
          </cell>
          <cell r="G477" t="str">
            <v>OrthoLite Ultra-Hybrid SEEDPEARL/12-0703TPX Hybrid 0.085D 25+/-4 Asker C 1.1M 2M 4mm</v>
          </cell>
          <cell r="H477">
            <v>100</v>
          </cell>
          <cell r="I477">
            <v>100</v>
          </cell>
          <cell r="J477">
            <v>100</v>
          </cell>
          <cell r="K477">
            <v>0</v>
          </cell>
          <cell r="L477" t="str">
            <v>SALOMON</v>
          </cell>
          <cell r="M477" t="str">
            <v>Sample</v>
          </cell>
          <cell r="N477" t="str">
            <v>FL SHEET</v>
          </cell>
          <cell r="O477" t="str">
            <v>Sample</v>
          </cell>
          <cell r="P477">
            <v>46174</v>
          </cell>
          <cell r="Q477">
            <v>46181</v>
          </cell>
          <cell r="R477">
            <v>46178</v>
          </cell>
          <cell r="S477">
            <v>6</v>
          </cell>
          <cell r="T477">
            <v>7</v>
          </cell>
          <cell r="U477">
            <v>4</v>
          </cell>
          <cell r="V477">
            <v>2.8570000000000002E-2</v>
          </cell>
          <cell r="W477">
            <v>3</v>
          </cell>
        </row>
        <row r="478">
          <cell r="A478" t="str">
            <v>S-2026-05-103</v>
          </cell>
          <cell r="C478" t="str">
            <v>RPRO-260601-0848</v>
          </cell>
          <cell r="D478" t="str">
            <v>PUR-202606010001S</v>
          </cell>
          <cell r="E478" t="str">
            <v>BDB-000123</v>
          </cell>
          <cell r="F478" t="str">
            <v>PVN-002973</v>
          </cell>
          <cell r="G478" t="str">
            <v>UltraLite-Hybrid OrthoLite SEEDPEARL/12-0703TPX Hybrid Flat Sheet 0.085D 25+/-4 Asker C 1.1M 2M 4.5mm</v>
          </cell>
          <cell r="H478">
            <v>30</v>
          </cell>
          <cell r="I478">
            <v>30</v>
          </cell>
          <cell r="J478">
            <v>30</v>
          </cell>
          <cell r="K478">
            <v>0</v>
          </cell>
          <cell r="L478" t="str">
            <v>SALOMON</v>
          </cell>
          <cell r="M478" t="str">
            <v>Sample</v>
          </cell>
          <cell r="N478" t="str">
            <v>MOLDED</v>
          </cell>
          <cell r="O478" t="str">
            <v>Sample</v>
          </cell>
          <cell r="P478">
            <v>46174</v>
          </cell>
          <cell r="Q478">
            <v>46181</v>
          </cell>
          <cell r="R478">
            <v>46178</v>
          </cell>
          <cell r="S478">
            <v>6</v>
          </cell>
          <cell r="T478">
            <v>7</v>
          </cell>
          <cell r="U478">
            <v>4.5</v>
          </cell>
          <cell r="V478">
            <v>3.2259999999999997E-2</v>
          </cell>
          <cell r="W478">
            <v>1</v>
          </cell>
        </row>
        <row r="479">
          <cell r="A479" t="str">
            <v>S-2026-05-104</v>
          </cell>
          <cell r="C479" t="str">
            <v>RPRO-260601-0849</v>
          </cell>
          <cell r="D479" t="str">
            <v>PUR-202606010001S</v>
          </cell>
          <cell r="E479" t="str">
            <v>BDB-000113</v>
          </cell>
          <cell r="F479" t="str">
            <v>PVN-002465</v>
          </cell>
          <cell r="G479" t="str">
            <v>OrthoLite Regular-Hybrid SEEDPEARL/12-0703TPX Hybrid Flat Sheet 0.11D 25+/-4 Asker C 1.1M 2M 5mm</v>
          </cell>
          <cell r="H479">
            <v>50</v>
          </cell>
          <cell r="I479">
            <v>50</v>
          </cell>
          <cell r="J479">
            <v>50</v>
          </cell>
          <cell r="K479">
            <v>0</v>
          </cell>
          <cell r="L479" t="str">
            <v>ASICS</v>
          </cell>
          <cell r="M479" t="str">
            <v>Sample</v>
          </cell>
          <cell r="N479" t="str">
            <v>DIE-CUT</v>
          </cell>
          <cell r="O479" t="str">
            <v>Sample</v>
          </cell>
          <cell r="P479">
            <v>46174</v>
          </cell>
          <cell r="Q479">
            <v>46181</v>
          </cell>
          <cell r="R479">
            <v>46178</v>
          </cell>
          <cell r="S479">
            <v>6</v>
          </cell>
          <cell r="T479">
            <v>7</v>
          </cell>
          <cell r="U479">
            <v>5</v>
          </cell>
          <cell r="V479">
            <v>3.5709999999999999E-2</v>
          </cell>
          <cell r="W479">
            <v>2</v>
          </cell>
        </row>
        <row r="480">
          <cell r="A480" t="str">
            <v>S-2026-05-105</v>
          </cell>
          <cell r="C480" t="str">
            <v>RPRO-260601-0850</v>
          </cell>
          <cell r="D480" t="str">
            <v xml:space="preserve">PUR-202606010001S </v>
          </cell>
          <cell r="E480" t="str">
            <v>BDB-000058</v>
          </cell>
          <cell r="F480" t="str">
            <v>PVN-003630</v>
          </cell>
          <cell r="G480" t="str">
            <v>OrthoLite Ultra GREEN/16-5932TPX Flat Sheet 0.085D 25+/-4 Asker C 1.1M 2M 2mm</v>
          </cell>
          <cell r="H480">
            <v>30</v>
          </cell>
          <cell r="I480">
            <v>30</v>
          </cell>
          <cell r="J480">
            <v>30</v>
          </cell>
          <cell r="K480">
            <v>0</v>
          </cell>
          <cell r="L480" t="str">
            <v>UNDER ARMOUR</v>
          </cell>
          <cell r="M480" t="str">
            <v>SSO-2606-00021    - URGENT (6-8)</v>
          </cell>
          <cell r="N480" t="str">
            <v>Flat sheet</v>
          </cell>
          <cell r="O480" t="str">
            <v>Sample</v>
          </cell>
          <cell r="P480">
            <v>46174</v>
          </cell>
          <cell r="Q480">
            <v>46181</v>
          </cell>
          <cell r="R480">
            <v>46178</v>
          </cell>
          <cell r="S480">
            <v>6</v>
          </cell>
          <cell r="T480">
            <v>7</v>
          </cell>
          <cell r="U480">
            <v>2</v>
          </cell>
          <cell r="V480">
            <v>1.4290000000000001E-2</v>
          </cell>
          <cell r="W480">
            <v>1</v>
          </cell>
        </row>
        <row r="481">
          <cell r="A481" t="str">
            <v>S-2026-05-106</v>
          </cell>
          <cell r="C481" t="str">
            <v>RPRO-260601-0851</v>
          </cell>
          <cell r="D481" t="str">
            <v xml:space="preserve">PUR-202606010001S </v>
          </cell>
          <cell r="E481" t="str">
            <v>BDB-000180</v>
          </cell>
          <cell r="F481" t="str">
            <v>PVN-003236</v>
          </cell>
          <cell r="G481" t="str">
            <v>OrthoLite Eco LT-Hybrid-Converse SEEDPEARL/12-0703TPX Hybrid Flat Sheet 0.13D 25+/-4 Asker C 1.1M 2M 5mm</v>
          </cell>
          <cell r="H481">
            <v>50</v>
          </cell>
          <cell r="I481">
            <v>50</v>
          </cell>
          <cell r="J481">
            <v>50</v>
          </cell>
          <cell r="K481">
            <v>0</v>
          </cell>
          <cell r="L481" t="str">
            <v>CONVERSE</v>
          </cell>
          <cell r="M481" t="str">
            <v>Sample</v>
          </cell>
          <cell r="N481" t="str">
            <v>Die cut</v>
          </cell>
          <cell r="O481" t="str">
            <v>Sample</v>
          </cell>
          <cell r="P481">
            <v>46174</v>
          </cell>
          <cell r="Q481">
            <v>46181</v>
          </cell>
          <cell r="R481">
            <v>46178</v>
          </cell>
          <cell r="S481">
            <v>6</v>
          </cell>
          <cell r="T481">
            <v>7</v>
          </cell>
          <cell r="U481">
            <v>5</v>
          </cell>
          <cell r="V481">
            <v>3.5709999999999999E-2</v>
          </cell>
          <cell r="W481">
            <v>2</v>
          </cell>
        </row>
        <row r="482">
          <cell r="A482" t="str">
            <v>S-2026-06-01</v>
          </cell>
          <cell r="C482" t="str">
            <v>RPRO-260602-0720</v>
          </cell>
          <cell r="D482" t="str">
            <v>PUR-202606010001S</v>
          </cell>
          <cell r="E482" t="str">
            <v>BDB-000234</v>
          </cell>
          <cell r="F482" t="str">
            <v>PVN-004433</v>
          </cell>
          <cell r="G482" t="str">
            <v>OrthoLite X-30-Hybrid BROWN SUGAR/17-1134TPX Hybrid Flat Sheet 0.13D 25+/-4 Asker C 1.1M 2M 15mm</v>
          </cell>
          <cell r="H482">
            <v>10</v>
          </cell>
          <cell r="I482">
            <v>10</v>
          </cell>
          <cell r="J482">
            <v>10</v>
          </cell>
          <cell r="K482">
            <v>0</v>
          </cell>
          <cell r="L482" t="str">
            <v>ASICS</v>
          </cell>
          <cell r="M482" t="str">
            <v>Sample</v>
          </cell>
          <cell r="N482" t="str">
            <v xml:space="preserve">DIE-CUT
URGENT </v>
          </cell>
          <cell r="O482" t="str">
            <v>Sample</v>
          </cell>
          <cell r="P482">
            <v>46174</v>
          </cell>
          <cell r="Q482">
            <v>46181</v>
          </cell>
          <cell r="R482">
            <v>46178</v>
          </cell>
          <cell r="S482">
            <v>6</v>
          </cell>
          <cell r="T482">
            <v>7</v>
          </cell>
          <cell r="U482">
            <v>15</v>
          </cell>
          <cell r="V482">
            <v>0.11111</v>
          </cell>
          <cell r="W482">
            <v>2</v>
          </cell>
        </row>
        <row r="483">
          <cell r="A483" t="str">
            <v>S-2026-06-02</v>
          </cell>
          <cell r="C483" t="str">
            <v>RPRO-260602-0721</v>
          </cell>
          <cell r="D483" t="str">
            <v>PUR2600600100003S</v>
          </cell>
          <cell r="E483" t="str">
            <v>BDB-000212</v>
          </cell>
          <cell r="F483" t="str">
            <v>PVN-003764</v>
          </cell>
          <cell r="G483" t="str">
            <v>OrthoLite X-25-Hybrid SEEDPEARL/12-0703TPX Hybrid Flat Sheet 0.12D 20+/-4 Asker C 1.1M 2M 5mm</v>
          </cell>
          <cell r="H483">
            <v>30</v>
          </cell>
          <cell r="I483">
            <v>30</v>
          </cell>
          <cell r="J483">
            <v>30</v>
          </cell>
          <cell r="K483">
            <v>0</v>
          </cell>
          <cell r="L483" t="str">
            <v>FOOTJOY</v>
          </cell>
          <cell r="M483" t="str">
            <v xml:space="preserve"> Sample/ URGENT</v>
          </cell>
          <cell r="N483" t="str">
            <v>MOLDED</v>
          </cell>
          <cell r="O483" t="str">
            <v>Sample</v>
          </cell>
          <cell r="P483">
            <v>46174</v>
          </cell>
          <cell r="Q483">
            <v>46181</v>
          </cell>
          <cell r="R483">
            <v>46178</v>
          </cell>
          <cell r="S483">
            <v>6</v>
          </cell>
          <cell r="T483">
            <v>7</v>
          </cell>
          <cell r="U483">
            <v>5</v>
          </cell>
          <cell r="V483">
            <v>3.5709999999999999E-2</v>
          </cell>
          <cell r="W483">
            <v>2</v>
          </cell>
        </row>
        <row r="484">
          <cell r="A484" t="str">
            <v>S-2026-06-03</v>
          </cell>
          <cell r="C484" t="str">
            <v>RPRO-260602-0722</v>
          </cell>
          <cell r="D484" t="str">
            <v>PUR-202606020001S</v>
          </cell>
          <cell r="E484" t="str">
            <v>BDB-000321</v>
          </cell>
          <cell r="F484" t="str">
            <v>PVN-004092</v>
          </cell>
          <cell r="G484" t="str">
            <v>OrthoLite Float BLUE ATOLL/16-4535TPX Flat Sheet 0.12D 21+/-4 Asker C 1.1M 2M 14.5mm</v>
          </cell>
          <cell r="H484">
            <v>30</v>
          </cell>
          <cell r="I484">
            <v>30</v>
          </cell>
          <cell r="J484">
            <v>0</v>
          </cell>
          <cell r="K484">
            <v>30</v>
          </cell>
          <cell r="L484" t="str">
            <v>LOWA</v>
          </cell>
          <cell r="M484" t="str">
            <v>Sample</v>
          </cell>
          <cell r="N484" t="str">
            <v>MOLDED</v>
          </cell>
          <cell r="O484" t="str">
            <v>Sample</v>
          </cell>
          <cell r="P484">
            <v>46175</v>
          </cell>
          <cell r="Q484">
            <v>46182</v>
          </cell>
          <cell r="R484">
            <v>46179</v>
          </cell>
          <cell r="S484">
            <v>6</v>
          </cell>
          <cell r="T484">
            <v>7</v>
          </cell>
          <cell r="U484">
            <v>14.5</v>
          </cell>
          <cell r="V484">
            <v>0.11111</v>
          </cell>
          <cell r="W484">
            <v>4</v>
          </cell>
        </row>
        <row r="485">
          <cell r="A485" t="str">
            <v>S-2026-06-04</v>
          </cell>
          <cell r="C485" t="str">
            <v>RPRO-260602-0723</v>
          </cell>
          <cell r="D485" t="str">
            <v>PUR-202606020001S</v>
          </cell>
          <cell r="E485" t="str">
            <v>BDB-000051</v>
          </cell>
          <cell r="F485" t="str">
            <v>PVN-004057</v>
          </cell>
          <cell r="G485" t="str">
            <v>OrthoLite X-40 TRUE BLUE/19-4057TPX Flat Sheet 0.16D 25+/-4 Asker C 1.1M 1.7M 14.5mm</v>
          </cell>
          <cell r="H485">
            <v>20</v>
          </cell>
          <cell r="I485">
            <v>20</v>
          </cell>
          <cell r="J485">
            <v>0</v>
          </cell>
          <cell r="K485">
            <v>20</v>
          </cell>
          <cell r="L485" t="str">
            <v>LOWA</v>
          </cell>
          <cell r="M485" t="str">
            <v>Sample</v>
          </cell>
          <cell r="N485" t="str">
            <v>MOLDED</v>
          </cell>
          <cell r="O485" t="str">
            <v>Sample</v>
          </cell>
          <cell r="P485">
            <v>46175</v>
          </cell>
          <cell r="Q485">
            <v>46182</v>
          </cell>
          <cell r="R485">
            <v>46179</v>
          </cell>
          <cell r="S485">
            <v>6</v>
          </cell>
          <cell r="T485">
            <v>7</v>
          </cell>
          <cell r="U485">
            <v>14.5</v>
          </cell>
          <cell r="V485">
            <v>0.11111</v>
          </cell>
          <cell r="W485">
            <v>3</v>
          </cell>
        </row>
        <row r="486">
          <cell r="A486" t="str">
            <v>S-2026-06-05</v>
          </cell>
          <cell r="C486" t="str">
            <v>RPRO-260602-0724</v>
          </cell>
          <cell r="D486" t="str">
            <v>PUR-202606020001S</v>
          </cell>
          <cell r="E486" t="str">
            <v>BDB-000123</v>
          </cell>
          <cell r="F486" t="str">
            <v>PVN-003743</v>
          </cell>
          <cell r="G486" t="str">
            <v>OrthoLite Ultra-Hybrid SEEDPEARL/12-0703TPX Hybrid Flat Sheet 0.085D 25+/-4 Asker C 1.1M 2M 5.5mm</v>
          </cell>
          <cell r="H486">
            <v>30</v>
          </cell>
          <cell r="I486">
            <v>30</v>
          </cell>
          <cell r="J486">
            <v>0</v>
          </cell>
          <cell r="K486">
            <v>30</v>
          </cell>
          <cell r="L486" t="str">
            <v>LOWA</v>
          </cell>
          <cell r="M486" t="str">
            <v>Sample</v>
          </cell>
          <cell r="N486" t="str">
            <v>MOLDED</v>
          </cell>
          <cell r="O486" t="str">
            <v>Sample</v>
          </cell>
          <cell r="P486">
            <v>46175</v>
          </cell>
          <cell r="Q486">
            <v>46182</v>
          </cell>
          <cell r="R486">
            <v>46179</v>
          </cell>
          <cell r="S486">
            <v>6</v>
          </cell>
          <cell r="T486">
            <v>7</v>
          </cell>
          <cell r="U486">
            <v>5.5</v>
          </cell>
          <cell r="V486">
            <v>0.04</v>
          </cell>
          <cell r="W486">
            <v>2</v>
          </cell>
        </row>
        <row r="487">
          <cell r="A487" t="str">
            <v>S-2026-06-06</v>
          </cell>
          <cell r="C487" t="str">
            <v>RPRO-260602-0725</v>
          </cell>
          <cell r="D487" t="str">
            <v xml:space="preserve">PUR2606020002S   </v>
          </cell>
          <cell r="E487" t="str">
            <v>BDB-000058</v>
          </cell>
          <cell r="F487" t="str">
            <v>PVN-004098</v>
          </cell>
          <cell r="G487" t="str">
            <v>OrthoLite Ultra GREEN/16-5932TPX Flat Sheet 0.085D 25+/-4 Asker C 1.1M 2M 3mm</v>
          </cell>
          <cell r="H487">
            <v>30</v>
          </cell>
          <cell r="I487">
            <v>30</v>
          </cell>
          <cell r="J487">
            <v>0</v>
          </cell>
          <cell r="K487">
            <v>30</v>
          </cell>
          <cell r="L487" t="str">
            <v>ADIDAS</v>
          </cell>
          <cell r="M487" t="str">
            <v>SSO-2606-00031    - URGENT (6-10)</v>
          </cell>
          <cell r="N487" t="str">
            <v>Flat sheet</v>
          </cell>
          <cell r="O487" t="str">
            <v>Sample</v>
          </cell>
          <cell r="P487">
            <v>46175</v>
          </cell>
          <cell r="Q487">
            <v>46182</v>
          </cell>
          <cell r="R487">
            <v>46179</v>
          </cell>
          <cell r="S487">
            <v>6</v>
          </cell>
          <cell r="T487">
            <v>7</v>
          </cell>
          <cell r="U487">
            <v>3</v>
          </cell>
          <cell r="V487">
            <v>2.1739999999999999E-2</v>
          </cell>
          <cell r="W487">
            <v>1</v>
          </cell>
        </row>
        <row r="488">
          <cell r="A488" t="str">
            <v>S-2026-06-07</v>
          </cell>
          <cell r="C488" t="str">
            <v>RPRO-260602-0726</v>
          </cell>
          <cell r="D488" t="str">
            <v xml:space="preserve">PUR2606020002S   </v>
          </cell>
          <cell r="E488" t="str">
            <v>BDB-000123</v>
          </cell>
          <cell r="F488" t="str">
            <v>PVN-003300</v>
          </cell>
          <cell r="G488" t="str">
            <v>OrthoLite Ultra-Hybrid SEEDPEARL/12-0703TPX Hybrid Flat Sheet 0.085D 25+/-4 Asker C 1.1M 2M 2mm</v>
          </cell>
          <cell r="H488">
            <v>60</v>
          </cell>
          <cell r="I488">
            <v>60</v>
          </cell>
          <cell r="J488">
            <v>0</v>
          </cell>
          <cell r="K488">
            <v>60</v>
          </cell>
          <cell r="L488" t="str">
            <v>ADIDAS</v>
          </cell>
          <cell r="M488" t="str">
            <v>SSO-2606-00031    - URGENT (6-10)</v>
          </cell>
          <cell r="N488" t="str">
            <v>Flat sheet</v>
          </cell>
          <cell r="O488" t="str">
            <v>Sample</v>
          </cell>
          <cell r="P488">
            <v>46175</v>
          </cell>
          <cell r="Q488">
            <v>46182</v>
          </cell>
          <cell r="R488">
            <v>46179</v>
          </cell>
          <cell r="S488">
            <v>6</v>
          </cell>
          <cell r="T488">
            <v>7</v>
          </cell>
          <cell r="U488">
            <v>2</v>
          </cell>
          <cell r="V488">
            <v>1.4290000000000001E-2</v>
          </cell>
          <cell r="W488">
            <v>1</v>
          </cell>
        </row>
        <row r="489">
          <cell r="A489" t="str">
            <v>S-2026-06-08</v>
          </cell>
          <cell r="C489" t="str">
            <v>RPRO-260602-0727</v>
          </cell>
          <cell r="D489" t="str">
            <v xml:space="preserve">PUR2606020002S   </v>
          </cell>
          <cell r="E489" t="str">
            <v>BDB-000348</v>
          </cell>
          <cell r="F489" t="str">
            <v>PVN-004330</v>
          </cell>
          <cell r="G489" t="str">
            <v>OrthoLite IMPERIAL SEEDPEARL/12-0703TPX Flat Sheet 0.22D 25+/-4 Asker C 1.1M 1.47M 2mm</v>
          </cell>
          <cell r="H489">
            <v>50</v>
          </cell>
          <cell r="I489">
            <v>50</v>
          </cell>
          <cell r="J489">
            <v>0</v>
          </cell>
          <cell r="K489">
            <v>50</v>
          </cell>
          <cell r="L489" t="str">
            <v>ADIDAS</v>
          </cell>
          <cell r="M489" t="str">
            <v>SSO-2606-00031</v>
          </cell>
          <cell r="N489" t="str">
            <v>Flat sheet</v>
          </cell>
          <cell r="O489" t="str">
            <v>Sample</v>
          </cell>
          <cell r="P489">
            <v>46175</v>
          </cell>
          <cell r="Q489">
            <v>46182</v>
          </cell>
          <cell r="R489">
            <v>46179</v>
          </cell>
          <cell r="S489">
            <v>6</v>
          </cell>
          <cell r="T489">
            <v>7</v>
          </cell>
          <cell r="U489">
            <v>2</v>
          </cell>
          <cell r="V489">
            <v>1.389E-2</v>
          </cell>
          <cell r="W489">
            <v>1</v>
          </cell>
        </row>
        <row r="490">
          <cell r="A490" t="str">
            <v>S-2026-06-09</v>
          </cell>
          <cell r="B490" t="str">
            <v>gấp</v>
          </cell>
          <cell r="C490" t="str">
            <v>RPRO-260603-0481</v>
          </cell>
          <cell r="D490" t="str">
            <v xml:space="preserve">PUR-202606020004S </v>
          </cell>
          <cell r="E490" t="str">
            <v>BDB-000347</v>
          </cell>
          <cell r="F490" t="str">
            <v>PVN-004436</v>
          </cell>
          <cell r="G490" t="str">
            <v>OrthoLite X-55-Hybrid SEEDPEARL/12-0703TPX Hybrid Flat Sheet 0.16D 25+/-4 Asker C 1.1M 2M 5mm</v>
          </cell>
          <cell r="H490">
            <v>20</v>
          </cell>
          <cell r="I490">
            <v>20</v>
          </cell>
          <cell r="J490">
            <v>0</v>
          </cell>
          <cell r="K490">
            <v>20</v>
          </cell>
          <cell r="L490" t="str">
            <v>PAYNTR</v>
          </cell>
          <cell r="M490" t="str">
            <v>Sample</v>
          </cell>
          <cell r="N490" t="str">
            <v>MOLDED</v>
          </cell>
          <cell r="O490" t="str">
            <v>Sample</v>
          </cell>
          <cell r="P490">
            <v>46175</v>
          </cell>
          <cell r="Q490">
            <v>46182</v>
          </cell>
          <cell r="R490">
            <v>46179</v>
          </cell>
          <cell r="S490">
            <v>6</v>
          </cell>
          <cell r="T490">
            <v>7</v>
          </cell>
          <cell r="U490">
            <v>5</v>
          </cell>
          <cell r="V490">
            <v>3.5709999999999999E-2</v>
          </cell>
          <cell r="W490">
            <v>1</v>
          </cell>
        </row>
        <row r="491">
          <cell r="A491" t="str">
            <v>S-2026-06-10</v>
          </cell>
          <cell r="C491" t="str">
            <v>RPRO-260603-0482</v>
          </cell>
          <cell r="D491" t="str">
            <v xml:space="preserve"> PUR2606020005S   </v>
          </cell>
          <cell r="E491" t="str">
            <v>BDB-000348</v>
          </cell>
          <cell r="F491" t="str">
            <v>PVN-004195</v>
          </cell>
          <cell r="G491" t="str">
            <v>OrthoLite IMPERIAL SEEDPEARL/12-0703TPX Flat Sheet 0.22D 25+/-4 Asker C 1.1M 1.47M 4mm</v>
          </cell>
          <cell r="H491">
            <v>50</v>
          </cell>
          <cell r="I491">
            <v>50</v>
          </cell>
          <cell r="J491">
            <v>0</v>
          </cell>
          <cell r="K491">
            <v>50</v>
          </cell>
          <cell r="L491" t="str">
            <v>ADIDAS</v>
          </cell>
          <cell r="M491" t="str">
            <v>SSO-2606-00082 - URGENT (6-10)</v>
          </cell>
          <cell r="N491" t="str">
            <v>Flat sheet</v>
          </cell>
          <cell r="O491" t="str">
            <v>Sample</v>
          </cell>
          <cell r="P491">
            <v>46176</v>
          </cell>
          <cell r="Q491">
            <v>46183</v>
          </cell>
          <cell r="R491">
            <v>46180</v>
          </cell>
          <cell r="S491">
            <v>6</v>
          </cell>
          <cell r="T491">
            <v>7</v>
          </cell>
          <cell r="U491">
            <v>4</v>
          </cell>
          <cell r="V491">
            <v>2.8570000000000002E-2</v>
          </cell>
          <cell r="W491">
            <v>2</v>
          </cell>
        </row>
        <row r="492">
          <cell r="A492" t="str">
            <v>S-2026-06-11</v>
          </cell>
          <cell r="C492" t="str">
            <v>RPRO-260603-0483</v>
          </cell>
          <cell r="D492" t="str">
            <v>PUR2600600300001S</v>
          </cell>
          <cell r="E492" t="str">
            <v>BDB-000195</v>
          </cell>
          <cell r="F492" t="str">
            <v>PVN-004435</v>
          </cell>
          <cell r="G492" t="str">
            <v>OrthoLite Ultra-Nike GREY/17-1501TPX Flat Sheet 0.085D 25+/-4 Asker C 1.1M 1.7M 4mm</v>
          </cell>
          <cell r="H492">
            <v>25</v>
          </cell>
          <cell r="I492">
            <v>25</v>
          </cell>
          <cell r="J492">
            <v>0</v>
          </cell>
          <cell r="K492">
            <v>25</v>
          </cell>
          <cell r="L492" t="str">
            <v>NIKE</v>
          </cell>
          <cell r="M492" t="str">
            <v>Sample/ URGENT</v>
          </cell>
          <cell r="N492" t="str">
            <v>DIE CUT</v>
          </cell>
          <cell r="O492" t="str">
            <v>Sample</v>
          </cell>
          <cell r="P492">
            <v>46176</v>
          </cell>
          <cell r="Q492">
            <v>46183</v>
          </cell>
          <cell r="R492">
            <v>46180</v>
          </cell>
          <cell r="S492">
            <v>6</v>
          </cell>
          <cell r="T492">
            <v>7</v>
          </cell>
          <cell r="U492">
            <v>4</v>
          </cell>
          <cell r="V492">
            <v>2.8570000000000002E-2</v>
          </cell>
          <cell r="W492">
            <v>1</v>
          </cell>
        </row>
        <row r="493">
          <cell r="A493" t="str">
            <v>S-2026-06-12</v>
          </cell>
          <cell r="C493" t="str">
            <v>RPRO-260603-0484</v>
          </cell>
          <cell r="D493" t="str">
            <v>PUR2600600300001S</v>
          </cell>
          <cell r="E493" t="str">
            <v>BDB-000392</v>
          </cell>
          <cell r="F493" t="str">
            <v>PVN-004434</v>
          </cell>
          <cell r="G493" t="str">
            <v>OrthoLite X-40-Nike TRUE BLUE/19-4057TPX Flat Sheet 0.16D 35+/-4 Asker C 1.1M 2M 4mm</v>
          </cell>
          <cell r="H493">
            <v>25</v>
          </cell>
          <cell r="I493">
            <v>25</v>
          </cell>
          <cell r="J493">
            <v>0</v>
          </cell>
          <cell r="K493">
            <v>25</v>
          </cell>
          <cell r="L493" t="str">
            <v>NIKE</v>
          </cell>
          <cell r="M493" t="str">
            <v>Sample/ URGENT</v>
          </cell>
          <cell r="N493" t="str">
            <v>DIE CUT</v>
          </cell>
          <cell r="O493" t="str">
            <v>Sample</v>
          </cell>
          <cell r="P493">
            <v>46176</v>
          </cell>
          <cell r="Q493">
            <v>46183</v>
          </cell>
          <cell r="R493">
            <v>46180</v>
          </cell>
          <cell r="S493">
            <v>6</v>
          </cell>
          <cell r="T493">
            <v>7</v>
          </cell>
          <cell r="U493">
            <v>4</v>
          </cell>
          <cell r="V493">
            <v>2.7779999999999999E-2</v>
          </cell>
          <cell r="W493">
            <v>1</v>
          </cell>
        </row>
        <row r="494">
          <cell r="A494" t="str">
            <v>S-2026-06-14</v>
          </cell>
          <cell r="B494" t="str">
            <v xml:space="preserve">Gấp 6.6 </v>
          </cell>
          <cell r="C494" t="str">
            <v>RPRO-260603-0485</v>
          </cell>
          <cell r="D494" t="str">
            <v>PUR2606030002S</v>
          </cell>
          <cell r="E494" t="str">
            <v>BDB-000123</v>
          </cell>
          <cell r="F494" t="str">
            <v>PVN-003299</v>
          </cell>
          <cell r="G494" t="str">
            <v>OrthoLite Ultra-Hybrid SEEDPEARL/12-0703TPX Hybrid Flat Sheet 0.085D 25+/-4 Asker C 1.1M 2M 3mm</v>
          </cell>
          <cell r="H494">
            <v>50</v>
          </cell>
          <cell r="I494">
            <v>50</v>
          </cell>
          <cell r="J494">
            <v>50</v>
          </cell>
          <cell r="K494">
            <v>0</v>
          </cell>
          <cell r="L494" t="str">
            <v>ADIDAS</v>
          </cell>
          <cell r="M494" t="str">
            <v>SSO-2606-00089/00070/00128  - URGENT (6-10)</v>
          </cell>
          <cell r="N494" t="str">
            <v>Flat sheet</v>
          </cell>
          <cell r="O494" t="str">
            <v>Sample</v>
          </cell>
          <cell r="P494">
            <v>46176</v>
          </cell>
          <cell r="Q494">
            <v>46183</v>
          </cell>
          <cell r="R494">
            <v>46180</v>
          </cell>
          <cell r="S494">
            <v>6</v>
          </cell>
          <cell r="T494">
            <v>7</v>
          </cell>
          <cell r="U494">
            <v>3</v>
          </cell>
          <cell r="V494">
            <v>2.1739999999999999E-2</v>
          </cell>
          <cell r="W494">
            <v>2</v>
          </cell>
        </row>
        <row r="495">
          <cell r="A495" t="str">
            <v>S-2026-06-15</v>
          </cell>
          <cell r="C495" t="str">
            <v>RPRO-260604-0522</v>
          </cell>
          <cell r="D495" t="str">
            <v>PUR2606030002S</v>
          </cell>
          <cell r="E495" t="str">
            <v>BDB-000307</v>
          </cell>
          <cell r="F495" t="str">
            <v>PVN-004437</v>
          </cell>
          <cell r="G495" t="str">
            <v>OrthoLite X-35 SEEDPEARL/12-0703TPX Flat Sheet 0.145D 25+/-4 Asker C 1.1M 2M 8mm</v>
          </cell>
          <cell r="H495">
            <v>20</v>
          </cell>
          <cell r="I495">
            <v>20</v>
          </cell>
          <cell r="J495">
            <v>0</v>
          </cell>
          <cell r="K495">
            <v>20</v>
          </cell>
          <cell r="L495" t="str">
            <v>ADIDAS</v>
          </cell>
          <cell r="M495" t="str">
            <v>SSO-2606-00111</v>
          </cell>
          <cell r="N495" t="str">
            <v>Molded</v>
          </cell>
          <cell r="O495" t="str">
            <v>Sample</v>
          </cell>
          <cell r="P495">
            <v>46176</v>
          </cell>
          <cell r="Q495">
            <v>46183</v>
          </cell>
          <cell r="R495">
            <v>46180</v>
          </cell>
          <cell r="S495">
            <v>6</v>
          </cell>
          <cell r="T495">
            <v>7</v>
          </cell>
          <cell r="U495">
            <v>8</v>
          </cell>
          <cell r="V495">
            <v>5.5559999999999998E-2</v>
          </cell>
          <cell r="W495">
            <v>2</v>
          </cell>
        </row>
        <row r="496">
          <cell r="A496" t="str">
            <v>L-2026-06-01</v>
          </cell>
          <cell r="C496" t="str">
            <v>RPRO-260604-0523</v>
          </cell>
          <cell r="D496" t="str">
            <v xml:space="preserve">&lt;nguyet.bui@ortholite.vn&gt; </v>
          </cell>
          <cell r="E496" t="str">
            <v>BDB-000131</v>
          </cell>
          <cell r="F496" t="str">
            <v>PVN-002424</v>
          </cell>
          <cell r="G496" t="str">
            <v>OrthoLite Regular-Nike AIR BLUE/16-4134TPX 0.11D 15+/-4 Asker C 1.1M 2M 3.5mm</v>
          </cell>
          <cell r="H496">
            <v>5</v>
          </cell>
          <cell r="I496">
            <v>5</v>
          </cell>
          <cell r="J496">
            <v>0</v>
          </cell>
          <cell r="K496">
            <v>5</v>
          </cell>
          <cell r="L496" t="str">
            <v>NIKE-POU CHEN VÀ CONVERSE</v>
          </cell>
          <cell r="O496" t="str">
            <v>Lab test</v>
          </cell>
          <cell r="P496">
            <v>46177</v>
          </cell>
          <cell r="Q496">
            <v>46184</v>
          </cell>
          <cell r="R496">
            <v>46181</v>
          </cell>
          <cell r="S496">
            <v>6</v>
          </cell>
          <cell r="T496">
            <v>7</v>
          </cell>
          <cell r="U496">
            <v>3.5</v>
          </cell>
          <cell r="V496">
            <v>2.5000000000000001E-2</v>
          </cell>
          <cell r="W496">
            <v>1</v>
          </cell>
        </row>
        <row r="497">
          <cell r="A497" t="str">
            <v>L-2026-06-02</v>
          </cell>
          <cell r="C497" t="str">
            <v>RPRO-260604-0524</v>
          </cell>
          <cell r="D497" t="str">
            <v xml:space="preserve">&lt;nguyet.bui@ortholite.vn&gt; </v>
          </cell>
          <cell r="E497" t="str">
            <v>BDB-000131</v>
          </cell>
          <cell r="F497" t="str">
            <v>PVN-001635</v>
          </cell>
          <cell r="G497" t="str">
            <v>OrthoLite Regular-Nike AIR BLUE/16-4134TPX 0.11D 15+/-4 Asker C 1.1M 2M 10mm</v>
          </cell>
          <cell r="H497">
            <v>4</v>
          </cell>
          <cell r="I497">
            <v>4</v>
          </cell>
          <cell r="J497">
            <v>0</v>
          </cell>
          <cell r="K497">
            <v>4</v>
          </cell>
          <cell r="L497" t="str">
            <v>NIKE-POU CHEN VÀ CONVERSE</v>
          </cell>
          <cell r="O497" t="str">
            <v>Lab test</v>
          </cell>
          <cell r="P497">
            <v>46177</v>
          </cell>
          <cell r="Q497">
            <v>46184</v>
          </cell>
          <cell r="R497">
            <v>46181</v>
          </cell>
          <cell r="S497">
            <v>6</v>
          </cell>
          <cell r="T497">
            <v>7</v>
          </cell>
          <cell r="U497">
            <v>10</v>
          </cell>
          <cell r="V497">
            <v>7.6920000000000002E-2</v>
          </cell>
          <cell r="W497">
            <v>1</v>
          </cell>
        </row>
        <row r="498">
          <cell r="A498" t="str">
            <v>L-2026-06-03</v>
          </cell>
          <cell r="C498" t="str">
            <v>RPRO-260604-0525</v>
          </cell>
          <cell r="D498" t="str">
            <v xml:space="preserve">&lt;nguyet.bui@ortholite.vn&gt; </v>
          </cell>
          <cell r="E498" t="str">
            <v>BDB-000221</v>
          </cell>
          <cell r="F498" t="str">
            <v>PVN-004123</v>
          </cell>
          <cell r="G498" t="str">
            <v>OrthoLite X-40-Hybrid-Nike SEEDPEARL/12-0703TPX Hybrid Flat Sheet 0.16D 25+/-4 Asker C 1.1M 1.7M 3mm</v>
          </cell>
          <cell r="H498">
            <v>5</v>
          </cell>
          <cell r="I498">
            <v>5</v>
          </cell>
          <cell r="J498">
            <v>0</v>
          </cell>
          <cell r="K498">
            <v>5</v>
          </cell>
          <cell r="L498" t="str">
            <v>NIKE-POU CHEN VÀ CONVERSE</v>
          </cell>
          <cell r="O498" t="str">
            <v>Lab test</v>
          </cell>
          <cell r="P498">
            <v>46177</v>
          </cell>
          <cell r="Q498">
            <v>46184</v>
          </cell>
          <cell r="R498">
            <v>46181</v>
          </cell>
          <cell r="S498">
            <v>6</v>
          </cell>
          <cell r="T498">
            <v>7</v>
          </cell>
          <cell r="U498">
            <v>3</v>
          </cell>
          <cell r="V498">
            <v>2.1739999999999999E-2</v>
          </cell>
          <cell r="W498">
            <v>1</v>
          </cell>
        </row>
        <row r="499">
          <cell r="A499" t="str">
            <v>L-2026-06-04</v>
          </cell>
          <cell r="C499" t="str">
            <v>RPRO-260604-0526</v>
          </cell>
          <cell r="D499" t="str">
            <v xml:space="preserve">&lt;nguyet.bui@ortholite.vn&gt; </v>
          </cell>
          <cell r="E499" t="str">
            <v>BDB-000221</v>
          </cell>
          <cell r="F499" t="str">
            <v>PVN-004124</v>
          </cell>
          <cell r="G499" t="str">
            <v>OrthoLite X-40-Hybrid-Nike SEEDPEARL/12-0703TPX 0.16D 25+/-4 Asker C 1.1M 1.7M 10mm</v>
          </cell>
          <cell r="H499">
            <v>4</v>
          </cell>
          <cell r="I499">
            <v>4</v>
          </cell>
          <cell r="J499">
            <v>0</v>
          </cell>
          <cell r="K499">
            <v>4</v>
          </cell>
          <cell r="L499" t="str">
            <v>NIKE-POU CHEN VÀ CONVERSE</v>
          </cell>
          <cell r="O499" t="str">
            <v>Lab test</v>
          </cell>
          <cell r="P499">
            <v>46177</v>
          </cell>
          <cell r="Q499">
            <v>46184</v>
          </cell>
          <cell r="R499">
            <v>46181</v>
          </cell>
          <cell r="S499">
            <v>6</v>
          </cell>
          <cell r="T499">
            <v>7</v>
          </cell>
          <cell r="U499">
            <v>10</v>
          </cell>
          <cell r="V499">
            <v>7.6920000000000002E-2</v>
          </cell>
          <cell r="W499">
            <v>1</v>
          </cell>
        </row>
        <row r="500">
          <cell r="A500" t="str">
            <v>L-2026-06-05</v>
          </cell>
          <cell r="C500" t="str">
            <v>RPRO-260604-0527</v>
          </cell>
          <cell r="D500" t="str">
            <v xml:space="preserve">&lt;nguyet.bui@ortholite.vn&gt; </v>
          </cell>
          <cell r="E500" t="str">
            <v>BDB-000097</v>
          </cell>
          <cell r="F500" t="str">
            <v>PVN-002512</v>
          </cell>
          <cell r="G500" t="str">
            <v>Eco LT-Hybrid OrthoLite SEEDPEARL/12-0703TPX Hybrid Flat Sheet 0.11D 25+/-4 Asker C 1.1M 2M 10mm</v>
          </cell>
          <cell r="H500">
            <v>5</v>
          </cell>
          <cell r="I500">
            <v>5</v>
          </cell>
          <cell r="J500">
            <v>0</v>
          </cell>
          <cell r="K500">
            <v>5</v>
          </cell>
          <cell r="L500" t="str">
            <v>NIKE-POU CHEN VÀ CONVERSE</v>
          </cell>
          <cell r="O500" t="str">
            <v>Lab test</v>
          </cell>
          <cell r="P500">
            <v>46177</v>
          </cell>
          <cell r="Q500">
            <v>46184</v>
          </cell>
          <cell r="R500">
            <v>46181</v>
          </cell>
          <cell r="S500">
            <v>6</v>
          </cell>
          <cell r="T500">
            <v>7</v>
          </cell>
          <cell r="U500">
            <v>10</v>
          </cell>
          <cell r="V500">
            <v>7.6920000000000002E-2</v>
          </cell>
          <cell r="W500">
            <v>1</v>
          </cell>
        </row>
        <row r="501">
          <cell r="A501" t="str">
            <v>L-2026-06-06</v>
          </cell>
          <cell r="C501" t="str">
            <v>RPRO-260604-0528</v>
          </cell>
          <cell r="D501" t="str">
            <v xml:space="preserve">&lt;nguyet.bui@ortholite.vn&gt; </v>
          </cell>
          <cell r="E501" t="str">
            <v>BDB-000097</v>
          </cell>
          <cell r="F501" t="str">
            <v>PVN-002478</v>
          </cell>
          <cell r="G501" t="str">
            <v>Eco LT-Hybrid OrthoLite SEEDPEARL/12-0703TPX Hybrid Flat Sheet 0.11D 25+/-4 Asker C 1.1M 2M 4mm</v>
          </cell>
          <cell r="H501">
            <v>4</v>
          </cell>
          <cell r="I501">
            <v>4</v>
          </cell>
          <cell r="J501">
            <v>0</v>
          </cell>
          <cell r="K501">
            <v>4</v>
          </cell>
          <cell r="L501" t="str">
            <v>NIKE-POU CHEN VÀ CONVERSE</v>
          </cell>
          <cell r="O501" t="str">
            <v>Lab test</v>
          </cell>
          <cell r="P501">
            <v>46177</v>
          </cell>
          <cell r="Q501">
            <v>46184</v>
          </cell>
          <cell r="R501">
            <v>46181</v>
          </cell>
          <cell r="S501">
            <v>6</v>
          </cell>
          <cell r="T501">
            <v>7</v>
          </cell>
          <cell r="U501">
            <v>4</v>
          </cell>
          <cell r="V501">
            <v>2.8570000000000002E-2</v>
          </cell>
          <cell r="W501">
            <v>1</v>
          </cell>
        </row>
        <row r="502">
          <cell r="A502" t="str">
            <v>L-2026-06-07</v>
          </cell>
          <cell r="C502" t="str">
            <v>RPRO-260604-0529</v>
          </cell>
          <cell r="D502" t="str">
            <v xml:space="preserve">&lt;anne.tran@ortholite.vn&gt; </v>
          </cell>
          <cell r="E502" t="str">
            <v>BDB-000113</v>
          </cell>
          <cell r="F502" t="str">
            <v>PVN-002699</v>
          </cell>
          <cell r="G502" t="str">
            <v>OrthoLite Regular-Hybrid SEEDPEARL/12-0703TPX Hybrid Flat Sheet 0.11D 25+/-4 Asker C 1.1M 2M 4.5mm</v>
          </cell>
          <cell r="H502">
            <v>2</v>
          </cell>
          <cell r="I502">
            <v>2</v>
          </cell>
          <cell r="J502">
            <v>0</v>
          </cell>
          <cell r="K502">
            <v>2</v>
          </cell>
          <cell r="L502" t="str">
            <v>SHYANG HUNG TAH</v>
          </cell>
          <cell r="O502" t="str">
            <v>Lab test</v>
          </cell>
          <cell r="P502">
            <v>46177</v>
          </cell>
          <cell r="Q502">
            <v>46183</v>
          </cell>
          <cell r="R502">
            <v>46180</v>
          </cell>
          <cell r="S502">
            <v>6</v>
          </cell>
          <cell r="T502">
            <v>6</v>
          </cell>
          <cell r="U502">
            <v>4.5</v>
          </cell>
          <cell r="V502">
            <v>3.2259999999999997E-2</v>
          </cell>
          <cell r="W502">
            <v>1</v>
          </cell>
        </row>
        <row r="503">
          <cell r="A503" t="str">
            <v>S-2026-06-16</v>
          </cell>
          <cell r="C503" t="str">
            <v>RPRO-260605-0678</v>
          </cell>
          <cell r="D503" t="str">
            <v>PUR2606040001S</v>
          </cell>
          <cell r="E503" t="str">
            <v>BDB-000393</v>
          </cell>
          <cell r="F503" t="str">
            <v>PVN-004438</v>
          </cell>
          <cell r="G503" t="str">
            <v>Ortholite X-25 GREEN/16-5932TPX Flat Sheet 0.12D 20+/-4 Asker C 1.1M 2M 6.2mm</v>
          </cell>
          <cell r="H503">
            <v>70</v>
          </cell>
          <cell r="I503">
            <v>70</v>
          </cell>
          <cell r="J503">
            <v>0</v>
          </cell>
          <cell r="K503">
            <v>70</v>
          </cell>
          <cell r="L503" t="str">
            <v>ADIDAS</v>
          </cell>
          <cell r="M503" t="str">
            <v>SSO-2606-00156  - URGENT (6-10)</v>
          </cell>
          <cell r="N503" t="str">
            <v>Molded</v>
          </cell>
          <cell r="O503" t="str">
            <v>Sample</v>
          </cell>
          <cell r="P503">
            <v>46177</v>
          </cell>
          <cell r="Q503">
            <v>46183</v>
          </cell>
          <cell r="R503">
            <v>46180</v>
          </cell>
          <cell r="S503">
            <v>6</v>
          </cell>
          <cell r="T503">
            <v>6</v>
          </cell>
          <cell r="U503">
            <v>6.2</v>
          </cell>
          <cell r="V503">
            <v>4.3479999999999998E-2</v>
          </cell>
          <cell r="W503">
            <v>4</v>
          </cell>
        </row>
        <row r="504">
          <cell r="A504" t="str">
            <v>S-2026-06-17</v>
          </cell>
          <cell r="C504" t="str">
            <v>RPRO-260605-0679</v>
          </cell>
          <cell r="D504" t="str">
            <v>PUR2606050002S</v>
          </cell>
          <cell r="E504" t="str">
            <v>BDB-000353</v>
          </cell>
          <cell r="F504" t="str">
            <v>PVN-004350</v>
          </cell>
          <cell r="G504" t="str">
            <v>OrthoLite Regular SEEDPEARL/12-0703TPX Flat Sheet 0.13D 35+/-4 Asker C 1.1M 1.47M 13mm</v>
          </cell>
          <cell r="H504">
            <v>10</v>
          </cell>
          <cell r="I504">
            <v>10</v>
          </cell>
          <cell r="J504">
            <v>0</v>
          </cell>
          <cell r="K504">
            <v>10</v>
          </cell>
          <cell r="L504" t="str">
            <v>CAMPER</v>
          </cell>
          <cell r="M504" t="str">
            <v>SSO-2606-00239  - URGENT (6-13)</v>
          </cell>
          <cell r="N504" t="str">
            <v>Flat sheet</v>
          </cell>
          <cell r="O504" t="str">
            <v>Sample</v>
          </cell>
          <cell r="P504">
            <v>46178</v>
          </cell>
          <cell r="Q504">
            <v>46185</v>
          </cell>
          <cell r="R504">
            <v>46182</v>
          </cell>
          <cell r="S504">
            <v>6</v>
          </cell>
          <cell r="T504">
            <v>7</v>
          </cell>
          <cell r="U504">
            <v>13</v>
          </cell>
          <cell r="V504">
            <v>0.1</v>
          </cell>
          <cell r="W504">
            <v>1</v>
          </cell>
        </row>
        <row r="505">
          <cell r="A505" t="str">
            <v>S-2026-06-18</v>
          </cell>
          <cell r="C505" t="str">
            <v>RPRO-260605-0680</v>
          </cell>
          <cell r="D505" t="str">
            <v>PUR2606050002S</v>
          </cell>
          <cell r="E505" t="str">
            <v>BDB-000123</v>
          </cell>
          <cell r="F505" t="str">
            <v>PVN-002539</v>
          </cell>
          <cell r="G505" t="str">
            <v>OrthoLite Ultra-Hybrid SEEDPEARL/12-0703TPX Hybrid Flat Sheet 0.085D 25+/-4 Asker C 1.1M 2M 5mm</v>
          </cell>
          <cell r="H505">
            <v>50</v>
          </cell>
          <cell r="I505">
            <v>50</v>
          </cell>
          <cell r="J505">
            <v>0</v>
          </cell>
          <cell r="K505">
            <v>50</v>
          </cell>
          <cell r="L505" t="str">
            <v>ADIDAS</v>
          </cell>
          <cell r="M505" t="str">
            <v>Sample - URGENT (6-13)</v>
          </cell>
          <cell r="N505" t="str">
            <v>Flat sheet + Die Cut</v>
          </cell>
          <cell r="O505" t="str">
            <v>Sample</v>
          </cell>
          <cell r="P505">
            <v>46178</v>
          </cell>
          <cell r="Q505">
            <v>46185</v>
          </cell>
          <cell r="R505">
            <v>46182</v>
          </cell>
          <cell r="S505">
            <v>6</v>
          </cell>
          <cell r="T505">
            <v>7</v>
          </cell>
          <cell r="U505">
            <v>5</v>
          </cell>
          <cell r="V505">
            <v>3.5709999999999999E-2</v>
          </cell>
          <cell r="W505">
            <v>2</v>
          </cell>
        </row>
        <row r="506">
          <cell r="A506" t="str">
            <v>S-2026-06-19</v>
          </cell>
          <cell r="C506" t="str">
            <v>RPRO-260605-0681</v>
          </cell>
          <cell r="D506" t="str">
            <v>PUR2606050002S</v>
          </cell>
          <cell r="E506" t="str">
            <v>BDB-000123</v>
          </cell>
          <cell r="F506" t="str">
            <v>PVN-003300</v>
          </cell>
          <cell r="G506" t="str">
            <v>OrthoLite Ultra-Hybrid SEEDPEARL/12-0703TPX Hybrid Flat Sheet 0.085D 25+/-4 Asker C 1.1M 2M 2mm</v>
          </cell>
          <cell r="H506">
            <v>50</v>
          </cell>
          <cell r="I506">
            <v>50</v>
          </cell>
          <cell r="J506">
            <v>0</v>
          </cell>
          <cell r="K506">
            <v>50</v>
          </cell>
          <cell r="L506" t="str">
            <v>ADIDAS</v>
          </cell>
          <cell r="M506" t="str">
            <v>SSO-2606-00242 - URGENT (6-13)</v>
          </cell>
          <cell r="N506" t="str">
            <v>Flat sheet</v>
          </cell>
          <cell r="O506" t="str">
            <v>Sample</v>
          </cell>
          <cell r="P506">
            <v>46178</v>
          </cell>
          <cell r="Q506">
            <v>46185</v>
          </cell>
          <cell r="R506">
            <v>46182</v>
          </cell>
          <cell r="S506">
            <v>6</v>
          </cell>
          <cell r="T506">
            <v>7</v>
          </cell>
          <cell r="U506">
            <v>2</v>
          </cell>
          <cell r="V506">
            <v>1.4290000000000001E-2</v>
          </cell>
          <cell r="W506">
            <v>1</v>
          </cell>
        </row>
        <row r="507">
          <cell r="A507" t="str">
            <v>S-2026-06-20</v>
          </cell>
          <cell r="C507" t="str">
            <v>RPRO-260605-0682</v>
          </cell>
          <cell r="D507" t="str">
            <v>PUR-202606050001S</v>
          </cell>
          <cell r="E507" t="str">
            <v>BDB-000067</v>
          </cell>
          <cell r="F507" t="str">
            <v>PVN-001452</v>
          </cell>
          <cell r="G507" t="str">
            <v>OrthoLite Ultra SEEDPEARL/12-0703TPX Flat Sheet 0.085D 25+/-4 Asker C 1.1M 2M 4.5mm</v>
          </cell>
          <cell r="H507">
            <v>10</v>
          </cell>
          <cell r="I507">
            <v>10</v>
          </cell>
          <cell r="J507">
            <v>0</v>
          </cell>
          <cell r="K507">
            <v>10</v>
          </cell>
          <cell r="L507" t="str">
            <v>PUMA</v>
          </cell>
          <cell r="M507" t="str">
            <v>Sample</v>
          </cell>
          <cell r="N507" t="str">
            <v>MOLDED</v>
          </cell>
          <cell r="O507" t="str">
            <v>Sample</v>
          </cell>
          <cell r="P507">
            <v>46178</v>
          </cell>
          <cell r="Q507">
            <v>46185</v>
          </cell>
          <cell r="R507">
            <v>46182</v>
          </cell>
          <cell r="S507">
            <v>6</v>
          </cell>
          <cell r="T507">
            <v>7</v>
          </cell>
          <cell r="U507">
            <v>4.5</v>
          </cell>
          <cell r="V507">
            <v>3.2259999999999997E-2</v>
          </cell>
          <cell r="W507">
            <v>1</v>
          </cell>
        </row>
        <row r="508">
          <cell r="A508" t="str">
            <v>S-2026-06-21</v>
          </cell>
          <cell r="C508" t="str">
            <v>RPRO-260605-0683</v>
          </cell>
          <cell r="D508" t="str">
            <v>PUR-202606050001S</v>
          </cell>
          <cell r="E508" t="str">
            <v>BDB-000317</v>
          </cell>
          <cell r="F508" t="str">
            <v>PVN-004076</v>
          </cell>
          <cell r="G508" t="str">
            <v>OrthoLite Regular NEUTRAL GRAY/17-4402TPX Flat Sheet 0.13D 15+/-4 Asker C 1.1M 2M 24mm</v>
          </cell>
          <cell r="H508">
            <v>20</v>
          </cell>
          <cell r="I508">
            <v>20</v>
          </cell>
          <cell r="J508">
            <v>0</v>
          </cell>
          <cell r="K508">
            <v>20</v>
          </cell>
          <cell r="L508" t="str">
            <v>ASICS</v>
          </cell>
          <cell r="M508" t="str">
            <v>Sample</v>
          </cell>
          <cell r="N508" t="str">
            <v>MOLDED</v>
          </cell>
          <cell r="O508" t="str">
            <v>Sample</v>
          </cell>
          <cell r="P508">
            <v>46178</v>
          </cell>
          <cell r="Q508">
            <v>46185</v>
          </cell>
          <cell r="R508">
            <v>46182</v>
          </cell>
          <cell r="S508">
            <v>6</v>
          </cell>
          <cell r="T508">
            <v>7</v>
          </cell>
          <cell r="U508">
            <v>24</v>
          </cell>
          <cell r="V508">
            <v>0.2</v>
          </cell>
          <cell r="W508">
            <v>4</v>
          </cell>
        </row>
        <row r="509">
          <cell r="A509" t="str">
            <v>S-2026-06-22</v>
          </cell>
          <cell r="C509" t="str">
            <v>RPRO-260605-0684</v>
          </cell>
          <cell r="D509" t="str">
            <v>PUR-202606050001S</v>
          </cell>
          <cell r="E509" t="str">
            <v>BDB-000055</v>
          </cell>
          <cell r="F509" t="str">
            <v>PVN-003327</v>
          </cell>
          <cell r="G509" t="str">
            <v>OrthoLite X-40 TRUE BLUE/19-4057TPX 0.16D 35+/-4 Asker C 1.1M 1.7M 4mm</v>
          </cell>
          <cell r="H509">
            <v>30</v>
          </cell>
          <cell r="I509">
            <v>30</v>
          </cell>
          <cell r="J509">
            <v>0</v>
          </cell>
          <cell r="K509">
            <v>30</v>
          </cell>
          <cell r="L509" t="str">
            <v>ASICS</v>
          </cell>
          <cell r="M509" t="str">
            <v>Sample</v>
          </cell>
          <cell r="N509" t="str">
            <v>MOLDED</v>
          </cell>
          <cell r="O509" t="str">
            <v>Sample</v>
          </cell>
          <cell r="P509">
            <v>46178</v>
          </cell>
          <cell r="Q509">
            <v>46185</v>
          </cell>
          <cell r="R509">
            <v>46182</v>
          </cell>
          <cell r="S509">
            <v>6</v>
          </cell>
          <cell r="T509">
            <v>7</v>
          </cell>
          <cell r="U509">
            <v>4</v>
          </cell>
          <cell r="V509">
            <v>2.8570000000000002E-2</v>
          </cell>
          <cell r="W509">
            <v>1</v>
          </cell>
        </row>
        <row r="510">
          <cell r="A510" t="str">
            <v>S-2026-06-23</v>
          </cell>
          <cell r="C510" t="str">
            <v>RPRO-260605-0685</v>
          </cell>
          <cell r="D510" t="str">
            <v>PUR-202606050001S</v>
          </cell>
          <cell r="E510" t="str">
            <v>BDB-000328</v>
          </cell>
          <cell r="F510" t="str">
            <v>PVN-004212</v>
          </cell>
          <cell r="G510" t="str">
            <v>OrthoLite X-40-Hybrid TRUE BLUE/19-4057TPX Hybrid Flat Sheet 0.16D 25+/-4 Asker C 1.1M 2M 3mm</v>
          </cell>
          <cell r="H510">
            <v>20</v>
          </cell>
          <cell r="I510">
            <v>20</v>
          </cell>
          <cell r="J510">
            <v>0</v>
          </cell>
          <cell r="K510">
            <v>20</v>
          </cell>
          <cell r="L510" t="str">
            <v>ASICS</v>
          </cell>
          <cell r="M510" t="str">
            <v>Sample</v>
          </cell>
          <cell r="N510" t="str">
            <v>DIE-CUT</v>
          </cell>
          <cell r="O510" t="str">
            <v>Sample</v>
          </cell>
          <cell r="P510">
            <v>46178</v>
          </cell>
          <cell r="Q510">
            <v>46185</v>
          </cell>
          <cell r="R510">
            <v>46182</v>
          </cell>
          <cell r="S510">
            <v>6</v>
          </cell>
          <cell r="T510">
            <v>7</v>
          </cell>
          <cell r="U510">
            <v>3</v>
          </cell>
          <cell r="V510">
            <v>2.1739999999999999E-2</v>
          </cell>
          <cell r="W510">
            <v>1</v>
          </cell>
        </row>
        <row r="511">
          <cell r="A511" t="str">
            <v>S-2026-06-24</v>
          </cell>
          <cell r="C511" t="str">
            <v>RPRO-260605-0686</v>
          </cell>
          <cell r="D511" t="str">
            <v>PUR-202606050001S</v>
          </cell>
          <cell r="E511" t="str">
            <v>BDB-000123</v>
          </cell>
          <cell r="F511" t="str">
            <v>PVN-002973</v>
          </cell>
          <cell r="G511" t="str">
            <v>UltraLite-Hybrid OrthoLite SEEDPEARL/12-0703TPX Hybrid Flat Sheet 0.085D 25+/-4 Asker C 1.1M 2M 4.5mm</v>
          </cell>
          <cell r="H511">
            <v>30</v>
          </cell>
          <cell r="I511">
            <v>30</v>
          </cell>
          <cell r="J511">
            <v>0</v>
          </cell>
          <cell r="K511">
            <v>30</v>
          </cell>
          <cell r="L511" t="str">
            <v>WILSON</v>
          </cell>
          <cell r="M511" t="str">
            <v>Sample</v>
          </cell>
          <cell r="N511" t="str">
            <v>MOLDED</v>
          </cell>
          <cell r="O511" t="str">
            <v>Sample</v>
          </cell>
          <cell r="P511">
            <v>46178</v>
          </cell>
          <cell r="Q511">
            <v>46185</v>
          </cell>
          <cell r="R511">
            <v>46182</v>
          </cell>
          <cell r="S511">
            <v>6</v>
          </cell>
          <cell r="T511">
            <v>7</v>
          </cell>
          <cell r="U511">
            <v>4.5</v>
          </cell>
          <cell r="V511">
            <v>3.2259999999999997E-2</v>
          </cell>
          <cell r="W511">
            <v>1</v>
          </cell>
        </row>
        <row r="512">
          <cell r="A512" t="str">
            <v>S-2026-06-25</v>
          </cell>
          <cell r="C512" t="str">
            <v>RPRO-260606-0217</v>
          </cell>
          <cell r="D512" t="str">
            <v xml:space="preserve">PUR2606050003S   </v>
          </cell>
          <cell r="E512" t="str">
            <v>BDB-000067</v>
          </cell>
          <cell r="F512" t="str">
            <v>PVN-003672</v>
          </cell>
          <cell r="G512" t="str">
            <v>OrthoLite Ultra SEEDPEARL/12-0703TPX Flat Sheet 0.085D 25+/-4 Asker C 1.1M 2M 3mm</v>
          </cell>
          <cell r="H512">
            <v>20</v>
          </cell>
          <cell r="I512">
            <v>20</v>
          </cell>
          <cell r="J512">
            <v>0</v>
          </cell>
          <cell r="K512">
            <v>20</v>
          </cell>
          <cell r="L512" t="str">
            <v>ADIDAS</v>
          </cell>
          <cell r="M512" t="str">
            <v>SSO-2606-00253  - URGENT (6-13)</v>
          </cell>
          <cell r="N512" t="str">
            <v>Flat sheet</v>
          </cell>
          <cell r="O512" t="str">
            <v>Sample</v>
          </cell>
          <cell r="P512">
            <v>46178</v>
          </cell>
          <cell r="Q512">
            <v>46186</v>
          </cell>
          <cell r="R512">
            <v>46183</v>
          </cell>
          <cell r="S512">
            <v>6</v>
          </cell>
          <cell r="T512">
            <v>8</v>
          </cell>
          <cell r="U512">
            <v>3</v>
          </cell>
          <cell r="V512">
            <v>2.1739999999999999E-2</v>
          </cell>
          <cell r="W512">
            <v>1</v>
          </cell>
        </row>
        <row r="513">
          <cell r="A513" t="str">
            <v>S-2026-06-26</v>
          </cell>
          <cell r="C513" t="str">
            <v>RPRO-260608-1016</v>
          </cell>
          <cell r="D513" t="str">
            <v>PUR2600600800001S</v>
          </cell>
          <cell r="E513" t="str">
            <v>BDB-000125</v>
          </cell>
          <cell r="F513" t="str">
            <v>PVN-001579</v>
          </cell>
          <cell r="G513" t="str">
            <v>OrthoLite Regular-Nike AIR BLUE/16-4134TPX Flat Sheet 0.11D 25+/-4 Asker C 1.1M 2M 4mm</v>
          </cell>
          <cell r="H513">
            <v>40</v>
          </cell>
          <cell r="I513">
            <v>40</v>
          </cell>
          <cell r="J513">
            <v>0</v>
          </cell>
          <cell r="K513">
            <v>40</v>
          </cell>
          <cell r="L513" t="str">
            <v>NIKE</v>
          </cell>
          <cell r="M513" t="str">
            <v>Sample</v>
          </cell>
          <cell r="N513" t="str">
            <v>DIE CUT</v>
          </cell>
          <cell r="O513" t="str">
            <v>Sample</v>
          </cell>
          <cell r="P513">
            <v>46181</v>
          </cell>
          <cell r="Q513">
            <v>46188</v>
          </cell>
          <cell r="R513">
            <v>46185</v>
          </cell>
          <cell r="S513">
            <v>6</v>
          </cell>
          <cell r="T513">
            <v>7</v>
          </cell>
          <cell r="U513">
            <v>4</v>
          </cell>
          <cell r="V513">
            <v>2.8570000000000002E-2</v>
          </cell>
          <cell r="W513">
            <v>2</v>
          </cell>
        </row>
        <row r="514">
          <cell r="A514" t="str">
            <v>S-2026-06-27</v>
          </cell>
          <cell r="C514" t="str">
            <v>RPRO-260608-1017</v>
          </cell>
          <cell r="D514" t="str">
            <v>PUR2600600800001S</v>
          </cell>
          <cell r="E514" t="str">
            <v>BDB-000125</v>
          </cell>
          <cell r="F514" t="str">
            <v>PVN-002413</v>
          </cell>
          <cell r="G514" t="str">
            <v>OrthoLite Regular-Nike AIR BLUE/16-4134TPX Flat Sheet 0.11D 25+/-4 Asker C 1.1M 2M 4.2mm</v>
          </cell>
          <cell r="H514">
            <v>70</v>
          </cell>
          <cell r="I514">
            <v>70</v>
          </cell>
          <cell r="J514">
            <v>0</v>
          </cell>
          <cell r="K514">
            <v>70</v>
          </cell>
          <cell r="L514" t="str">
            <v>NIKE</v>
          </cell>
          <cell r="M514" t="str">
            <v>Sample</v>
          </cell>
          <cell r="N514" t="str">
            <v>MOLDED</v>
          </cell>
          <cell r="O514" t="str">
            <v>Sample</v>
          </cell>
          <cell r="P514">
            <v>46181</v>
          </cell>
          <cell r="Q514">
            <v>46188</v>
          </cell>
          <cell r="R514">
            <v>46185</v>
          </cell>
          <cell r="S514">
            <v>6</v>
          </cell>
          <cell r="T514">
            <v>7</v>
          </cell>
          <cell r="U514">
            <v>4.2</v>
          </cell>
          <cell r="V514">
            <v>3.0300000000000001E-2</v>
          </cell>
          <cell r="W514">
            <v>3</v>
          </cell>
        </row>
        <row r="515">
          <cell r="A515" t="str">
            <v>S-2026-06-28</v>
          </cell>
          <cell r="C515" t="str">
            <v>RPRO-260608-1018</v>
          </cell>
          <cell r="D515" t="str">
            <v>PUR2600600800001S</v>
          </cell>
          <cell r="E515" t="str">
            <v>BDB-000162</v>
          </cell>
          <cell r="F515" t="str">
            <v>PVN-001566</v>
          </cell>
          <cell r="G515" t="str">
            <v>OrthoLite Ultra-Nike SEEDPEARL/12-0703TPX Flat Sheet 0.085D 25+/-4 Asker C 1.1M 2M 4mm</v>
          </cell>
          <cell r="H515">
            <v>50</v>
          </cell>
          <cell r="I515">
            <v>50</v>
          </cell>
          <cell r="J515">
            <v>0</v>
          </cell>
          <cell r="K515">
            <v>50</v>
          </cell>
          <cell r="L515" t="str">
            <v>NIKE</v>
          </cell>
          <cell r="M515" t="str">
            <v>Sample</v>
          </cell>
          <cell r="N515" t="str">
            <v>DIE CUT</v>
          </cell>
          <cell r="O515" t="str">
            <v>Sample</v>
          </cell>
          <cell r="P515">
            <v>46181</v>
          </cell>
          <cell r="Q515">
            <v>46188</v>
          </cell>
          <cell r="R515">
            <v>46185</v>
          </cell>
          <cell r="S515">
            <v>6</v>
          </cell>
          <cell r="T515">
            <v>7</v>
          </cell>
          <cell r="U515">
            <v>4</v>
          </cell>
          <cell r="V515">
            <v>2.8570000000000002E-2</v>
          </cell>
          <cell r="W515">
            <v>2</v>
          </cell>
        </row>
        <row r="516">
          <cell r="A516" t="str">
            <v>S-2026-06-29</v>
          </cell>
          <cell r="C516" t="str">
            <v>RPRO-260608-1019</v>
          </cell>
          <cell r="D516" t="str">
            <v>PUR2600600800001S</v>
          </cell>
          <cell r="E516" t="str">
            <v>BDB-000305</v>
          </cell>
          <cell r="F516" t="str">
            <v>PVN-004000</v>
          </cell>
          <cell r="G516" t="str">
            <v>OrthoLite X-35-Nike YELLOW/13-0858TPX Flat Sheet 0.145D 25+/-4 Asker C 1.1M 2M 5.5mm</v>
          </cell>
          <cell r="H516">
            <v>30</v>
          </cell>
          <cell r="I516">
            <v>30</v>
          </cell>
          <cell r="J516">
            <v>0</v>
          </cell>
          <cell r="K516">
            <v>30</v>
          </cell>
          <cell r="L516" t="str">
            <v>NIKE</v>
          </cell>
          <cell r="M516" t="str">
            <v>Sample</v>
          </cell>
          <cell r="N516" t="str">
            <v>DIE CUT</v>
          </cell>
          <cell r="O516" t="str">
            <v>Sample</v>
          </cell>
          <cell r="P516">
            <v>46181</v>
          </cell>
          <cell r="Q516">
            <v>46188</v>
          </cell>
          <cell r="R516">
            <v>46185</v>
          </cell>
          <cell r="S516">
            <v>6</v>
          </cell>
          <cell r="T516">
            <v>7</v>
          </cell>
          <cell r="U516">
            <v>5.5</v>
          </cell>
          <cell r="V516">
            <v>0.04</v>
          </cell>
          <cell r="W516">
            <v>2</v>
          </cell>
        </row>
        <row r="517">
          <cell r="A517" t="str">
            <v>S-2026-06-30</v>
          </cell>
          <cell r="C517" t="str">
            <v>RPRO-260608-1020</v>
          </cell>
          <cell r="D517" t="str">
            <v>PUR2606080002S</v>
          </cell>
          <cell r="E517" t="str">
            <v>BDB-000349</v>
          </cell>
          <cell r="F517" t="str">
            <v>PVN-004352</v>
          </cell>
          <cell r="G517" t="str">
            <v>OrthoLite Ultra GREEN/16-5932TPX Flat Sheet 0.085D 15+/-4 Asker C 1.1M 2M 11mm</v>
          </cell>
          <cell r="H517">
            <v>20</v>
          </cell>
          <cell r="I517">
            <v>20</v>
          </cell>
          <cell r="J517">
            <v>0</v>
          </cell>
          <cell r="K517">
            <v>20</v>
          </cell>
          <cell r="L517" t="str">
            <v>BLACKYAK</v>
          </cell>
          <cell r="M517" t="str">
            <v>Sample</v>
          </cell>
          <cell r="N517" t="str">
            <v>Molded</v>
          </cell>
          <cell r="O517" t="str">
            <v>Sample</v>
          </cell>
          <cell r="P517">
            <v>46181</v>
          </cell>
          <cell r="Q517">
            <v>46188</v>
          </cell>
          <cell r="R517">
            <v>46185</v>
          </cell>
          <cell r="S517">
            <v>6</v>
          </cell>
          <cell r="T517">
            <v>7</v>
          </cell>
          <cell r="U517">
            <v>11</v>
          </cell>
          <cell r="V517">
            <v>8.3330000000000001E-2</v>
          </cell>
          <cell r="W517">
            <v>2</v>
          </cell>
        </row>
        <row r="518">
          <cell r="E518"/>
          <cell r="J518">
            <v>0</v>
          </cell>
          <cell r="K518">
            <v>0</v>
          </cell>
        </row>
        <row r="519">
          <cell r="E519"/>
          <cell r="J519">
            <v>0</v>
          </cell>
          <cell r="K519">
            <v>0</v>
          </cell>
        </row>
        <row r="520">
          <cell r="J520">
            <v>0</v>
          </cell>
          <cell r="K520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>
        <row r="1">
          <cell r="F1" t="str">
            <v>No_Item</v>
          </cell>
        </row>
      </sheetData>
      <sheetData sheetId="109"/>
      <sheetData sheetId="110"/>
      <sheetData sheetId="11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/>
  <mergeCells count="1">
    <mergeCell ref="D1:F1"/>
  </mergeCells>
  <conditionalFormatting sqref="A2">
    <cfRule type="duplicateValues" dxfId="112" priority="8"/>
  </conditionalFormatting>
  <conditionalFormatting sqref="A3:A20">
    <cfRule type="duplicateValues" dxfId="111" priority="11"/>
  </conditionalFormatting>
  <conditionalFormatting sqref="A23:A1048576">
    <cfRule type="duplicateValues" dxfId="110" priority="9"/>
  </conditionalFormatting>
  <conditionalFormatting sqref="C1:C1048576">
    <cfRule type="duplicateValues" dxfId="109" priority="1"/>
    <cfRule type="duplicateValues" dxfId="108" priority="2"/>
  </conditionalFormatting>
  <conditionalFormatting sqref="I2:M2">
    <cfRule type="duplicateValues" dxfId="107" priority="7"/>
  </conditionalFormatting>
  <conditionalFormatting sqref="N1">
    <cfRule type="duplicateValues" dxfId="106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>
    <tabColor theme="4"/>
  </sheetPr>
  <dimension ref="A1:N667"/>
  <sheetViews>
    <sheetView zoomScale="25" zoomScaleNormal="25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46182.483680439815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2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/>
  <mergeCells count="1">
    <mergeCell ref="D1:F1"/>
  </mergeCells>
  <conditionalFormatting sqref="A2">
    <cfRule type="duplicateValues" dxfId="105" priority="5"/>
  </conditionalFormatting>
  <conditionalFormatting sqref="A3:A23">
    <cfRule type="duplicateValues" dxfId="104" priority="7"/>
  </conditionalFormatting>
  <conditionalFormatting sqref="A26:A1048576">
    <cfRule type="duplicateValues" dxfId="103" priority="6"/>
  </conditionalFormatting>
  <conditionalFormatting sqref="C1:C1048576">
    <cfRule type="duplicateValues" dxfId="102" priority="1"/>
    <cfRule type="duplicateValues" dxfId="101" priority="2"/>
  </conditionalFormatting>
  <conditionalFormatting sqref="I2:M2">
    <cfRule type="duplicateValues" dxfId="100" priority="4"/>
  </conditionalFormatting>
  <conditionalFormatting sqref="N1">
    <cfRule type="duplicateValues" dxfId="99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18" activePane="bottomRight" state="frozen"/>
      <selection activeCell="E27" sqref="E27"/>
      <selection pane="topRight" activeCell="E27" sqref="E27"/>
      <selection pane="bottomLeft" activeCell="E27" sqref="E27"/>
      <selection pane="bottomRight" activeCell="A26" sqref="A2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46182.483680439815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246</v>
      </c>
      <c r="L3" s="74">
        <v>0</v>
      </c>
      <c r="M3" s="75" t="s">
        <v>115</v>
      </c>
      <c r="N3" s="28">
        <v>46159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25" t="s">
        <v>246</v>
      </c>
      <c r="L4" s="70"/>
      <c r="M4" s="70"/>
      <c r="N4" s="76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246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25" t="s">
        <v>246</v>
      </c>
      <c r="L6" s="71"/>
      <c r="M6" s="72"/>
      <c r="N6" s="76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246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25" t="s">
        <v>246</v>
      </c>
      <c r="L8" s="71"/>
      <c r="M8" s="72"/>
      <c r="N8" s="76"/>
    </row>
    <row r="9" spans="1:14" s="3" customFormat="1" ht="70" customHeight="1" x14ac:dyDescent="0.35">
      <c r="A9" s="17" t="s">
        <v>130</v>
      </c>
      <c r="B9" s="18" t="s">
        <v>131</v>
      </c>
      <c r="C9" s="19" t="s">
        <v>132</v>
      </c>
      <c r="D9" s="20" t="s">
        <v>133</v>
      </c>
      <c r="E9" s="21" t="s">
        <v>134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246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135</v>
      </c>
      <c r="B10" s="18" t="s">
        <v>136</v>
      </c>
      <c r="C10" s="19" t="s">
        <v>132</v>
      </c>
      <c r="D10" s="20" t="s">
        <v>137</v>
      </c>
      <c r="E10" s="21" t="s">
        <v>138</v>
      </c>
      <c r="F10" s="22">
        <v>30</v>
      </c>
      <c r="G10" s="23">
        <v>1</v>
      </c>
      <c r="H10" s="24">
        <v>1</v>
      </c>
      <c r="I10" s="25" t="s">
        <v>139</v>
      </c>
      <c r="J10" s="25" t="s">
        <v>140</v>
      </c>
      <c r="K10" s="25" t="s">
        <v>246</v>
      </c>
      <c r="L10" s="26"/>
      <c r="M10" s="27"/>
      <c r="N10" s="28">
        <v>46165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25" t="s">
        <v>246</v>
      </c>
      <c r="L11" s="71"/>
      <c r="M11" s="72"/>
      <c r="N11" s="76"/>
    </row>
    <row r="12" spans="1:14" s="3" customFormat="1" ht="70" customHeight="1" x14ac:dyDescent="0.35">
      <c r="A12" s="17" t="s">
        <v>141</v>
      </c>
      <c r="B12" s="18" t="s">
        <v>142</v>
      </c>
      <c r="C12" s="19" t="s">
        <v>143</v>
      </c>
      <c r="D12" s="20" t="s">
        <v>144</v>
      </c>
      <c r="E12" s="21" t="s">
        <v>145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246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25" t="s">
        <v>246</v>
      </c>
      <c r="L13" s="71"/>
      <c r="M13" s="72"/>
      <c r="N13" s="76"/>
    </row>
    <row r="14" spans="1:14" s="3" customFormat="1" ht="70" customHeight="1" x14ac:dyDescent="0.35">
      <c r="A14" s="17" t="s">
        <v>146</v>
      </c>
      <c r="B14" s="18" t="s">
        <v>147</v>
      </c>
      <c r="C14" s="19" t="s">
        <v>148</v>
      </c>
      <c r="D14" s="20" t="s">
        <v>149</v>
      </c>
      <c r="E14" s="21" t="s">
        <v>150</v>
      </c>
      <c r="F14" s="22">
        <v>40</v>
      </c>
      <c r="G14" s="23">
        <v>2</v>
      </c>
      <c r="H14" s="24">
        <v>2</v>
      </c>
      <c r="I14" s="25" t="s">
        <v>151</v>
      </c>
      <c r="J14" s="25" t="s">
        <v>152</v>
      </c>
      <c r="K14" s="25" t="s">
        <v>246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153</v>
      </c>
      <c r="B15" s="18" t="s">
        <v>154</v>
      </c>
      <c r="C15" s="19" t="s">
        <v>148</v>
      </c>
      <c r="D15" s="20" t="s">
        <v>155</v>
      </c>
      <c r="E15" s="21" t="s">
        <v>156</v>
      </c>
      <c r="F15" s="22">
        <v>20</v>
      </c>
      <c r="G15" s="23">
        <v>1</v>
      </c>
      <c r="H15" s="24">
        <v>1</v>
      </c>
      <c r="I15" s="25" t="s">
        <v>151</v>
      </c>
      <c r="J15" s="25" t="s">
        <v>157</v>
      </c>
      <c r="K15" s="25" t="s">
        <v>246</v>
      </c>
      <c r="L15" s="26"/>
      <c r="M15" s="40"/>
      <c r="N15" s="28">
        <v>46165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25" t="s">
        <v>246</v>
      </c>
      <c r="L16" s="71"/>
      <c r="M16" s="73"/>
      <c r="N16" s="76"/>
    </row>
    <row r="17" spans="1:14" s="3" customFormat="1" ht="70" customHeight="1" x14ac:dyDescent="0.35">
      <c r="A17" s="17" t="s">
        <v>158</v>
      </c>
      <c r="B17" s="18" t="s">
        <v>159</v>
      </c>
      <c r="C17" s="19" t="s">
        <v>63</v>
      </c>
      <c r="D17" s="20" t="s">
        <v>71</v>
      </c>
      <c r="E17" s="21" t="s">
        <v>160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161</v>
      </c>
      <c r="K17" s="25" t="s">
        <v>246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163</v>
      </c>
      <c r="B18" s="18" t="s">
        <v>164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161</v>
      </c>
      <c r="K18" s="25" t="s">
        <v>246</v>
      </c>
      <c r="L18" s="26"/>
      <c r="M18" s="40"/>
      <c r="N18" s="28">
        <v>46165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25"/>
      <c r="K19" s="25" t="s">
        <v>246</v>
      </c>
      <c r="L19" s="71"/>
      <c r="M19" s="73"/>
      <c r="N19" s="76"/>
    </row>
    <row r="20" spans="1:14" s="3" customFormat="1" ht="70" customHeight="1" x14ac:dyDescent="0.35">
      <c r="A20" s="17" t="s">
        <v>165</v>
      </c>
      <c r="B20" s="18" t="s">
        <v>166</v>
      </c>
      <c r="C20" s="19" t="s">
        <v>167</v>
      </c>
      <c r="D20" s="20" t="s">
        <v>168</v>
      </c>
      <c r="E20" s="21" t="s">
        <v>169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246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2"/>
      <c r="B21" s="63"/>
      <c r="C21" s="64"/>
      <c r="D21" s="65"/>
      <c r="E21" s="66"/>
      <c r="F21" s="67"/>
      <c r="G21" s="68"/>
      <c r="H21" s="69"/>
      <c r="I21" s="70"/>
      <c r="J21" s="25"/>
      <c r="K21" s="25" t="s">
        <v>246</v>
      </c>
      <c r="L21" s="71"/>
      <c r="M21" s="73"/>
      <c r="N21" s="76"/>
    </row>
    <row r="22" spans="1:14" s="3" customFormat="1" ht="70" customHeight="1" x14ac:dyDescent="0.35">
      <c r="A22" s="17" t="s">
        <v>170</v>
      </c>
      <c r="B22" s="18" t="s">
        <v>171</v>
      </c>
      <c r="C22" s="19" t="s">
        <v>172</v>
      </c>
      <c r="D22" s="20" t="s">
        <v>173</v>
      </c>
      <c r="E22" s="21" t="s">
        <v>174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246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2"/>
      <c r="B23" s="63"/>
      <c r="C23" s="64"/>
      <c r="D23" s="65"/>
      <c r="E23" s="66"/>
      <c r="F23" s="67"/>
      <c r="G23" s="68"/>
      <c r="H23" s="69"/>
      <c r="I23" s="70"/>
      <c r="J23" s="25"/>
      <c r="K23" s="25" t="s">
        <v>246</v>
      </c>
      <c r="L23" s="71"/>
      <c r="M23" s="72"/>
      <c r="N23" s="76"/>
    </row>
    <row r="24" spans="1:14" s="3" customFormat="1" ht="70" customHeight="1" x14ac:dyDescent="0.35">
      <c r="A24" s="17" t="s">
        <v>175</v>
      </c>
      <c r="B24" s="18" t="s">
        <v>176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246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2"/>
      <c r="B25" s="63"/>
      <c r="C25" s="64"/>
      <c r="D25" s="65"/>
      <c r="E25" s="66"/>
      <c r="F25" s="67"/>
      <c r="G25" s="68"/>
      <c r="H25" s="69"/>
      <c r="I25" s="70"/>
      <c r="J25" s="25"/>
      <c r="K25" s="25" t="s">
        <v>246</v>
      </c>
      <c r="L25" s="71"/>
      <c r="M25" s="73"/>
      <c r="N25" s="76"/>
    </row>
    <row r="26" spans="1:14" s="3" customFormat="1" ht="70" customHeight="1" x14ac:dyDescent="0.35">
      <c r="A26" s="17" t="s">
        <v>177</v>
      </c>
      <c r="B26" s="18" t="s">
        <v>178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246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2"/>
      <c r="B27" s="63"/>
      <c r="C27" s="64"/>
      <c r="D27" s="65"/>
      <c r="E27" s="66"/>
      <c r="F27" s="67"/>
      <c r="G27" s="68"/>
      <c r="H27" s="69"/>
      <c r="I27" s="70"/>
      <c r="J27" s="25"/>
      <c r="K27" s="25" t="s">
        <v>246</v>
      </c>
      <c r="L27" s="71"/>
      <c r="M27" s="73"/>
      <c r="N27" s="76"/>
    </row>
    <row r="28" spans="1:14" s="3" customFormat="1" ht="70" customHeight="1" x14ac:dyDescent="0.35">
      <c r="A28" s="17" t="s">
        <v>179</v>
      </c>
      <c r="B28" s="18" t="s">
        <v>180</v>
      </c>
      <c r="C28" s="19" t="s">
        <v>181</v>
      </c>
      <c r="D28" s="20" t="s">
        <v>182</v>
      </c>
      <c r="E28" s="21" t="s">
        <v>183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246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3" xr:uid="{C37AD070-2916-43CC-A604-A8704404E33C}"/>
  <mergeCells count="1">
    <mergeCell ref="D1:F1"/>
  </mergeCells>
  <conditionalFormatting sqref="A2">
    <cfRule type="duplicateValues" dxfId="98" priority="5"/>
  </conditionalFormatting>
  <conditionalFormatting sqref="A3:A28">
    <cfRule type="duplicateValues" dxfId="97" priority="7"/>
  </conditionalFormatting>
  <conditionalFormatting sqref="A31:A1048576">
    <cfRule type="duplicateValues" dxfId="96" priority="6"/>
  </conditionalFormatting>
  <conditionalFormatting sqref="C1:C1048576">
    <cfRule type="duplicateValues" dxfId="95" priority="1"/>
    <cfRule type="duplicateValues" dxfId="94" priority="2"/>
  </conditionalFormatting>
  <conditionalFormatting sqref="I2:M2">
    <cfRule type="duplicateValues" dxfId="93" priority="4"/>
  </conditionalFormatting>
  <conditionalFormatting sqref="N1">
    <cfRule type="duplicateValues" dxfId="92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zoomScale="25" zoomScaleNormal="25" zoomScaleSheetLayoutView="34" workbookViewId="0">
      <pane xSplit="1" ySplit="2" topLeftCell="C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46182.483680439815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184</v>
      </c>
      <c r="B3" s="18" t="s">
        <v>185</v>
      </c>
      <c r="C3" s="19" t="s">
        <v>186</v>
      </c>
      <c r="D3" s="20" t="s">
        <v>187</v>
      </c>
      <c r="E3" s="21" t="s">
        <v>188</v>
      </c>
      <c r="F3" s="22">
        <v>70</v>
      </c>
      <c r="G3" s="23">
        <v>2</v>
      </c>
      <c r="H3" s="24">
        <v>2</v>
      </c>
      <c r="I3" s="25" t="s">
        <v>57</v>
      </c>
      <c r="J3" s="25" t="s">
        <v>189</v>
      </c>
      <c r="K3" s="25" t="s">
        <v>246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25" t="s">
        <v>246</v>
      </c>
      <c r="L4" s="71"/>
      <c r="M4" s="72"/>
      <c r="N4" s="28"/>
    </row>
    <row r="5" spans="1:14" s="3" customFormat="1" ht="70" customHeight="1" x14ac:dyDescent="0.35">
      <c r="A5" s="17" t="s">
        <v>190</v>
      </c>
      <c r="B5" s="18" t="s">
        <v>191</v>
      </c>
      <c r="C5" s="19" t="s">
        <v>192</v>
      </c>
      <c r="D5" s="20" t="s">
        <v>193</v>
      </c>
      <c r="E5" s="21" t="s">
        <v>194</v>
      </c>
      <c r="F5" s="22">
        <v>40</v>
      </c>
      <c r="G5" s="23">
        <v>2</v>
      </c>
      <c r="H5" s="24">
        <v>2</v>
      </c>
      <c r="I5" s="25" t="s">
        <v>151</v>
      </c>
      <c r="J5" s="25" t="s">
        <v>27</v>
      </c>
      <c r="K5" s="25" t="s">
        <v>246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25" t="s">
        <v>246</v>
      </c>
      <c r="L6" s="71"/>
      <c r="M6" s="72"/>
      <c r="N6" s="28"/>
    </row>
    <row r="7" spans="1:14" s="3" customFormat="1" ht="70" customHeight="1" x14ac:dyDescent="0.35">
      <c r="A7" s="17" t="s">
        <v>195</v>
      </c>
      <c r="B7" s="18" t="s">
        <v>196</v>
      </c>
      <c r="C7" s="19" t="s">
        <v>197</v>
      </c>
      <c r="D7" s="20" t="s">
        <v>198</v>
      </c>
      <c r="E7" s="21" t="s">
        <v>199</v>
      </c>
      <c r="F7" s="22">
        <v>40</v>
      </c>
      <c r="G7" s="23">
        <v>1</v>
      </c>
      <c r="H7" s="24">
        <v>1</v>
      </c>
      <c r="I7" s="25" t="s">
        <v>151</v>
      </c>
      <c r="J7" s="25" t="s">
        <v>27</v>
      </c>
      <c r="K7" s="25" t="s">
        <v>246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25" t="s">
        <v>246</v>
      </c>
      <c r="L8" s="71"/>
      <c r="M8" s="72"/>
      <c r="N8" s="28"/>
    </row>
    <row r="9" spans="1:14" s="3" customFormat="1" ht="70" customHeight="1" x14ac:dyDescent="0.35">
      <c r="A9" s="17" t="s">
        <v>200</v>
      </c>
      <c r="B9" s="18" t="s">
        <v>201</v>
      </c>
      <c r="C9" s="19" t="s">
        <v>202</v>
      </c>
      <c r="D9" s="20" t="s">
        <v>203</v>
      </c>
      <c r="E9" s="21" t="s">
        <v>204</v>
      </c>
      <c r="F9" s="22">
        <v>40</v>
      </c>
      <c r="G9" s="23">
        <v>2</v>
      </c>
      <c r="H9" s="24">
        <v>2</v>
      </c>
      <c r="I9" s="25" t="s">
        <v>151</v>
      </c>
      <c r="J9" s="25" t="s">
        <v>27</v>
      </c>
      <c r="K9" s="25" t="s">
        <v>246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25" t="s">
        <v>246</v>
      </c>
      <c r="L10" s="71"/>
      <c r="M10" s="72"/>
      <c r="N10" s="28"/>
    </row>
    <row r="11" spans="1:14" s="3" customFormat="1" ht="70" customHeight="1" x14ac:dyDescent="0.35">
      <c r="A11" s="17" t="s">
        <v>205</v>
      </c>
      <c r="B11" s="18" t="s">
        <v>206</v>
      </c>
      <c r="C11" s="19" t="s">
        <v>207</v>
      </c>
      <c r="D11" s="20" t="s">
        <v>208</v>
      </c>
      <c r="E11" s="21" t="s">
        <v>209</v>
      </c>
      <c r="F11" s="22">
        <v>30</v>
      </c>
      <c r="G11" s="23">
        <v>2</v>
      </c>
      <c r="H11" s="24">
        <v>2</v>
      </c>
      <c r="I11" s="25" t="s">
        <v>151</v>
      </c>
      <c r="J11" s="25" t="s">
        <v>27</v>
      </c>
      <c r="K11" s="25" t="s">
        <v>246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25" t="s">
        <v>246</v>
      </c>
      <c r="L12" s="71"/>
      <c r="M12" s="72"/>
      <c r="N12" s="28"/>
    </row>
    <row r="13" spans="1:14" s="3" customFormat="1" ht="70" customHeight="1" x14ac:dyDescent="0.35">
      <c r="A13" s="17" t="s">
        <v>210</v>
      </c>
      <c r="B13" s="18" t="s">
        <v>211</v>
      </c>
      <c r="C13" s="19" t="s">
        <v>148</v>
      </c>
      <c r="D13" s="20" t="s">
        <v>212</v>
      </c>
      <c r="E13" s="21" t="s">
        <v>213</v>
      </c>
      <c r="F13" s="22">
        <v>50</v>
      </c>
      <c r="G13" s="23">
        <v>2</v>
      </c>
      <c r="H13" s="24">
        <v>2</v>
      </c>
      <c r="I13" s="25" t="s">
        <v>151</v>
      </c>
      <c r="J13" s="25" t="s">
        <v>27</v>
      </c>
      <c r="K13" s="25" t="s">
        <v>246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70"/>
      <c r="K14" s="25" t="s">
        <v>246</v>
      </c>
      <c r="L14" s="71"/>
      <c r="M14" s="72"/>
      <c r="N14" s="28"/>
    </row>
    <row r="15" spans="1:14" s="3" customFormat="1" ht="70" customHeight="1" x14ac:dyDescent="0.35">
      <c r="A15" s="17" t="s">
        <v>214</v>
      </c>
      <c r="B15" s="18" t="s">
        <v>215</v>
      </c>
      <c r="C15" s="19" t="s">
        <v>54</v>
      </c>
      <c r="D15" s="20" t="s">
        <v>216</v>
      </c>
      <c r="E15" s="21" t="s">
        <v>217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246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218</v>
      </c>
      <c r="B16" s="18" t="s">
        <v>219</v>
      </c>
      <c r="C16" s="19" t="s">
        <v>54</v>
      </c>
      <c r="D16" s="20" t="s">
        <v>220</v>
      </c>
      <c r="E16" s="21" t="s">
        <v>221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246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222</v>
      </c>
      <c r="B17" s="18" t="s">
        <v>223</v>
      </c>
      <c r="C17" s="19" t="s">
        <v>54</v>
      </c>
      <c r="D17" s="20" t="s">
        <v>224</v>
      </c>
      <c r="E17" s="21" t="s">
        <v>225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246</v>
      </c>
      <c r="L17" s="26"/>
      <c r="M17" s="27"/>
      <c r="N17" s="28">
        <v>46168</v>
      </c>
    </row>
    <row r="18" spans="1:14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25" t="s">
        <v>246</v>
      </c>
      <c r="L18" s="71"/>
      <c r="M18" s="72"/>
      <c r="N18" s="28"/>
    </row>
    <row r="19" spans="1:14" s="3" customFormat="1" ht="70" customHeight="1" x14ac:dyDescent="0.35">
      <c r="A19" s="17" t="s">
        <v>226</v>
      </c>
      <c r="B19" s="18" t="s">
        <v>227</v>
      </c>
      <c r="C19" s="19" t="s">
        <v>228</v>
      </c>
      <c r="D19" s="20" t="s">
        <v>229</v>
      </c>
      <c r="E19" s="21" t="s">
        <v>230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246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2"/>
      <c r="B20" s="63"/>
      <c r="C20" s="64"/>
      <c r="D20" s="65"/>
      <c r="E20" s="66"/>
      <c r="F20" s="67"/>
      <c r="G20" s="68"/>
      <c r="H20" s="69"/>
      <c r="I20" s="70"/>
      <c r="J20" s="70"/>
      <c r="K20" s="25" t="s">
        <v>246</v>
      </c>
      <c r="L20" s="71"/>
      <c r="M20" s="72"/>
      <c r="N20" s="28"/>
    </row>
    <row r="21" spans="1:14" s="3" customFormat="1" ht="70" customHeight="1" x14ac:dyDescent="0.35">
      <c r="A21" s="17" t="s">
        <v>231</v>
      </c>
      <c r="B21" s="18" t="s">
        <v>232</v>
      </c>
      <c r="C21" s="19" t="s">
        <v>172</v>
      </c>
      <c r="D21" s="20" t="s">
        <v>233</v>
      </c>
      <c r="E21" s="21" t="s">
        <v>234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246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235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235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91" priority="5"/>
  </conditionalFormatting>
  <conditionalFormatting sqref="A3:A25">
    <cfRule type="duplicateValues" dxfId="90" priority="7"/>
  </conditionalFormatting>
  <conditionalFormatting sqref="A28:A1048576">
    <cfRule type="duplicateValues" dxfId="89" priority="6"/>
  </conditionalFormatting>
  <conditionalFormatting sqref="C1:C1048576">
    <cfRule type="duplicateValues" dxfId="88" priority="1"/>
    <cfRule type="duplicateValues" dxfId="87" priority="2"/>
  </conditionalFormatting>
  <conditionalFormatting sqref="I2:M2">
    <cfRule type="duplicateValues" dxfId="86" priority="4"/>
  </conditionalFormatting>
  <conditionalFormatting sqref="N1">
    <cfRule type="duplicateValues" dxfId="85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>
    <tabColor theme="4"/>
  </sheetPr>
  <dimension ref="A1:N66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10" width="20.1796875" style="53" customWidth="1"/>
    <col min="11" max="11" width="25.7265625" style="53" customWidth="1"/>
    <col min="12" max="12" width="21.453125" style="61" customWidth="1"/>
    <col min="13" max="13" width="22" style="57" customWidth="1"/>
    <col min="14" max="14" width="39.36328125" style="58" bestFit="1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46182.483680439815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236</v>
      </c>
      <c r="B3" s="18" t="s">
        <v>237</v>
      </c>
      <c r="C3" s="19" t="s">
        <v>105</v>
      </c>
      <c r="D3" s="20" t="s">
        <v>238</v>
      </c>
      <c r="E3" s="21" t="s">
        <v>239</v>
      </c>
      <c r="F3" s="22">
        <v>50</v>
      </c>
      <c r="G3" s="23">
        <v>2</v>
      </c>
      <c r="H3" s="24">
        <v>2</v>
      </c>
      <c r="I3" s="25" t="s">
        <v>57</v>
      </c>
      <c r="J3" s="25" t="s">
        <v>240</v>
      </c>
      <c r="K3" s="25" t="s">
        <v>162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241</v>
      </c>
      <c r="B5" s="18" t="s">
        <v>242</v>
      </c>
      <c r="C5" s="19" t="s">
        <v>39</v>
      </c>
      <c r="D5" s="20" t="s">
        <v>243</v>
      </c>
      <c r="E5" s="21" t="s">
        <v>244</v>
      </c>
      <c r="F5" s="22">
        <v>30</v>
      </c>
      <c r="G5" s="23">
        <v>2</v>
      </c>
      <c r="H5" s="24">
        <v>2</v>
      </c>
      <c r="I5" s="25" t="s">
        <v>57</v>
      </c>
      <c r="J5" s="25" t="s">
        <v>245</v>
      </c>
      <c r="K5" s="25" t="s">
        <v>246</v>
      </c>
      <c r="L5" s="26">
        <v>2</v>
      </c>
      <c r="M5" s="27"/>
      <c r="N5" s="28">
        <v>46167</v>
      </c>
    </row>
    <row r="6" spans="1:14" s="3" customFormat="1" ht="70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144" customHeight="1" x14ac:dyDescent="0.35">
      <c r="A7" s="1" t="s">
        <v>0</v>
      </c>
      <c r="B7" s="1">
        <v>46167.440663078705</v>
      </c>
      <c r="C7" s="2"/>
      <c r="D7" s="83" t="s">
        <v>1</v>
      </c>
      <c r="E7" s="83"/>
      <c r="F7" s="83"/>
      <c r="H7" s="4"/>
      <c r="I7" s="5"/>
      <c r="J7" s="7"/>
      <c r="K7" s="8">
        <v>7</v>
      </c>
      <c r="L7" s="7"/>
      <c r="M7" s="9"/>
      <c r="N7" s="28" t="str">
        <f>_xlfn.IFNA(VLOOKUP(A7,'[2]master plan'!A:R,18,0),"")</f>
        <v/>
      </c>
    </row>
    <row r="8" spans="1:14" s="3" customFormat="1" ht="70" customHeight="1" x14ac:dyDescent="0.35">
      <c r="A8" s="11" t="s">
        <v>2</v>
      </c>
      <c r="B8" s="12" t="s">
        <v>3</v>
      </c>
      <c r="C8" s="11" t="s">
        <v>4</v>
      </c>
      <c r="D8" s="11" t="s">
        <v>5</v>
      </c>
      <c r="E8" s="13" t="s">
        <v>6</v>
      </c>
      <c r="F8" s="11" t="s">
        <v>7</v>
      </c>
      <c r="G8" s="11" t="s">
        <v>8</v>
      </c>
      <c r="H8" s="11" t="s">
        <v>9</v>
      </c>
      <c r="I8" s="11" t="s">
        <v>10</v>
      </c>
      <c r="J8" s="11" t="s">
        <v>12</v>
      </c>
      <c r="K8" s="14" t="s">
        <v>13</v>
      </c>
      <c r="L8" s="11" t="s">
        <v>14</v>
      </c>
      <c r="M8" s="15" t="s">
        <v>15</v>
      </c>
      <c r="N8" s="28" t="str">
        <f>_xlfn.IFNA(VLOOKUP(A8,'[2]master plan'!A:R,18,0),"")</f>
        <v>Ngày gửi Lab</v>
      </c>
    </row>
    <row r="9" spans="1:14" s="3" customFormat="1" ht="70" customHeight="1" x14ac:dyDescent="0.35">
      <c r="A9" s="17" t="s">
        <v>247</v>
      </c>
      <c r="B9" s="18" t="s">
        <v>248</v>
      </c>
      <c r="C9" s="19" t="s">
        <v>249</v>
      </c>
      <c r="D9" s="20" t="s">
        <v>250</v>
      </c>
      <c r="E9" s="21" t="s">
        <v>251</v>
      </c>
      <c r="F9" s="22">
        <v>15</v>
      </c>
      <c r="G9" s="23">
        <v>2</v>
      </c>
      <c r="H9" s="24">
        <v>2</v>
      </c>
      <c r="I9" s="25" t="s">
        <v>57</v>
      </c>
      <c r="J9" s="25" t="s">
        <v>59</v>
      </c>
      <c r="K9" s="26">
        <v>2</v>
      </c>
      <c r="L9" s="27"/>
      <c r="M9" s="28">
        <v>46169</v>
      </c>
      <c r="N9" s="28">
        <f>_xlfn.IFNA(VLOOKUP(A9,'[2]master plan'!A:R,18,0),"")</f>
        <v>46169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1"/>
      <c r="L10" s="72"/>
      <c r="M10" s="76"/>
      <c r="N10" s="28" t="str">
        <f>_xlfn.IFNA(VLOOKUP(A10,'[2]master plan'!A:R,18,0),"")</f>
        <v/>
      </c>
    </row>
    <row r="11" spans="1:14" s="3" customFormat="1" ht="70" customHeight="1" x14ac:dyDescent="0.35">
      <c r="A11" s="17" t="s">
        <v>252</v>
      </c>
      <c r="B11" s="18" t="s">
        <v>253</v>
      </c>
      <c r="C11" s="19" t="s">
        <v>63</v>
      </c>
      <c r="D11" s="20" t="s">
        <v>64</v>
      </c>
      <c r="E11" s="21" t="s">
        <v>65</v>
      </c>
      <c r="F11" s="22">
        <v>100</v>
      </c>
      <c r="G11" s="23">
        <v>3</v>
      </c>
      <c r="H11" s="24">
        <v>3</v>
      </c>
      <c r="I11" s="25" t="s">
        <v>57</v>
      </c>
      <c r="J11" s="25" t="s">
        <v>67</v>
      </c>
      <c r="K11" s="26">
        <v>3</v>
      </c>
      <c r="L11" s="27"/>
      <c r="M11" s="28">
        <v>46169</v>
      </c>
      <c r="N11" s="28">
        <f>_xlfn.IFNA(VLOOKUP(A11,'[2]master plan'!A:R,18,0),"")</f>
        <v>46169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1"/>
      <c r="L12" s="72"/>
      <c r="M12" s="76"/>
      <c r="N12" s="28" t="str">
        <f>_xlfn.IFNA(VLOOKUP(A12,'[2]master plan'!A:R,18,0),"")</f>
        <v/>
      </c>
    </row>
    <row r="13" spans="1:14" s="3" customFormat="1" ht="70" customHeight="1" x14ac:dyDescent="0.35">
      <c r="A13" s="17" t="s">
        <v>254</v>
      </c>
      <c r="B13" s="18" t="s">
        <v>255</v>
      </c>
      <c r="C13" s="19" t="s">
        <v>39</v>
      </c>
      <c r="D13" s="20" t="s">
        <v>256</v>
      </c>
      <c r="E13" s="21" t="s">
        <v>257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</v>
      </c>
      <c r="K13" s="26">
        <v>2</v>
      </c>
      <c r="L13" s="40"/>
      <c r="M13" s="28">
        <v>46169</v>
      </c>
      <c r="N13" s="28">
        <f>_xlfn.IFNA(VLOOKUP(A13,'[2]master plan'!A:R,18,0),"")</f>
        <v>46169</v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6 E14:E18" name="Range1_1"/>
    <protectedRange algorithmName="SHA-512" hashValue="e1FOu1UlwA7reaiyQlEGzbU6dAFPyHPlKfgo6VzFBBobawyOfUsh2c/+wjC8bICpcXVPmRerMGA9+qKsw5p7Iw==" saltValue="UD2tVZrxqZTGI3vDzMBrHw==" spinCount="100000" sqref="E9:E13" name="Range1_1_1"/>
  </protectedRanges>
  <autoFilter ref="A2:N19" xr:uid="{E2BC4C4A-3703-4A99-A30B-53817C3A378F}"/>
  <mergeCells count="2">
    <mergeCell ref="D1:F1"/>
    <mergeCell ref="D7:F7"/>
  </mergeCells>
  <conditionalFormatting sqref="A2">
    <cfRule type="duplicateValues" dxfId="84" priority="11"/>
  </conditionalFormatting>
  <conditionalFormatting sqref="A3:A6 A14:A18">
    <cfRule type="duplicateValues" dxfId="83" priority="13"/>
  </conditionalFormatting>
  <conditionalFormatting sqref="A8">
    <cfRule type="duplicateValues" dxfId="82" priority="5"/>
  </conditionalFormatting>
  <conditionalFormatting sqref="A9:A13">
    <cfRule type="duplicateValues" dxfId="81" priority="6"/>
  </conditionalFormatting>
  <conditionalFormatting sqref="A21:A1048576">
    <cfRule type="duplicateValues" dxfId="80" priority="12"/>
  </conditionalFormatting>
  <conditionalFormatting sqref="C1:C6 C14:C1048576">
    <cfRule type="duplicateValues" dxfId="79" priority="7"/>
    <cfRule type="duplicateValues" dxfId="78" priority="8"/>
  </conditionalFormatting>
  <conditionalFormatting sqref="C7:C13">
    <cfRule type="duplicateValues" dxfId="77" priority="2"/>
    <cfRule type="duplicateValues" dxfId="76" priority="3"/>
  </conditionalFormatting>
  <conditionalFormatting sqref="I8:L8">
    <cfRule type="duplicateValues" dxfId="75" priority="4"/>
  </conditionalFormatting>
  <conditionalFormatting sqref="I2:M2">
    <cfRule type="duplicateValues" dxfId="74" priority="10"/>
  </conditionalFormatting>
  <conditionalFormatting sqref="M7">
    <cfRule type="duplicateValues" dxfId="73" priority="1"/>
  </conditionalFormatting>
  <conditionalFormatting sqref="N1">
    <cfRule type="duplicateValues" dxfId="72" priority="9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CD7D-34C5-42FC-9669-845822F69DA3}">
  <sheetPr filterMode="1">
    <tabColor theme="4"/>
  </sheetPr>
  <dimension ref="A1:N665"/>
  <sheetViews>
    <sheetView zoomScale="30" zoomScaleNormal="30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10" sqref="A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2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46182.483680439815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28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77" t="s">
        <v>259</v>
      </c>
      <c r="B3" s="18" t="s">
        <v>260</v>
      </c>
      <c r="C3" s="19" t="s">
        <v>167</v>
      </c>
      <c r="D3" s="20" t="s">
        <v>168</v>
      </c>
      <c r="E3" s="21" t="s">
        <v>169</v>
      </c>
      <c r="F3" s="22">
        <v>30</v>
      </c>
      <c r="G3" s="23">
        <v>3</v>
      </c>
      <c r="H3" s="24">
        <v>3</v>
      </c>
      <c r="I3" s="25" t="s">
        <v>77</v>
      </c>
      <c r="J3" s="25" t="s">
        <v>27</v>
      </c>
      <c r="K3" s="25" t="s">
        <v>28</v>
      </c>
      <c r="L3" s="26">
        <v>3</v>
      </c>
      <c r="M3" s="27"/>
      <c r="N3" s="28">
        <v>46171</v>
      </c>
    </row>
    <row r="4" spans="1:14" s="3" customFormat="1" ht="70" customHeight="1" x14ac:dyDescent="0.35">
      <c r="A4" s="78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28"/>
    </row>
    <row r="5" spans="1:14" s="3" customFormat="1" ht="70" customHeight="1" x14ac:dyDescent="0.35">
      <c r="A5" s="77" t="s">
        <v>261</v>
      </c>
      <c r="B5" s="18" t="s">
        <v>262</v>
      </c>
      <c r="C5" s="19" t="s">
        <v>54</v>
      </c>
      <c r="D5" s="20" t="s">
        <v>220</v>
      </c>
      <c r="E5" s="21" t="s">
        <v>221</v>
      </c>
      <c r="F5" s="22">
        <v>100</v>
      </c>
      <c r="G5" s="23">
        <v>5</v>
      </c>
      <c r="H5" s="24">
        <v>5</v>
      </c>
      <c r="I5" s="25" t="s">
        <v>77</v>
      </c>
      <c r="J5" s="25" t="s">
        <v>27</v>
      </c>
      <c r="K5" s="25" t="s">
        <v>28</v>
      </c>
      <c r="L5" s="26">
        <v>13</v>
      </c>
      <c r="M5" s="27"/>
      <c r="N5" s="28">
        <v>46171</v>
      </c>
    </row>
    <row r="6" spans="1:14" s="3" customFormat="1" ht="70" customHeight="1" x14ac:dyDescent="0.35">
      <c r="A6" s="77" t="s">
        <v>263</v>
      </c>
      <c r="B6" s="18" t="s">
        <v>264</v>
      </c>
      <c r="C6" s="19" t="s">
        <v>54</v>
      </c>
      <c r="D6" s="20" t="s">
        <v>55</v>
      </c>
      <c r="E6" s="21" t="s">
        <v>56</v>
      </c>
      <c r="F6" s="22">
        <v>20</v>
      </c>
      <c r="G6" s="23">
        <v>1</v>
      </c>
      <c r="H6" s="24">
        <v>1</v>
      </c>
      <c r="I6" s="25" t="s">
        <v>77</v>
      </c>
      <c r="J6" s="25" t="s">
        <v>27</v>
      </c>
      <c r="K6" s="25" t="s">
        <v>28</v>
      </c>
      <c r="L6" s="26"/>
      <c r="M6" s="40"/>
      <c r="N6" s="28">
        <v>46171</v>
      </c>
    </row>
    <row r="7" spans="1:14" s="3" customFormat="1" ht="70" customHeight="1" x14ac:dyDescent="0.35">
      <c r="A7" s="77" t="s">
        <v>265</v>
      </c>
      <c r="B7" s="18" t="s">
        <v>266</v>
      </c>
      <c r="C7" s="19" t="s">
        <v>54</v>
      </c>
      <c r="D7" s="20" t="s">
        <v>267</v>
      </c>
      <c r="E7" s="21" t="s">
        <v>268</v>
      </c>
      <c r="F7" s="22">
        <v>10</v>
      </c>
      <c r="G7" s="23">
        <v>2</v>
      </c>
      <c r="H7" s="24">
        <v>2</v>
      </c>
      <c r="I7" s="25" t="s">
        <v>77</v>
      </c>
      <c r="J7" s="25" t="s">
        <v>27</v>
      </c>
      <c r="K7" s="25" t="s">
        <v>28</v>
      </c>
      <c r="L7" s="26"/>
      <c r="M7" s="27"/>
      <c r="N7" s="28">
        <v>46171</v>
      </c>
    </row>
    <row r="8" spans="1:14" s="3" customFormat="1" ht="70" customHeight="1" x14ac:dyDescent="0.35">
      <c r="A8" s="77" t="s">
        <v>269</v>
      </c>
      <c r="B8" s="18" t="s">
        <v>270</v>
      </c>
      <c r="C8" s="19" t="s">
        <v>54</v>
      </c>
      <c r="D8" s="20" t="s">
        <v>271</v>
      </c>
      <c r="E8" s="21" t="s">
        <v>272</v>
      </c>
      <c r="F8" s="22">
        <v>50</v>
      </c>
      <c r="G8" s="23">
        <v>5</v>
      </c>
      <c r="H8" s="24">
        <v>5</v>
      </c>
      <c r="I8" s="25" t="s">
        <v>77</v>
      </c>
      <c r="J8" s="25" t="s">
        <v>27</v>
      </c>
      <c r="K8" s="25" t="s">
        <v>28</v>
      </c>
      <c r="L8" s="26"/>
      <c r="M8" s="27"/>
      <c r="N8" s="28">
        <v>46172</v>
      </c>
    </row>
    <row r="9" spans="1:14" s="3" customFormat="1" ht="70" customHeight="1" x14ac:dyDescent="0.35">
      <c r="A9" s="78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77" t="s">
        <v>273</v>
      </c>
      <c r="B10" s="18" t="s">
        <v>274</v>
      </c>
      <c r="C10" s="19" t="s">
        <v>23</v>
      </c>
      <c r="D10" s="20" t="s">
        <v>275</v>
      </c>
      <c r="E10" s="21" t="s">
        <v>276</v>
      </c>
      <c r="F10" s="22">
        <v>50</v>
      </c>
      <c r="G10" s="23">
        <v>2</v>
      </c>
      <c r="H10" s="24">
        <v>2</v>
      </c>
      <c r="I10" s="25" t="s">
        <v>26</v>
      </c>
      <c r="J10" s="25" t="s">
        <v>27</v>
      </c>
      <c r="K10" s="25" t="s">
        <v>78</v>
      </c>
      <c r="L10" s="26">
        <v>4</v>
      </c>
      <c r="M10" s="27"/>
      <c r="N10" s="28">
        <v>46171</v>
      </c>
    </row>
    <row r="11" spans="1:14" s="3" customFormat="1" ht="70" customHeight="1" x14ac:dyDescent="0.35">
      <c r="A11" s="77" t="s">
        <v>277</v>
      </c>
      <c r="B11" s="18" t="s">
        <v>278</v>
      </c>
      <c r="C11" s="19" t="s">
        <v>23</v>
      </c>
      <c r="D11" s="20" t="s">
        <v>275</v>
      </c>
      <c r="E11" s="21" t="s">
        <v>279</v>
      </c>
      <c r="F11" s="22">
        <v>50</v>
      </c>
      <c r="G11" s="23">
        <v>2</v>
      </c>
      <c r="H11" s="24">
        <v>2</v>
      </c>
      <c r="I11" s="25" t="s">
        <v>57</v>
      </c>
      <c r="J11" s="25" t="s">
        <v>280</v>
      </c>
      <c r="K11" s="25" t="s">
        <v>67</v>
      </c>
      <c r="L11" s="26"/>
      <c r="M11" s="27"/>
      <c r="N11" s="28">
        <v>46171</v>
      </c>
    </row>
    <row r="12" spans="1:14" s="3" customFormat="1" ht="70" customHeight="1" x14ac:dyDescent="0.35">
      <c r="A12" s="78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28"/>
    </row>
    <row r="13" spans="1:14" s="3" customFormat="1" ht="70" customHeight="1" x14ac:dyDescent="0.35">
      <c r="A13" s="77" t="s">
        <v>281</v>
      </c>
      <c r="B13" s="18" t="s">
        <v>282</v>
      </c>
      <c r="C13" s="19" t="s">
        <v>181</v>
      </c>
      <c r="D13" s="20" t="s">
        <v>182</v>
      </c>
      <c r="E13" s="21" t="s">
        <v>183</v>
      </c>
      <c r="F13" s="22">
        <v>100</v>
      </c>
      <c r="G13" s="23">
        <v>5</v>
      </c>
      <c r="H13" s="24">
        <v>5</v>
      </c>
      <c r="I13" s="25" t="s">
        <v>77</v>
      </c>
      <c r="J13" s="25" t="s">
        <v>27</v>
      </c>
      <c r="K13" s="25" t="s">
        <v>28</v>
      </c>
      <c r="L13" s="26">
        <v>5</v>
      </c>
      <c r="M13" s="40"/>
      <c r="N13" s="28">
        <v>46172</v>
      </c>
    </row>
    <row r="14" spans="1:14" s="3" customFormat="1" ht="70" customHeight="1" x14ac:dyDescent="0.35">
      <c r="A14" s="78"/>
      <c r="B14" s="63"/>
      <c r="C14" s="64"/>
      <c r="D14" s="65"/>
      <c r="E14" s="66"/>
      <c r="F14" s="67"/>
      <c r="G14" s="68"/>
      <c r="H14" s="69"/>
      <c r="I14" s="70"/>
      <c r="J14" s="70"/>
      <c r="K14" s="70"/>
      <c r="L14" s="71"/>
      <c r="M14" s="73"/>
      <c r="N14" s="28"/>
    </row>
    <row r="15" spans="1:14" s="3" customFormat="1" ht="70" customHeight="1" x14ac:dyDescent="0.35">
      <c r="A15" s="77" t="s">
        <v>283</v>
      </c>
      <c r="B15" s="18" t="s">
        <v>284</v>
      </c>
      <c r="C15" s="19" t="s">
        <v>172</v>
      </c>
      <c r="D15" s="20" t="s">
        <v>173</v>
      </c>
      <c r="E15" s="21" t="s">
        <v>174</v>
      </c>
      <c r="F15" s="22">
        <v>30</v>
      </c>
      <c r="G15" s="23">
        <v>3</v>
      </c>
      <c r="H15" s="24">
        <v>3</v>
      </c>
      <c r="I15" s="25" t="s">
        <v>77</v>
      </c>
      <c r="J15" s="25" t="s">
        <v>27</v>
      </c>
      <c r="K15" s="25" t="s">
        <v>28</v>
      </c>
      <c r="L15" s="26">
        <v>3</v>
      </c>
      <c r="M15" s="27"/>
      <c r="N15" s="28">
        <v>46172</v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  <protectedRange algorithmName="SHA-512" hashValue="e1FOu1UlwA7reaiyQlEGzbU6dAFPyHPlKfgo6VzFBBobawyOfUsh2c/+wjC8bICpcXVPmRerMGA9+qKsw5p7Iw==" saltValue="UD2tVZrxqZTGI3vDzMBrHw==" spinCount="100000" sqref="A13:A15 A3:A10" name="Range1"/>
    <protectedRange algorithmName="SHA-512" hashValue="e1FOu1UlwA7reaiyQlEGzbU6dAFPyHPlKfgo6VzFBBobawyOfUsh2c/+wjC8bICpcXVPmRerMGA9+qKsw5p7Iw==" saltValue="UD2tVZrxqZTGI3vDzMBrHw==" spinCount="100000" sqref="A11:A12" name="Range1_2"/>
  </protectedRanges>
  <autoFilter ref="A2:N22" xr:uid="{E2BC4C4A-3703-4A99-A30B-53817C3A378F}">
    <filterColumn colId="1">
      <filters blank="1">
        <filter val="RPRO-260525-0001"/>
        <filter val="RPRO-260525-0002"/>
        <filter val="RPRO-260525-0003"/>
        <filter val="RPRO-260525-0004"/>
        <filter val="RPRO-260525-0005"/>
        <filter val="RPRO-260525-0006"/>
        <filter val="RPRO-260525-0007"/>
        <filter val="RPRO-260525-0008"/>
        <filter val="RPRO-260525-0009"/>
      </filters>
    </filterColumn>
  </autoFilter>
  <mergeCells count="1">
    <mergeCell ref="D1:F1"/>
  </mergeCells>
  <conditionalFormatting sqref="A2">
    <cfRule type="duplicateValues" dxfId="71" priority="5"/>
  </conditionalFormatting>
  <conditionalFormatting sqref="A3:A15">
    <cfRule type="duplicateValues" dxfId="70" priority="8"/>
  </conditionalFormatting>
  <conditionalFormatting sqref="A16:A21">
    <cfRule type="duplicateValues" dxfId="69" priority="7"/>
  </conditionalFormatting>
  <conditionalFormatting sqref="A24:A1048576">
    <cfRule type="duplicateValues" dxfId="68" priority="6"/>
  </conditionalFormatting>
  <conditionalFormatting sqref="C1:C1048576">
    <cfRule type="duplicateValues" dxfId="67" priority="1"/>
    <cfRule type="duplicateValues" dxfId="66" priority="2"/>
  </conditionalFormatting>
  <conditionalFormatting sqref="I2:M2">
    <cfRule type="duplicateValues" dxfId="65" priority="4"/>
  </conditionalFormatting>
  <conditionalFormatting sqref="N1">
    <cfRule type="duplicateValues" dxfId="64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1EA4B-CC67-4680-BD3A-58C9FA21EC7F}">
  <sheetPr filterMode="1">
    <tabColor theme="4"/>
  </sheetPr>
  <dimension ref="A1:N665"/>
  <sheetViews>
    <sheetView zoomScale="30" zoomScaleNormal="30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46182.483680439815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62" t="s">
        <v>285</v>
      </c>
      <c r="B3" s="18" t="s">
        <v>286</v>
      </c>
      <c r="C3" s="19" t="s">
        <v>98</v>
      </c>
      <c r="D3" s="20" t="s">
        <v>287</v>
      </c>
      <c r="E3" s="21" t="s">
        <v>288</v>
      </c>
      <c r="F3" s="22">
        <v>100</v>
      </c>
      <c r="G3" s="23">
        <v>3</v>
      </c>
      <c r="H3" s="24">
        <v>3</v>
      </c>
      <c r="I3" s="25" t="s">
        <v>57</v>
      </c>
      <c r="J3" s="25" t="s">
        <v>289</v>
      </c>
      <c r="K3" s="25" t="s">
        <v>290</v>
      </c>
      <c r="L3" s="26">
        <v>7</v>
      </c>
      <c r="M3" s="75" t="s">
        <v>291</v>
      </c>
      <c r="N3" s="28">
        <v>46171</v>
      </c>
    </row>
    <row r="4" spans="1:14" s="3" customFormat="1" ht="70" customHeight="1" x14ac:dyDescent="0.35">
      <c r="A4" s="17" t="s">
        <v>292</v>
      </c>
      <c r="B4" s="18" t="s">
        <v>293</v>
      </c>
      <c r="C4" s="19" t="s">
        <v>98</v>
      </c>
      <c r="D4" s="20" t="s">
        <v>99</v>
      </c>
      <c r="E4" s="21" t="s">
        <v>100</v>
      </c>
      <c r="F4" s="22">
        <v>100</v>
      </c>
      <c r="G4" s="23">
        <v>4</v>
      </c>
      <c r="H4" s="24">
        <v>4</v>
      </c>
      <c r="I4" s="25" t="s">
        <v>57</v>
      </c>
      <c r="J4" s="25" t="s">
        <v>289</v>
      </c>
      <c r="K4" s="25" t="s">
        <v>290</v>
      </c>
      <c r="L4" s="26"/>
      <c r="M4" s="75" t="s">
        <v>291</v>
      </c>
      <c r="N4" s="28">
        <v>46171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25"/>
      <c r="K5" s="70"/>
      <c r="L5" s="71"/>
      <c r="M5" s="72"/>
      <c r="N5" s="76"/>
    </row>
    <row r="6" spans="1:14" s="3" customFormat="1" ht="70" customHeight="1" x14ac:dyDescent="0.35">
      <c r="A6" s="17" t="s">
        <v>294</v>
      </c>
      <c r="B6" s="18" t="s">
        <v>295</v>
      </c>
      <c r="C6" s="19" t="s">
        <v>296</v>
      </c>
      <c r="D6" s="20" t="s">
        <v>297</v>
      </c>
      <c r="E6" s="21" t="s">
        <v>298</v>
      </c>
      <c r="F6" s="22">
        <v>70</v>
      </c>
      <c r="G6" s="23">
        <v>2</v>
      </c>
      <c r="H6" s="24">
        <v>2</v>
      </c>
      <c r="I6" s="25" t="s">
        <v>151</v>
      </c>
      <c r="J6" s="25" t="s">
        <v>299</v>
      </c>
      <c r="K6" s="25" t="s">
        <v>300</v>
      </c>
      <c r="L6" s="26">
        <v>2</v>
      </c>
      <c r="M6" s="79" t="s">
        <v>301</v>
      </c>
      <c r="N6" s="28">
        <v>46172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302</v>
      </c>
      <c r="B8" s="18" t="s">
        <v>303</v>
      </c>
      <c r="C8" s="19" t="s">
        <v>304</v>
      </c>
      <c r="D8" s="20" t="s">
        <v>305</v>
      </c>
      <c r="E8" s="21" t="s">
        <v>306</v>
      </c>
      <c r="F8" s="22">
        <v>50</v>
      </c>
      <c r="G8" s="23">
        <v>1</v>
      </c>
      <c r="H8" s="24">
        <v>1</v>
      </c>
      <c r="I8" s="25" t="s">
        <v>151</v>
      </c>
      <c r="J8" s="25" t="s">
        <v>289</v>
      </c>
      <c r="K8" s="25" t="s">
        <v>300</v>
      </c>
      <c r="L8" s="26">
        <v>1</v>
      </c>
      <c r="M8" s="27"/>
      <c r="N8" s="28">
        <v>46172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307</v>
      </c>
      <c r="B10" s="18" t="s">
        <v>308</v>
      </c>
      <c r="C10" s="19" t="s">
        <v>309</v>
      </c>
      <c r="D10" s="20" t="s">
        <v>310</v>
      </c>
      <c r="E10" s="21" t="s">
        <v>311</v>
      </c>
      <c r="F10" s="22">
        <v>40</v>
      </c>
      <c r="G10" s="23">
        <v>2</v>
      </c>
      <c r="H10" s="24">
        <v>2</v>
      </c>
      <c r="I10" s="25" t="s">
        <v>151</v>
      </c>
      <c r="J10" s="25" t="s">
        <v>289</v>
      </c>
      <c r="K10" s="25" t="s">
        <v>28</v>
      </c>
      <c r="L10" s="26">
        <v>2</v>
      </c>
      <c r="M10" s="27"/>
      <c r="N10" s="28">
        <v>46172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70"/>
      <c r="L11" s="71"/>
      <c r="M11" s="72"/>
      <c r="N11" s="76"/>
    </row>
    <row r="12" spans="1:14" s="3" customFormat="1" ht="70" customHeight="1" x14ac:dyDescent="0.35">
      <c r="A12" s="17" t="s">
        <v>312</v>
      </c>
      <c r="B12" s="18" t="s">
        <v>313</v>
      </c>
      <c r="C12" s="19" t="s">
        <v>314</v>
      </c>
      <c r="D12" s="20" t="s">
        <v>315</v>
      </c>
      <c r="E12" s="21" t="s">
        <v>316</v>
      </c>
      <c r="F12" s="22">
        <v>70</v>
      </c>
      <c r="G12" s="23">
        <v>2</v>
      </c>
      <c r="H12" s="24">
        <v>2</v>
      </c>
      <c r="I12" s="25" t="s">
        <v>151</v>
      </c>
      <c r="J12" s="25" t="s">
        <v>299</v>
      </c>
      <c r="K12" s="25" t="s">
        <v>300</v>
      </c>
      <c r="L12" s="26">
        <v>2</v>
      </c>
      <c r="M12" s="79" t="s">
        <v>301</v>
      </c>
      <c r="N12" s="28">
        <v>46172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1">
      <filters blank="1">
        <filter val="RPRO-260527-0578"/>
        <filter val="RPRO-260527-0579"/>
        <filter val="RPRO-260527-0580"/>
        <filter val="RPRO-260527-0581"/>
        <filter val="RPRO-260527-0582"/>
        <filter val="RPRO-260527-0583"/>
      </filters>
    </filterColumn>
  </autoFilter>
  <mergeCells count="1">
    <mergeCell ref="D1:F1"/>
  </mergeCells>
  <conditionalFormatting sqref="A2">
    <cfRule type="duplicateValues" dxfId="63" priority="5"/>
  </conditionalFormatting>
  <conditionalFormatting sqref="A3:A21">
    <cfRule type="duplicateValues" dxfId="62" priority="7"/>
  </conditionalFormatting>
  <conditionalFormatting sqref="A24:A1048576">
    <cfRule type="duplicateValues" dxfId="61" priority="6"/>
  </conditionalFormatting>
  <conditionalFormatting sqref="C1:C1048576">
    <cfRule type="duplicateValues" dxfId="60" priority="1"/>
    <cfRule type="duplicateValues" dxfId="59" priority="2"/>
  </conditionalFormatting>
  <conditionalFormatting sqref="I2:M2">
    <cfRule type="duplicateValues" dxfId="58" priority="4"/>
  </conditionalFormatting>
  <conditionalFormatting sqref="N1">
    <cfRule type="duplicateValues" dxfId="57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25852-BF71-4530-A0E5-2256D89D5807}">
  <sheetPr>
    <tabColor theme="4"/>
  </sheetPr>
  <dimension ref="A1:N668"/>
  <sheetViews>
    <sheetView zoomScale="25" zoomScaleNormal="25" zoomScaleSheetLayoutView="34" workbookViewId="0">
      <pane xSplit="1" ySplit="2" topLeftCell="B5" activePane="bottomRight" state="frozen"/>
      <selection activeCell="E27" sqref="E27"/>
      <selection pane="topRight" activeCell="E27" sqref="E27"/>
      <selection pane="bottomLeft" activeCell="E27" sqref="E27"/>
      <selection pane="bottomRight" activeCell="A13" sqref="A13:E13 G13:I13 K13:L1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0.453125" style="53" customWidth="1"/>
    <col min="6" max="6" width="19.1796875" style="54" hidden="1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46182.483680439815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17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317</v>
      </c>
      <c r="B3" s="18" t="s">
        <v>318</v>
      </c>
      <c r="C3" s="19" t="s">
        <v>105</v>
      </c>
      <c r="D3" s="20" t="s">
        <v>106</v>
      </c>
      <c r="E3" s="21" t="s">
        <v>107</v>
      </c>
      <c r="F3" s="22">
        <v>50</v>
      </c>
      <c r="G3" s="23">
        <v>2</v>
      </c>
      <c r="H3" s="24">
        <v>2</v>
      </c>
      <c r="I3" s="25" t="s">
        <v>57</v>
      </c>
      <c r="J3" s="25" t="s">
        <v>319</v>
      </c>
      <c r="K3" s="25" t="s">
        <v>67</v>
      </c>
      <c r="L3" s="26">
        <v>2</v>
      </c>
      <c r="M3" s="27" t="s">
        <v>320</v>
      </c>
      <c r="N3" s="28">
        <v>46174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321</v>
      </c>
      <c r="B5" s="18" t="s">
        <v>322</v>
      </c>
      <c r="C5" s="19" t="s">
        <v>63</v>
      </c>
      <c r="D5" s="20" t="s">
        <v>323</v>
      </c>
      <c r="E5" s="21" t="s">
        <v>324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325</v>
      </c>
      <c r="N5" s="28">
        <v>46174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28"/>
    </row>
    <row r="7" spans="1:14" s="3" customFormat="1" ht="70" customHeight="1" x14ac:dyDescent="0.35">
      <c r="A7" s="17" t="s">
        <v>326</v>
      </c>
      <c r="B7" s="18" t="s">
        <v>327</v>
      </c>
      <c r="C7" s="19" t="s">
        <v>181</v>
      </c>
      <c r="D7" s="20" t="s">
        <v>328</v>
      </c>
      <c r="E7" s="21" t="s">
        <v>329</v>
      </c>
      <c r="F7" s="22">
        <v>10</v>
      </c>
      <c r="G7" s="23">
        <v>1</v>
      </c>
      <c r="H7" s="24">
        <v>1</v>
      </c>
      <c r="I7" s="25" t="s">
        <v>258</v>
      </c>
      <c r="J7" s="25" t="s">
        <v>299</v>
      </c>
      <c r="K7" s="25" t="s">
        <v>28</v>
      </c>
      <c r="L7" s="26">
        <v>1</v>
      </c>
      <c r="M7" s="27" t="s">
        <v>320</v>
      </c>
      <c r="N7" s="28">
        <v>46174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28"/>
    </row>
    <row r="9" spans="1:14" s="3" customFormat="1" ht="70" customHeight="1" x14ac:dyDescent="0.35">
      <c r="A9" s="17" t="s">
        <v>330</v>
      </c>
      <c r="B9" s="18" t="s">
        <v>331</v>
      </c>
      <c r="C9" s="19" t="s">
        <v>332</v>
      </c>
      <c r="D9" s="20" t="s">
        <v>333</v>
      </c>
      <c r="E9" s="21" t="s">
        <v>334</v>
      </c>
      <c r="F9" s="22">
        <v>30</v>
      </c>
      <c r="G9" s="23">
        <v>3</v>
      </c>
      <c r="H9" s="24">
        <v>3</v>
      </c>
      <c r="I9" s="25" t="s">
        <v>258</v>
      </c>
      <c r="J9" s="25" t="s">
        <v>289</v>
      </c>
      <c r="K9" s="25" t="s">
        <v>28</v>
      </c>
      <c r="L9" s="26">
        <v>3</v>
      </c>
      <c r="M9" s="40" t="s">
        <v>320</v>
      </c>
      <c r="N9" s="28">
        <v>46175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3"/>
      <c r="N10" s="28"/>
    </row>
    <row r="11" spans="1:14" s="3" customFormat="1" ht="70" customHeight="1" x14ac:dyDescent="0.35">
      <c r="A11" s="17" t="s">
        <v>335</v>
      </c>
      <c r="B11" s="18" t="s">
        <v>336</v>
      </c>
      <c r="C11" s="19" t="s">
        <v>337</v>
      </c>
      <c r="D11" s="20" t="s">
        <v>338</v>
      </c>
      <c r="E11" s="21" t="s">
        <v>339</v>
      </c>
      <c r="F11" s="22">
        <v>20</v>
      </c>
      <c r="G11" s="23">
        <v>2</v>
      </c>
      <c r="H11" s="24">
        <v>2</v>
      </c>
      <c r="I11" s="25" t="s">
        <v>258</v>
      </c>
      <c r="J11" s="25" t="s">
        <v>289</v>
      </c>
      <c r="K11" s="25" t="s">
        <v>28</v>
      </c>
      <c r="L11" s="26">
        <v>2</v>
      </c>
      <c r="M11" s="27" t="s">
        <v>320</v>
      </c>
      <c r="N11" s="28">
        <v>46175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340</v>
      </c>
      <c r="B13" s="18" t="s">
        <v>341</v>
      </c>
      <c r="C13" s="19" t="s">
        <v>342</v>
      </c>
      <c r="D13" s="20" t="s">
        <v>343</v>
      </c>
      <c r="E13" s="21" t="s">
        <v>344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289</v>
      </c>
      <c r="K13" s="25" t="s">
        <v>28</v>
      </c>
      <c r="L13" s="26">
        <v>2</v>
      </c>
      <c r="M13" s="27" t="s">
        <v>320</v>
      </c>
      <c r="N13" s="28">
        <v>46175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345</v>
      </c>
      <c r="B15" s="18" t="s">
        <v>346</v>
      </c>
      <c r="C15" s="19" t="s">
        <v>347</v>
      </c>
      <c r="D15" s="20" t="s">
        <v>348</v>
      </c>
      <c r="E15" s="21" t="s">
        <v>349</v>
      </c>
      <c r="F15" s="22">
        <v>20</v>
      </c>
      <c r="G15" s="23">
        <v>2</v>
      </c>
      <c r="H15" s="24">
        <v>2</v>
      </c>
      <c r="I15" s="25" t="s">
        <v>258</v>
      </c>
      <c r="J15" s="25" t="s">
        <v>289</v>
      </c>
      <c r="K15" s="25" t="s">
        <v>28</v>
      </c>
      <c r="L15" s="26">
        <v>2</v>
      </c>
      <c r="M15" s="27" t="s">
        <v>320</v>
      </c>
      <c r="N15" s="28">
        <v>46175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2"/>
      <c r="N16" s="28"/>
    </row>
    <row r="17" spans="1:14" s="3" customFormat="1" ht="70" customHeight="1" x14ac:dyDescent="0.35">
      <c r="A17" s="17" t="s">
        <v>350</v>
      </c>
      <c r="B17" s="18" t="s">
        <v>351</v>
      </c>
      <c r="C17" s="19" t="s">
        <v>352</v>
      </c>
      <c r="D17" s="20" t="s">
        <v>353</v>
      </c>
      <c r="E17" s="21" t="s">
        <v>354</v>
      </c>
      <c r="F17" s="22">
        <v>30</v>
      </c>
      <c r="G17" s="23">
        <v>3</v>
      </c>
      <c r="H17" s="24">
        <v>3</v>
      </c>
      <c r="I17" s="25" t="s">
        <v>258</v>
      </c>
      <c r="J17" s="25" t="s">
        <v>289</v>
      </c>
      <c r="K17" s="25" t="s">
        <v>28</v>
      </c>
      <c r="L17" s="26">
        <v>3</v>
      </c>
      <c r="M17" s="40" t="s">
        <v>320</v>
      </c>
      <c r="N17" s="28">
        <v>46175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27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0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2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/>
  <mergeCells count="1">
    <mergeCell ref="D1:F1"/>
  </mergeCells>
  <conditionalFormatting sqref="A2">
    <cfRule type="duplicateValues" dxfId="56" priority="6"/>
  </conditionalFormatting>
  <conditionalFormatting sqref="A3:A24">
    <cfRule type="duplicateValues" dxfId="55" priority="8"/>
  </conditionalFormatting>
  <conditionalFormatting sqref="A27:A1048576">
    <cfRule type="duplicateValues" dxfId="54" priority="7"/>
  </conditionalFormatting>
  <conditionalFormatting sqref="C1:C1048576">
    <cfRule type="duplicateValues" dxfId="53" priority="1"/>
    <cfRule type="duplicateValues" dxfId="52" priority="2"/>
    <cfRule type="duplicateValues" dxfId="51" priority="3"/>
  </conditionalFormatting>
  <conditionalFormatting sqref="I2:M2">
    <cfRule type="duplicateValues" dxfId="50" priority="5"/>
  </conditionalFormatting>
  <conditionalFormatting sqref="N1">
    <cfRule type="duplicateValues" dxfId="49" priority="4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FDD-C476-4FE6-B890-05884597F111}">
  <sheetPr filterMode="1"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9" sqref="M9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46182.483680439815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355</v>
      </c>
      <c r="B3" s="18" t="s">
        <v>356</v>
      </c>
      <c r="C3" s="19" t="s">
        <v>63</v>
      </c>
      <c r="D3" s="20" t="s">
        <v>71</v>
      </c>
      <c r="E3" s="21" t="s">
        <v>72</v>
      </c>
      <c r="F3" s="22">
        <v>100</v>
      </c>
      <c r="G3" s="23">
        <v>3</v>
      </c>
      <c r="H3" s="24">
        <v>3</v>
      </c>
      <c r="I3" s="25" t="s">
        <v>73</v>
      </c>
      <c r="J3" s="25" t="s">
        <v>27</v>
      </c>
      <c r="K3" s="25" t="s">
        <v>74</v>
      </c>
      <c r="L3" s="26">
        <v>4</v>
      </c>
      <c r="M3" s="27" t="s">
        <v>246</v>
      </c>
      <c r="N3" s="28">
        <v>46178</v>
      </c>
    </row>
    <row r="4" spans="1:14" s="3" customFormat="1" ht="70" customHeight="1" x14ac:dyDescent="0.35">
      <c r="A4" s="17" t="s">
        <v>357</v>
      </c>
      <c r="B4" s="18" t="s">
        <v>358</v>
      </c>
      <c r="C4" s="19" t="s">
        <v>63</v>
      </c>
      <c r="D4" s="20" t="s">
        <v>359</v>
      </c>
      <c r="E4" s="21" t="s">
        <v>360</v>
      </c>
      <c r="F4" s="22">
        <v>30</v>
      </c>
      <c r="G4" s="23">
        <v>1</v>
      </c>
      <c r="H4" s="24">
        <v>1</v>
      </c>
      <c r="I4" s="25" t="s">
        <v>73</v>
      </c>
      <c r="J4" s="25" t="s">
        <v>27</v>
      </c>
      <c r="K4" s="25" t="s">
        <v>28</v>
      </c>
      <c r="L4" s="26"/>
      <c r="M4" s="27"/>
      <c r="N4" s="28">
        <v>46178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28"/>
    </row>
    <row r="6" spans="1:14" s="3" customFormat="1" ht="70" customHeight="1" x14ac:dyDescent="0.35">
      <c r="A6" s="17" t="s">
        <v>361</v>
      </c>
      <c r="B6" s="18" t="s">
        <v>362</v>
      </c>
      <c r="C6" s="19" t="s">
        <v>54</v>
      </c>
      <c r="D6" s="20" t="s">
        <v>363</v>
      </c>
      <c r="E6" s="21" t="s">
        <v>364</v>
      </c>
      <c r="F6" s="22">
        <v>50</v>
      </c>
      <c r="G6" s="23">
        <v>2</v>
      </c>
      <c r="H6" s="24">
        <v>2</v>
      </c>
      <c r="I6" s="25" t="s">
        <v>77</v>
      </c>
      <c r="J6" s="25" t="s">
        <v>27</v>
      </c>
      <c r="K6" s="25" t="s">
        <v>78</v>
      </c>
      <c r="L6" s="26">
        <v>2</v>
      </c>
      <c r="M6" s="40" t="s">
        <v>246</v>
      </c>
      <c r="N6" s="28">
        <v>46178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28"/>
    </row>
    <row r="8" spans="1:14" s="3" customFormat="1" ht="70" customHeight="1" x14ac:dyDescent="0.35">
      <c r="A8" s="17" t="s">
        <v>365</v>
      </c>
      <c r="B8" s="18" t="s">
        <v>366</v>
      </c>
      <c r="C8" s="19" t="s">
        <v>105</v>
      </c>
      <c r="D8" s="20" t="s">
        <v>367</v>
      </c>
      <c r="E8" s="21" t="s">
        <v>368</v>
      </c>
      <c r="F8" s="22">
        <v>30</v>
      </c>
      <c r="G8" s="23">
        <v>1</v>
      </c>
      <c r="H8" s="24">
        <v>1</v>
      </c>
      <c r="I8" s="25" t="s">
        <v>369</v>
      </c>
      <c r="J8" s="25" t="s">
        <v>370</v>
      </c>
      <c r="K8" s="25" t="s">
        <v>67</v>
      </c>
      <c r="L8" s="26">
        <v>1</v>
      </c>
      <c r="M8" s="27" t="s">
        <v>246</v>
      </c>
      <c r="N8" s="28">
        <v>46178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17" t="s">
        <v>371</v>
      </c>
      <c r="B10" s="18" t="s">
        <v>372</v>
      </c>
      <c r="C10" s="19" t="s">
        <v>373</v>
      </c>
      <c r="D10" s="20" t="s">
        <v>374</v>
      </c>
      <c r="E10" s="21" t="s">
        <v>375</v>
      </c>
      <c r="F10" s="22">
        <v>50</v>
      </c>
      <c r="G10" s="23">
        <v>2</v>
      </c>
      <c r="H10" s="24">
        <v>2</v>
      </c>
      <c r="I10" s="25" t="s">
        <v>376</v>
      </c>
      <c r="J10" s="25" t="s">
        <v>27</v>
      </c>
      <c r="K10" s="25" t="s">
        <v>377</v>
      </c>
      <c r="L10" s="26">
        <v>2</v>
      </c>
      <c r="M10" s="27" t="s">
        <v>246</v>
      </c>
      <c r="N10" s="28">
        <v>46178</v>
      </c>
    </row>
    <row r="11" spans="1:14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1-0847"/>
        <filter val="RPRO-260601-0848"/>
        <filter val="RPRO-260601-0849"/>
        <filter val="RPRO-260601-0850"/>
        <filter val="RPRO-260601-0851"/>
      </filters>
    </filterColumn>
  </autoFilter>
  <mergeCells count="1">
    <mergeCell ref="D1:F1"/>
  </mergeCells>
  <conditionalFormatting sqref="A2">
    <cfRule type="duplicateValues" dxfId="48" priority="5"/>
  </conditionalFormatting>
  <conditionalFormatting sqref="A3:A20">
    <cfRule type="duplicateValues" dxfId="47" priority="7"/>
  </conditionalFormatting>
  <conditionalFormatting sqref="A23:A1048576">
    <cfRule type="duplicateValues" dxfId="46" priority="6"/>
  </conditionalFormatting>
  <conditionalFormatting sqref="C1:C1048576">
    <cfRule type="duplicateValues" dxfId="45" priority="1"/>
    <cfRule type="duplicateValues" dxfId="44" priority="2"/>
  </conditionalFormatting>
  <conditionalFormatting sqref="I2:M2">
    <cfRule type="duplicateValues" dxfId="43" priority="4"/>
  </conditionalFormatting>
  <conditionalFormatting sqref="N1">
    <cfRule type="duplicateValues" dxfId="42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A68E0-ADB4-4444-A4B8-EE9F960C9A25}">
  <sheetPr filterMode="1">
    <tabColor theme="4"/>
  </sheetPr>
  <dimension ref="A1:N667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E5" sqref="A1:N66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hidden="1" customWidth="1"/>
    <col min="5" max="5" width="140.17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46182.483680439815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16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378</v>
      </c>
      <c r="B3" s="18" t="s">
        <v>379</v>
      </c>
      <c r="C3" s="19" t="s">
        <v>172</v>
      </c>
      <c r="D3" s="20" t="s">
        <v>380</v>
      </c>
      <c r="E3" s="21" t="s">
        <v>381</v>
      </c>
      <c r="F3" s="22">
        <v>10</v>
      </c>
      <c r="G3" s="23">
        <v>2</v>
      </c>
      <c r="H3" s="24">
        <v>2</v>
      </c>
      <c r="I3" s="25" t="s">
        <v>77</v>
      </c>
      <c r="J3" s="25" t="s">
        <v>27</v>
      </c>
      <c r="K3" s="25" t="s">
        <v>382</v>
      </c>
      <c r="L3" s="26">
        <v>2</v>
      </c>
      <c r="M3" s="27" t="s">
        <v>246</v>
      </c>
      <c r="N3" s="28">
        <v>46178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4" s="3" customFormat="1" ht="70" customHeight="1" x14ac:dyDescent="0.35">
      <c r="A5" s="17" t="s">
        <v>383</v>
      </c>
      <c r="B5" s="18" t="s">
        <v>384</v>
      </c>
      <c r="C5" s="19" t="s">
        <v>385</v>
      </c>
      <c r="D5" s="20" t="s">
        <v>386</v>
      </c>
      <c r="E5" s="21" t="s">
        <v>387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320</v>
      </c>
      <c r="N5" s="28">
        <v>46178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4" s="3" customFormat="1" ht="70" customHeight="1" x14ac:dyDescent="0.35">
      <c r="A7" s="17" t="s">
        <v>388</v>
      </c>
      <c r="B7" s="18" t="s">
        <v>389</v>
      </c>
      <c r="C7" s="19" t="s">
        <v>390</v>
      </c>
      <c r="D7" s="20" t="s">
        <v>391</v>
      </c>
      <c r="E7" s="21" t="s">
        <v>392</v>
      </c>
      <c r="F7" s="22">
        <v>30</v>
      </c>
      <c r="G7" s="23">
        <v>4</v>
      </c>
      <c r="H7" s="24">
        <v>4</v>
      </c>
      <c r="I7" s="25" t="s">
        <v>393</v>
      </c>
      <c r="J7" s="25" t="s">
        <v>27</v>
      </c>
      <c r="K7" s="25" t="s">
        <v>28</v>
      </c>
      <c r="L7" s="26">
        <v>4</v>
      </c>
      <c r="M7" s="40" t="s">
        <v>246</v>
      </c>
      <c r="N7" s="28">
        <v>46179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76"/>
    </row>
    <row r="9" spans="1:14" s="3" customFormat="1" ht="70" customHeight="1" x14ac:dyDescent="0.35">
      <c r="A9" s="17" t="s">
        <v>394</v>
      </c>
      <c r="B9" s="18" t="s">
        <v>395</v>
      </c>
      <c r="C9" s="19" t="s">
        <v>181</v>
      </c>
      <c r="D9" s="20" t="s">
        <v>396</v>
      </c>
      <c r="E9" s="21" t="s">
        <v>397</v>
      </c>
      <c r="F9" s="22">
        <v>20</v>
      </c>
      <c r="G9" s="23">
        <v>3</v>
      </c>
      <c r="H9" s="24">
        <v>3</v>
      </c>
      <c r="I9" s="25" t="s">
        <v>393</v>
      </c>
      <c r="J9" s="25" t="s">
        <v>27</v>
      </c>
      <c r="K9" s="25" t="s">
        <v>28</v>
      </c>
      <c r="L9" s="26">
        <v>3</v>
      </c>
      <c r="M9" s="27" t="s">
        <v>246</v>
      </c>
      <c r="N9" s="28">
        <v>46179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0"/>
      <c r="L10" s="71"/>
      <c r="M10" s="72"/>
      <c r="N10" s="76"/>
    </row>
    <row r="11" spans="1:14" s="3" customFormat="1" ht="70" customHeight="1" x14ac:dyDescent="0.35">
      <c r="A11" s="17" t="s">
        <v>398</v>
      </c>
      <c r="B11" s="18" t="s">
        <v>399</v>
      </c>
      <c r="C11" s="19" t="s">
        <v>63</v>
      </c>
      <c r="D11" s="20" t="s">
        <v>400</v>
      </c>
      <c r="E11" s="21" t="s">
        <v>401</v>
      </c>
      <c r="F11" s="22">
        <v>30</v>
      </c>
      <c r="G11" s="23">
        <v>2</v>
      </c>
      <c r="H11" s="24">
        <v>2</v>
      </c>
      <c r="I11" s="25" t="s">
        <v>393</v>
      </c>
      <c r="J11" s="25" t="s">
        <v>27</v>
      </c>
      <c r="K11" s="25" t="s">
        <v>28</v>
      </c>
      <c r="L11" s="26">
        <v>3</v>
      </c>
      <c r="M11" s="27" t="s">
        <v>325</v>
      </c>
      <c r="N11" s="28">
        <v>46179</v>
      </c>
    </row>
    <row r="12" spans="1:14" s="3" customFormat="1" ht="70" customHeight="1" x14ac:dyDescent="0.35">
      <c r="A12" s="17" t="s">
        <v>402</v>
      </c>
      <c r="B12" s="18" t="s">
        <v>403</v>
      </c>
      <c r="C12" s="19" t="s">
        <v>63</v>
      </c>
      <c r="D12" s="20" t="s">
        <v>404</v>
      </c>
      <c r="E12" s="21" t="s">
        <v>405</v>
      </c>
      <c r="F12" s="22">
        <v>60</v>
      </c>
      <c r="G12" s="23">
        <v>1</v>
      </c>
      <c r="H12" s="24">
        <v>1</v>
      </c>
      <c r="I12" s="25" t="s">
        <v>57</v>
      </c>
      <c r="J12" s="25" t="s">
        <v>406</v>
      </c>
      <c r="K12" s="25" t="s">
        <v>67</v>
      </c>
      <c r="L12" s="26"/>
      <c r="M12" s="40"/>
      <c r="N12" s="28">
        <v>46179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70"/>
      <c r="L13" s="71"/>
      <c r="M13" s="73"/>
      <c r="N13" s="76"/>
    </row>
    <row r="14" spans="1:14" s="3" customFormat="1" ht="70" customHeight="1" x14ac:dyDescent="0.35">
      <c r="A14" s="17" t="s">
        <v>407</v>
      </c>
      <c r="B14" s="18" t="s">
        <v>408</v>
      </c>
      <c r="C14" s="19" t="s">
        <v>105</v>
      </c>
      <c r="D14" s="20" t="s">
        <v>409</v>
      </c>
      <c r="E14" s="21" t="s">
        <v>410</v>
      </c>
      <c r="F14" s="22">
        <v>30</v>
      </c>
      <c r="G14" s="23">
        <v>1</v>
      </c>
      <c r="H14" s="24">
        <v>1</v>
      </c>
      <c r="I14" s="25" t="s">
        <v>57</v>
      </c>
      <c r="J14" s="25" t="s">
        <v>406</v>
      </c>
      <c r="K14" s="25" t="s">
        <v>67</v>
      </c>
      <c r="L14" s="26">
        <v>1</v>
      </c>
      <c r="M14" s="27" t="s">
        <v>246</v>
      </c>
      <c r="N14" s="28">
        <v>46179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411</v>
      </c>
      <c r="B16" s="18" t="s">
        <v>412</v>
      </c>
      <c r="C16" s="19" t="s">
        <v>98</v>
      </c>
      <c r="D16" s="20" t="s">
        <v>413</v>
      </c>
      <c r="E16" s="21" t="s">
        <v>414</v>
      </c>
      <c r="F16" s="22">
        <v>50</v>
      </c>
      <c r="G16" s="23">
        <v>1</v>
      </c>
      <c r="H16" s="24">
        <v>1</v>
      </c>
      <c r="I16" s="25" t="s">
        <v>57</v>
      </c>
      <c r="J16" s="25" t="s">
        <v>415</v>
      </c>
      <c r="K16" s="25" t="s">
        <v>67</v>
      </c>
      <c r="L16" s="26">
        <v>1</v>
      </c>
      <c r="M16" s="27" t="s">
        <v>246</v>
      </c>
      <c r="N16" s="28">
        <v>46179</v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hidden="1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>
    <filterColumn colId="1">
      <filters blank="1">
        <filter val="RPRO-260602-0720"/>
        <filter val="RPRO-260602-0721"/>
        <filter val="RPRO-260602-0722"/>
        <filter val="RPRO-260602-0723"/>
        <filter val="RPRO-260602-0724"/>
        <filter val="RPRO-260602-0725"/>
        <filter val="RPRO-260602-0726"/>
        <filter val="RPRO-260602-0727"/>
      </filters>
    </filterColumn>
  </autoFilter>
  <mergeCells count="1">
    <mergeCell ref="D1:F1"/>
  </mergeCells>
  <conditionalFormatting sqref="A2">
    <cfRule type="duplicateValues" dxfId="41" priority="5"/>
  </conditionalFormatting>
  <conditionalFormatting sqref="A3:A23">
    <cfRule type="duplicateValues" dxfId="40" priority="7"/>
  </conditionalFormatting>
  <conditionalFormatting sqref="A26:A1048576">
    <cfRule type="duplicateValues" dxfId="39" priority="6"/>
  </conditionalFormatting>
  <conditionalFormatting sqref="C1:C1048576">
    <cfRule type="duplicateValues" dxfId="38" priority="1"/>
    <cfRule type="duplicateValues" dxfId="37" priority="2"/>
  </conditionalFormatting>
  <conditionalFormatting sqref="I2:M2">
    <cfRule type="duplicateValues" dxfId="36" priority="4"/>
  </conditionalFormatting>
  <conditionalFormatting sqref="N1">
    <cfRule type="duplicateValues" dxfId="35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B080-A4F1-4729-80BF-D97CEABD7F46}">
  <sheetPr filterMode="1">
    <tabColor theme="4"/>
  </sheetPr>
  <dimension ref="A1:N666"/>
  <sheetViews>
    <sheetView tabSelected="1"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24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46182.483680439815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12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416</v>
      </c>
      <c r="B3" s="18" t="s">
        <v>417</v>
      </c>
      <c r="C3" s="19" t="s">
        <v>418</v>
      </c>
      <c r="D3" s="20" t="s">
        <v>419</v>
      </c>
      <c r="E3" s="21" t="s">
        <v>420</v>
      </c>
      <c r="F3" s="22">
        <v>20</v>
      </c>
      <c r="G3" s="23">
        <v>1</v>
      </c>
      <c r="H3" s="24">
        <v>1</v>
      </c>
      <c r="I3" s="25" t="s">
        <v>421</v>
      </c>
      <c r="J3" s="25" t="s">
        <v>27</v>
      </c>
      <c r="K3" s="25" t="s">
        <v>28</v>
      </c>
      <c r="L3" s="26">
        <v>1</v>
      </c>
      <c r="M3" s="75" t="s">
        <v>246</v>
      </c>
      <c r="N3" s="28">
        <v>46179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4" s="3" customFormat="1" ht="70" customHeight="1" x14ac:dyDescent="0.35">
      <c r="A5" s="17" t="s">
        <v>422</v>
      </c>
      <c r="B5" s="18" t="s">
        <v>423</v>
      </c>
      <c r="C5" s="19" t="s">
        <v>98</v>
      </c>
      <c r="D5" s="20" t="s">
        <v>287</v>
      </c>
      <c r="E5" s="21" t="s">
        <v>288</v>
      </c>
      <c r="F5" s="22">
        <v>50</v>
      </c>
      <c r="G5" s="23">
        <v>2</v>
      </c>
      <c r="H5" s="24">
        <v>2</v>
      </c>
      <c r="I5" s="25" t="s">
        <v>57</v>
      </c>
      <c r="J5" s="25" t="s">
        <v>424</v>
      </c>
      <c r="K5" s="25" t="s">
        <v>67</v>
      </c>
      <c r="L5" s="26">
        <v>2</v>
      </c>
      <c r="M5" s="27" t="s">
        <v>246</v>
      </c>
      <c r="N5" s="28">
        <v>46180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70"/>
      <c r="L6" s="71"/>
      <c r="M6" s="72"/>
      <c r="N6" s="76"/>
    </row>
    <row r="7" spans="1:14" s="3" customFormat="1" ht="70" customHeight="1" x14ac:dyDescent="0.35">
      <c r="A7" s="17" t="s">
        <v>425</v>
      </c>
      <c r="B7" s="18" t="s">
        <v>426</v>
      </c>
      <c r="C7" s="19" t="s">
        <v>427</v>
      </c>
      <c r="D7" s="20" t="s">
        <v>428</v>
      </c>
      <c r="E7" s="21" t="s">
        <v>429</v>
      </c>
      <c r="F7" s="22">
        <v>25</v>
      </c>
      <c r="G7" s="23">
        <v>1</v>
      </c>
      <c r="H7" s="24">
        <v>1</v>
      </c>
      <c r="I7" s="25" t="s">
        <v>151</v>
      </c>
      <c r="J7" s="25" t="s">
        <v>430</v>
      </c>
      <c r="K7" s="25" t="s">
        <v>300</v>
      </c>
      <c r="L7" s="26">
        <v>1</v>
      </c>
      <c r="M7" s="40" t="s">
        <v>246</v>
      </c>
      <c r="N7" s="28">
        <v>46180</v>
      </c>
    </row>
    <row r="8" spans="1:14" s="3" customFormat="1" ht="70" customHeight="1" x14ac:dyDescent="0.35">
      <c r="A8" s="17"/>
      <c r="B8" s="18"/>
      <c r="C8" s="19"/>
      <c r="D8" s="20"/>
      <c r="E8" s="21"/>
      <c r="F8" s="22"/>
      <c r="G8" s="23"/>
      <c r="H8" s="24"/>
      <c r="I8" s="25"/>
      <c r="J8" s="25"/>
      <c r="K8" s="25"/>
      <c r="L8" s="26"/>
      <c r="M8" s="40"/>
      <c r="N8" s="28"/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3"/>
      <c r="N9" s="76"/>
    </row>
    <row r="10" spans="1:14" s="3" customFormat="1" ht="70" customHeight="1" x14ac:dyDescent="0.35">
      <c r="A10" s="17" t="s">
        <v>431</v>
      </c>
      <c r="B10" s="18" t="s">
        <v>432</v>
      </c>
      <c r="C10" s="19" t="s">
        <v>433</v>
      </c>
      <c r="D10" s="20" t="s">
        <v>434</v>
      </c>
      <c r="E10" s="21" t="s">
        <v>435</v>
      </c>
      <c r="F10" s="22">
        <v>25</v>
      </c>
      <c r="G10" s="23">
        <v>1</v>
      </c>
      <c r="H10" s="24">
        <v>1</v>
      </c>
      <c r="I10" s="25" t="s">
        <v>151</v>
      </c>
      <c r="J10" s="25" t="s">
        <v>430</v>
      </c>
      <c r="K10" s="25" t="s">
        <v>300</v>
      </c>
      <c r="L10" s="26">
        <v>6</v>
      </c>
      <c r="M10" s="80" t="s">
        <v>246</v>
      </c>
      <c r="N10" s="28">
        <v>46180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72"/>
      <c r="N11" s="76"/>
    </row>
    <row r="12" spans="1:14" s="3" customFormat="1" ht="70" customHeight="1" x14ac:dyDescent="0.35">
      <c r="A12" s="17" t="s">
        <v>436</v>
      </c>
      <c r="B12" s="18" t="s">
        <v>437</v>
      </c>
      <c r="C12" s="19" t="s">
        <v>63</v>
      </c>
      <c r="D12" s="20" t="s">
        <v>64</v>
      </c>
      <c r="E12" s="21" t="s">
        <v>65</v>
      </c>
      <c r="F12" s="22">
        <v>50</v>
      </c>
      <c r="G12" s="23">
        <v>2</v>
      </c>
      <c r="H12" s="24">
        <v>2</v>
      </c>
      <c r="I12" s="25" t="s">
        <v>57</v>
      </c>
      <c r="J12" s="25" t="s">
        <v>438</v>
      </c>
      <c r="K12" s="25" t="s">
        <v>67</v>
      </c>
      <c r="L12" s="26">
        <v>2</v>
      </c>
      <c r="M12" s="27" t="s">
        <v>325</v>
      </c>
      <c r="N12" s="28">
        <v>46180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27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27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2" customHeight="1" x14ac:dyDescent="0.35">
      <c r="A23" s="41"/>
      <c r="B23" s="42"/>
      <c r="C23" s="43"/>
      <c r="D23" s="43"/>
      <c r="E23" s="44"/>
      <c r="F23" s="45"/>
      <c r="G23" s="45"/>
      <c r="H23" s="45"/>
      <c r="I23" s="46"/>
      <c r="J23" s="47"/>
      <c r="K23" s="48"/>
      <c r="L23" s="49"/>
      <c r="M23" s="50"/>
      <c r="N23" s="50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s="54" customFormat="1" ht="74.25" customHeight="1" x14ac:dyDescent="0.35">
      <c r="A27" s="2"/>
      <c r="B27" s="52"/>
      <c r="C27" s="2"/>
      <c r="D27" s="2"/>
      <c r="E27" s="59" t="s">
        <v>21</v>
      </c>
      <c r="G27" s="55"/>
      <c r="I27" s="53"/>
      <c r="J27" s="53"/>
      <c r="K27" s="53"/>
      <c r="L27" s="56"/>
      <c r="M27" s="57"/>
      <c r="N27" s="58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666" spans="1:14" s="54" customFormat="1" ht="74.25" customHeight="1" x14ac:dyDescent="0.35">
      <c r="A666" s="2"/>
      <c r="B666" s="52"/>
      <c r="C666" s="2"/>
      <c r="D666" s="2"/>
      <c r="E666" s="60"/>
      <c r="H666" s="55"/>
      <c r="I666" s="53"/>
      <c r="J666" s="53"/>
      <c r="K666" s="53"/>
      <c r="L666" s="61"/>
      <c r="M666" s="57"/>
      <c r="N666" s="58"/>
    </row>
  </sheetData>
  <protectedRanges>
    <protectedRange algorithmName="SHA-512" hashValue="e1FOu1UlwA7reaiyQlEGzbU6dAFPyHPlKfgo6VzFBBobawyOfUsh2c/+wjC8bICpcXVPmRerMGA9+qKsw5p7Iw==" saltValue="UD2tVZrxqZTGI3vDzMBrHw==" spinCount="100000" sqref="E3:E22" name="Range1_1"/>
  </protectedRanges>
  <autoFilter ref="A2:N23" xr:uid="{E2BC4C4A-3703-4A99-A30B-53817C3A378F}">
    <filterColumn colId="1">
      <filters blank="1">
        <filter val="RPRO-260603-0481"/>
        <filter val="RPRO-260603-0482"/>
        <filter val="RPRO-260603-0483"/>
        <filter val="RPRO-260603-0484"/>
        <filter val="RPRO-260603-0485"/>
      </filters>
    </filterColumn>
  </autoFilter>
  <mergeCells count="1">
    <mergeCell ref="D1:F1"/>
  </mergeCells>
  <conditionalFormatting sqref="A2">
    <cfRule type="duplicateValues" dxfId="34" priority="5"/>
  </conditionalFormatting>
  <conditionalFormatting sqref="A3:A22">
    <cfRule type="duplicateValues" dxfId="33" priority="7"/>
  </conditionalFormatting>
  <conditionalFormatting sqref="A25:A1048576">
    <cfRule type="duplicateValues" dxfId="32" priority="6"/>
  </conditionalFormatting>
  <conditionalFormatting sqref="C1:C1048576">
    <cfRule type="duplicateValues" dxfId="31" priority="1"/>
    <cfRule type="duplicateValues" dxfId="30" priority="2"/>
  </conditionalFormatting>
  <conditionalFormatting sqref="I2:M2">
    <cfRule type="duplicateValues" dxfId="29" priority="4"/>
  </conditionalFormatting>
  <conditionalFormatting sqref="N1">
    <cfRule type="duplicateValues" dxfId="28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3" max="15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EF0C0-E48B-4301-87EB-D033DC6D8EEE}">
  <sheetPr filterMode="1">
    <tabColor theme="4"/>
  </sheetPr>
  <dimension ref="A1:N665"/>
  <sheetViews>
    <sheetView zoomScale="30" zoomScaleNormal="30" zoomScaleSheetLayoutView="34" workbookViewId="0">
      <pane xSplit="1" ySplit="2" topLeftCell="B6" activePane="bottomRight" state="frozen"/>
      <selection activeCell="E27" sqref="E27"/>
      <selection pane="topRight" activeCell="E27" sqref="E27"/>
      <selection pane="bottomLeft" activeCell="E27" sqref="E27"/>
      <selection pane="bottomRight" activeCell="D16" sqref="D1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726562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hidden="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46182.483680439815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hidden="1" customHeight="1" x14ac:dyDescent="0.35">
      <c r="A3" s="17"/>
      <c r="B3" s="18" t="e">
        <f>VLOOKUP(A3,'[2]master plan'!A:C,3,0)</f>
        <v>#N/A</v>
      </c>
      <c r="C3" s="19" t="e">
        <f>VLOOKUP($A3,'[2]master plan'!$A:$N,5,0)</f>
        <v>#N/A</v>
      </c>
      <c r="D3" s="20" t="e">
        <f>VLOOKUP($A3,'[2]master plan'!$A:$N,6,0)</f>
        <v>#N/A</v>
      </c>
      <c r="E3" s="21" t="e">
        <f>VLOOKUP(A3,'[2]master plan'!A:G,7,0)</f>
        <v>#N/A</v>
      </c>
      <c r="F3" s="22" t="e">
        <f>VLOOKUP(A3,'[2]master plan'!A:H,8,0)</f>
        <v>#N/A</v>
      </c>
      <c r="G3" s="23" t="e">
        <f>VLOOKUP(A3,'[2]master plan'!A:W,23,0)</f>
        <v>#N/A</v>
      </c>
      <c r="H3" s="24" t="e">
        <f>VLOOKUP(A3,'[2]master plan'!A:W,23,0)</f>
        <v>#N/A</v>
      </c>
      <c r="I3" s="25" t="e">
        <f>VLOOKUP($A3,'[2]master plan'!$A:$N,12,0)</f>
        <v>#N/A</v>
      </c>
      <c r="J3" s="25" t="e">
        <f>VLOOKUP($A3,'[2]master plan'!$A:$N,13,0)</f>
        <v>#N/A</v>
      </c>
      <c r="K3" s="25" t="e">
        <f>VLOOKUP($A3,'[2]master plan'!$A:$N,14,0)</f>
        <v>#N/A</v>
      </c>
      <c r="L3" s="26"/>
      <c r="M3" s="27"/>
      <c r="N3" s="28" t="str">
        <f>_xlfn.IFNA(VLOOKUP(A3,'[2]master plan'!A:R,18,0),"")</f>
        <v/>
      </c>
    </row>
    <row r="4" spans="1:14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  <c r="N4" s="28" t="str">
        <f>_xlfn.IFNA(VLOOKUP(A4,'[2]master plan'!A:R,18,0),"")</f>
        <v/>
      </c>
    </row>
    <row r="5" spans="1:14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  <c r="N5" s="28" t="str">
        <f>_xlfn.IFNA(VLOOKUP(A5,'[2]master plan'!A:R,18,0),"")</f>
        <v/>
      </c>
    </row>
    <row r="6" spans="1:14" s="3" customFormat="1" ht="70" customHeight="1" x14ac:dyDescent="0.35">
      <c r="A6" s="17" t="s">
        <v>439</v>
      </c>
      <c r="B6" s="18" t="s">
        <v>440</v>
      </c>
      <c r="C6" s="19" t="s">
        <v>441</v>
      </c>
      <c r="D6" s="20" t="s">
        <v>442</v>
      </c>
      <c r="E6" s="21" t="s">
        <v>443</v>
      </c>
      <c r="F6" s="22">
        <v>20</v>
      </c>
      <c r="G6" s="23">
        <v>2</v>
      </c>
      <c r="H6" s="24">
        <v>2</v>
      </c>
      <c r="I6" s="25" t="s">
        <v>57</v>
      </c>
      <c r="J6" s="25" t="s">
        <v>444</v>
      </c>
      <c r="K6" s="25" t="s">
        <v>59</v>
      </c>
      <c r="L6" s="26">
        <v>2</v>
      </c>
      <c r="M6" s="27"/>
      <c r="N6" s="28">
        <v>46180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445</v>
      </c>
      <c r="B8" s="18" t="s">
        <v>446</v>
      </c>
      <c r="C8" s="19" t="s">
        <v>54</v>
      </c>
      <c r="D8" s="20" t="s">
        <v>447</v>
      </c>
      <c r="E8" s="21" t="s">
        <v>448</v>
      </c>
      <c r="F8" s="22">
        <v>2</v>
      </c>
      <c r="G8" s="23">
        <v>1</v>
      </c>
      <c r="H8" s="24">
        <v>1</v>
      </c>
      <c r="I8" s="25" t="s">
        <v>449</v>
      </c>
      <c r="J8" s="25">
        <v>0</v>
      </c>
      <c r="K8" s="25">
        <v>0</v>
      </c>
      <c r="L8" s="26">
        <v>1</v>
      </c>
      <c r="M8" s="40"/>
      <c r="N8" s="28">
        <v>46180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450</v>
      </c>
      <c r="B10" s="18" t="s">
        <v>451</v>
      </c>
      <c r="C10" s="19" t="s">
        <v>452</v>
      </c>
      <c r="D10" s="20" t="s">
        <v>453</v>
      </c>
      <c r="E10" s="21" t="s">
        <v>454</v>
      </c>
      <c r="F10" s="22">
        <v>5</v>
      </c>
      <c r="G10" s="23">
        <v>1</v>
      </c>
      <c r="H10" s="24">
        <v>1</v>
      </c>
      <c r="I10" s="25" t="s">
        <v>455</v>
      </c>
      <c r="J10" s="25">
        <v>0</v>
      </c>
      <c r="K10" s="25">
        <v>0</v>
      </c>
      <c r="L10" s="26">
        <v>2</v>
      </c>
      <c r="M10" s="27"/>
      <c r="N10" s="28">
        <v>46181</v>
      </c>
    </row>
    <row r="11" spans="1:14" s="3" customFormat="1" ht="70" customHeight="1" x14ac:dyDescent="0.35">
      <c r="A11" s="17" t="s">
        <v>456</v>
      </c>
      <c r="B11" s="18" t="s">
        <v>457</v>
      </c>
      <c r="C11" s="19" t="s">
        <v>452</v>
      </c>
      <c r="D11" s="20" t="s">
        <v>458</v>
      </c>
      <c r="E11" s="21" t="s">
        <v>459</v>
      </c>
      <c r="F11" s="22">
        <v>4</v>
      </c>
      <c r="G11" s="23">
        <v>1</v>
      </c>
      <c r="H11" s="24">
        <v>1</v>
      </c>
      <c r="I11" s="25" t="s">
        <v>455</v>
      </c>
      <c r="J11" s="25">
        <v>0</v>
      </c>
      <c r="K11" s="25">
        <v>0</v>
      </c>
      <c r="L11" s="26"/>
      <c r="M11" s="27"/>
      <c r="N11" s="28">
        <v>46181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4" s="3" customFormat="1" ht="70" customHeight="1" x14ac:dyDescent="0.35">
      <c r="A13" s="17" t="s">
        <v>460</v>
      </c>
      <c r="B13" s="18" t="s">
        <v>461</v>
      </c>
      <c r="C13" s="19" t="s">
        <v>462</v>
      </c>
      <c r="D13" s="20" t="s">
        <v>463</v>
      </c>
      <c r="E13" s="21" t="s">
        <v>464</v>
      </c>
      <c r="F13" s="22">
        <v>5</v>
      </c>
      <c r="G13" s="23">
        <v>1</v>
      </c>
      <c r="H13" s="24">
        <v>1</v>
      </c>
      <c r="I13" s="25" t="s">
        <v>455</v>
      </c>
      <c r="J13" s="25">
        <v>0</v>
      </c>
      <c r="K13" s="25">
        <v>0</v>
      </c>
      <c r="L13" s="26">
        <v>2</v>
      </c>
      <c r="M13" s="40"/>
      <c r="N13" s="28">
        <v>46181</v>
      </c>
    </row>
    <row r="14" spans="1:14" s="3" customFormat="1" ht="70" customHeight="1" x14ac:dyDescent="0.35">
      <c r="A14" s="17" t="s">
        <v>465</v>
      </c>
      <c r="B14" s="18" t="s">
        <v>466</v>
      </c>
      <c r="C14" s="19" t="s">
        <v>462</v>
      </c>
      <c r="D14" s="20" t="s">
        <v>467</v>
      </c>
      <c r="E14" s="21" t="s">
        <v>468</v>
      </c>
      <c r="F14" s="22">
        <v>4</v>
      </c>
      <c r="G14" s="23">
        <v>1</v>
      </c>
      <c r="H14" s="24">
        <v>1</v>
      </c>
      <c r="I14" s="25" t="s">
        <v>455</v>
      </c>
      <c r="J14" s="25">
        <v>0</v>
      </c>
      <c r="K14" s="25">
        <v>0</v>
      </c>
      <c r="L14" s="26"/>
      <c r="M14" s="27"/>
      <c r="N14" s="28">
        <v>46181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469</v>
      </c>
      <c r="B16" s="18" t="s">
        <v>470</v>
      </c>
      <c r="C16" s="19" t="s">
        <v>23</v>
      </c>
      <c r="D16" s="20" t="s">
        <v>471</v>
      </c>
      <c r="E16" s="21" t="s">
        <v>472</v>
      </c>
      <c r="F16" s="22">
        <v>5</v>
      </c>
      <c r="G16" s="23">
        <v>1</v>
      </c>
      <c r="H16" s="24">
        <v>1</v>
      </c>
      <c r="I16" s="25" t="s">
        <v>455</v>
      </c>
      <c r="J16" s="25">
        <v>0</v>
      </c>
      <c r="K16" s="25">
        <v>0</v>
      </c>
      <c r="L16" s="26">
        <v>2</v>
      </c>
      <c r="M16" s="27"/>
      <c r="N16" s="28">
        <v>46181</v>
      </c>
    </row>
    <row r="17" spans="1:14" s="3" customFormat="1" ht="70" customHeight="1" x14ac:dyDescent="0.35">
      <c r="A17" s="17" t="s">
        <v>473</v>
      </c>
      <c r="B17" s="18" t="s">
        <v>474</v>
      </c>
      <c r="C17" s="19" t="s">
        <v>23</v>
      </c>
      <c r="D17" s="20" t="s">
        <v>275</v>
      </c>
      <c r="E17" s="21" t="s">
        <v>475</v>
      </c>
      <c r="F17" s="22">
        <v>4</v>
      </c>
      <c r="G17" s="23">
        <v>1</v>
      </c>
      <c r="H17" s="24">
        <v>1</v>
      </c>
      <c r="I17" s="25" t="s">
        <v>455</v>
      </c>
      <c r="J17" s="25">
        <v>0</v>
      </c>
      <c r="K17" s="25">
        <v>0</v>
      </c>
      <c r="L17" s="26"/>
      <c r="M17" s="40"/>
      <c r="N17" s="28">
        <v>46181</v>
      </c>
    </row>
    <row r="18" spans="1:14" s="3" customFormat="1" ht="70" hidden="1" customHeight="1" x14ac:dyDescent="0.35">
      <c r="A18" s="17"/>
      <c r="B18" s="18" t="e">
        <v>#N/A</v>
      </c>
      <c r="C18" s="19" t="e">
        <v>#N/A</v>
      </c>
      <c r="D18" s="20" t="e">
        <v>#N/A</v>
      </c>
      <c r="E18" s="21" t="e">
        <v>#N/A</v>
      </c>
      <c r="F18" s="22" t="e">
        <v>#N/A</v>
      </c>
      <c r="G18" s="23" t="e">
        <v>#N/A</v>
      </c>
      <c r="H18" s="24" t="e">
        <v>#N/A</v>
      </c>
      <c r="I18" s="25" t="e">
        <v>#N/A</v>
      </c>
      <c r="J18" s="25" t="e">
        <v>#N/A</v>
      </c>
      <c r="K18" s="25" t="e">
        <v>#N/A</v>
      </c>
      <c r="L18" s="26"/>
      <c r="M18" s="27"/>
      <c r="N18" s="28" t="s">
        <v>235</v>
      </c>
    </row>
    <row r="19" spans="1:14" s="3" customFormat="1" ht="70" hidden="1" customHeight="1" x14ac:dyDescent="0.35">
      <c r="A19" s="17"/>
      <c r="B19" s="18" t="e">
        <v>#N/A</v>
      </c>
      <c r="C19" s="19" t="e">
        <v>#N/A</v>
      </c>
      <c r="D19" s="20" t="e">
        <v>#N/A</v>
      </c>
      <c r="E19" s="21" t="e">
        <v>#N/A</v>
      </c>
      <c r="F19" s="22" t="e">
        <v>#N/A</v>
      </c>
      <c r="G19" s="23" t="e">
        <v>#N/A</v>
      </c>
      <c r="H19" s="24" t="e">
        <v>#N/A</v>
      </c>
      <c r="I19" s="25" t="e">
        <v>#N/A</v>
      </c>
      <c r="J19" s="25" t="e">
        <v>#N/A</v>
      </c>
      <c r="K19" s="25" t="e">
        <v>#N/A</v>
      </c>
      <c r="L19" s="26"/>
      <c r="M19" s="40"/>
      <c r="N19" s="28" t="s">
        <v>235</v>
      </c>
    </row>
    <row r="20" spans="1:14" s="3" customFormat="1" ht="70" hidden="1" customHeight="1" x14ac:dyDescent="0.35">
      <c r="A20" s="17"/>
      <c r="B20" s="18" t="e">
        <v>#N/A</v>
      </c>
      <c r="C20" s="19" t="e">
        <v>#N/A</v>
      </c>
      <c r="D20" s="20" t="e">
        <v>#N/A</v>
      </c>
      <c r="E20" s="21" t="e">
        <v>#N/A</v>
      </c>
      <c r="F20" s="22" t="e">
        <v>#N/A</v>
      </c>
      <c r="G20" s="23" t="e">
        <v>#N/A</v>
      </c>
      <c r="H20" s="24" t="e">
        <v>#N/A</v>
      </c>
      <c r="I20" s="25" t="e">
        <v>#N/A</v>
      </c>
      <c r="J20" s="25" t="e">
        <v>#N/A</v>
      </c>
      <c r="K20" s="25" t="e">
        <v>#N/A</v>
      </c>
      <c r="L20" s="26"/>
      <c r="M20" s="40"/>
      <c r="N20" s="28" t="s">
        <v>235</v>
      </c>
    </row>
    <row r="21" spans="1:14" s="3" customFormat="1" ht="70" hidden="1" customHeight="1" x14ac:dyDescent="0.35">
      <c r="A21" s="17"/>
      <c r="B21" s="18" t="e">
        <v>#N/A</v>
      </c>
      <c r="C21" s="19" t="e">
        <v>#N/A</v>
      </c>
      <c r="D21" s="20" t="e">
        <v>#N/A</v>
      </c>
      <c r="E21" s="21" t="e">
        <v>#N/A</v>
      </c>
      <c r="F21" s="22" t="e">
        <v>#N/A</v>
      </c>
      <c r="G21" s="23" t="e">
        <v>#N/A</v>
      </c>
      <c r="H21" s="24" t="e">
        <v>#N/A</v>
      </c>
      <c r="I21" s="25" t="e">
        <v>#N/A</v>
      </c>
      <c r="J21" s="25" t="e">
        <v>#N/A</v>
      </c>
      <c r="K21" s="25" t="e">
        <v>#N/A</v>
      </c>
      <c r="L21" s="26"/>
      <c r="M21" s="40"/>
      <c r="N21" s="28" t="s">
        <v>235</v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2">
      <filters blank="1">
        <filter val="BDB-000097"/>
        <filter val="BDB-000113"/>
        <filter val="BDB-000131"/>
        <filter val="BDB-000221"/>
        <filter val="BDB-000307"/>
      </filters>
    </filterColumn>
  </autoFilter>
  <mergeCells count="1">
    <mergeCell ref="D1:F1"/>
  </mergeCells>
  <conditionalFormatting sqref="A2">
    <cfRule type="duplicateValues" dxfId="27" priority="5"/>
  </conditionalFormatting>
  <conditionalFormatting sqref="A3:A21">
    <cfRule type="duplicateValues" dxfId="26" priority="7"/>
  </conditionalFormatting>
  <conditionalFormatting sqref="A24:A1048576">
    <cfRule type="duplicateValues" dxfId="25" priority="6"/>
  </conditionalFormatting>
  <conditionalFormatting sqref="C1:C1048576">
    <cfRule type="duplicateValues" dxfId="24" priority="1"/>
    <cfRule type="duplicateValues" dxfId="23" priority="2"/>
  </conditionalFormatting>
  <conditionalFormatting sqref="I2:M2">
    <cfRule type="duplicateValues" dxfId="22" priority="4"/>
  </conditionalFormatting>
  <conditionalFormatting sqref="N1">
    <cfRule type="duplicateValues" dxfId="21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72257-794B-4F96-B62F-69670D0E4B1D}">
  <sheetPr filterMode="1">
    <tabColor theme="4"/>
  </sheetPr>
  <dimension ref="A1:O668"/>
  <sheetViews>
    <sheetView view="pageBreakPreview" zoomScale="25" zoomScaleNormal="35" zoomScaleSheetLayoutView="25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V27" sqref="V2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1.5" customHeight="1" x14ac:dyDescent="0.35">
      <c r="A1" s="1" t="s">
        <v>0</v>
      </c>
      <c r="B1" s="1">
        <f ca="1">NOW()</f>
        <v>46182.483680439815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18</v>
      </c>
      <c r="M1" s="7"/>
      <c r="N1" s="9"/>
    </row>
    <row r="2" spans="1:15" s="16" customFormat="1" ht="96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1.25" customHeight="1" x14ac:dyDescent="0.35">
      <c r="A3" s="17" t="s">
        <v>476</v>
      </c>
      <c r="B3" s="18" t="s">
        <v>477</v>
      </c>
      <c r="C3" s="19" t="str">
        <f>VLOOKUP($A3,'[2]master plan'!$A:$N,5,0)</f>
        <v>BDB-000393</v>
      </c>
      <c r="D3" s="20" t="s">
        <v>478</v>
      </c>
      <c r="E3" s="21" t="s">
        <v>479</v>
      </c>
      <c r="F3" s="22">
        <v>70</v>
      </c>
      <c r="G3" s="23">
        <v>70</v>
      </c>
      <c r="H3" s="24">
        <f>VLOOKUP(A3,'[2]master plan'!A:W,23,0)</f>
        <v>4</v>
      </c>
      <c r="I3" s="25" t="str">
        <f>VLOOKUP($A3,'[2]master plan'!$A:$N,12,0)</f>
        <v>ADIDAS</v>
      </c>
      <c r="J3" s="25" t="str">
        <f>VLOOKUP($A3,'[2]master plan'!$A:$N,13,0)</f>
        <v>SSO-2606-00156  - URGENT (6-10)</v>
      </c>
      <c r="K3" s="25" t="str">
        <f>VLOOKUP($A3,'[2]master plan'!$A:$N,14,0)</f>
        <v>Molded</v>
      </c>
      <c r="L3" s="26">
        <v>4</v>
      </c>
      <c r="M3" s="81" t="s">
        <v>301</v>
      </c>
      <c r="N3" s="28">
        <f>_xlfn.IFNA(VLOOKUP(A3,'[2]master plan'!A:R,18,0),"")</f>
        <v>46180</v>
      </c>
      <c r="O3" s="82">
        <v>46148</v>
      </c>
    </row>
    <row r="4" spans="1:15" s="3" customFormat="1" ht="71.25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5" s="3" customFormat="1" ht="71.25" customHeight="1" x14ac:dyDescent="0.35">
      <c r="A5" s="17" t="s">
        <v>480</v>
      </c>
      <c r="B5" s="18" t="s">
        <v>481</v>
      </c>
      <c r="C5" s="19" t="str">
        <f>VLOOKUP($A5,'[2]master plan'!$A:$N,5,0)</f>
        <v>BDB-000353</v>
      </c>
      <c r="D5" s="20" t="s">
        <v>482</v>
      </c>
      <c r="E5" s="21" t="s">
        <v>483</v>
      </c>
      <c r="F5" s="22">
        <v>10</v>
      </c>
      <c r="G5" s="23">
        <v>10</v>
      </c>
      <c r="H5" s="24">
        <f>VLOOKUP(A5,'[2]master plan'!A:W,23,0)</f>
        <v>1</v>
      </c>
      <c r="I5" s="25" t="str">
        <f>VLOOKUP($A5,'[2]master plan'!$A:$N,12,0)</f>
        <v>CAMPER</v>
      </c>
      <c r="J5" s="25" t="str">
        <f>VLOOKUP($A5,'[2]master plan'!$A:$N,13,0)</f>
        <v>SSO-2606-00239  - URGENT (6-13)</v>
      </c>
      <c r="K5" s="25" t="str">
        <f>VLOOKUP($A5,'[2]master plan'!$A:$N,14,0)</f>
        <v>Flat sheet</v>
      </c>
      <c r="L5" s="26">
        <v>1</v>
      </c>
      <c r="M5" s="27"/>
      <c r="N5" s="28">
        <f>_xlfn.IFNA(VLOOKUP(A5,'[2]master plan'!A:R,18,0),"")</f>
        <v>46182</v>
      </c>
      <c r="O5" s="58">
        <v>46240</v>
      </c>
    </row>
    <row r="6" spans="1:15" s="3" customFormat="1" ht="71.25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5" s="3" customFormat="1" ht="71.25" customHeight="1" x14ac:dyDescent="0.35">
      <c r="A7" s="17" t="s">
        <v>484</v>
      </c>
      <c r="B7" s="18" t="s">
        <v>485</v>
      </c>
      <c r="C7" s="19" t="str">
        <f>VLOOKUP($A7,'[2]master plan'!$A:$N,5,0)</f>
        <v>BDB-000123</v>
      </c>
      <c r="D7" s="20" t="s">
        <v>486</v>
      </c>
      <c r="E7" s="21" t="s">
        <v>487</v>
      </c>
      <c r="F7" s="22">
        <v>50</v>
      </c>
      <c r="G7" s="23">
        <v>50</v>
      </c>
      <c r="H7" s="24">
        <f>VLOOKUP(A7,'[2]master plan'!A:W,23,0)</f>
        <v>2</v>
      </c>
      <c r="I7" s="25" t="str">
        <f>VLOOKUP($A7,'[2]master plan'!$A:$N,12,0)</f>
        <v>ADIDAS</v>
      </c>
      <c r="J7" s="25" t="str">
        <f>VLOOKUP($A7,'[2]master plan'!$A:$N,13,0)</f>
        <v>Sample - URGENT (6-13)</v>
      </c>
      <c r="K7" s="25" t="str">
        <f>VLOOKUP($A7,'[2]master plan'!$A:$N,14,0)</f>
        <v>Flat sheet + Die Cut</v>
      </c>
      <c r="L7" s="26">
        <v>3</v>
      </c>
      <c r="M7" s="40"/>
      <c r="N7" s="28">
        <f>_xlfn.IFNA(VLOOKUP(A7,'[2]master plan'!A:R,18,0),"")</f>
        <v>46182</v>
      </c>
      <c r="O7" s="3" t="s">
        <v>325</v>
      </c>
    </row>
    <row r="8" spans="1:15" s="3" customFormat="1" ht="71.25" customHeight="1" x14ac:dyDescent="0.35">
      <c r="A8" s="17" t="s">
        <v>488</v>
      </c>
      <c r="B8" s="18" t="s">
        <v>489</v>
      </c>
      <c r="C8" s="19" t="str">
        <f>VLOOKUP($A8,'[2]master plan'!$A:$N,5,0)</f>
        <v>BDB-000123</v>
      </c>
      <c r="D8" s="20" t="s">
        <v>404</v>
      </c>
      <c r="E8" s="21" t="s">
        <v>405</v>
      </c>
      <c r="F8" s="22">
        <v>50</v>
      </c>
      <c r="G8" s="23">
        <v>50</v>
      </c>
      <c r="H8" s="24">
        <f>VLOOKUP(A8,'[2]master plan'!A:W,23,0)</f>
        <v>1</v>
      </c>
      <c r="I8" s="25" t="str">
        <f>VLOOKUP($A8,'[2]master plan'!$A:$N,12,0)</f>
        <v>ADIDAS</v>
      </c>
      <c r="J8" s="25" t="str">
        <f>VLOOKUP($A8,'[2]master plan'!$A:$N,13,0)</f>
        <v>SSO-2606-00242 - URGENT (6-13)</v>
      </c>
      <c r="K8" s="25" t="str">
        <f>VLOOKUP($A8,'[2]master plan'!$A:$N,14,0)</f>
        <v>Flat sheet</v>
      </c>
      <c r="L8" s="26"/>
      <c r="M8" s="27"/>
      <c r="N8" s="28">
        <f>_xlfn.IFNA(VLOOKUP(A8,'[2]master plan'!A:R,18,0),"")</f>
        <v>46182</v>
      </c>
      <c r="O8" s="3" t="s">
        <v>325</v>
      </c>
    </row>
    <row r="9" spans="1:15" s="3" customFormat="1" ht="71.25" customHeight="1" x14ac:dyDescent="0.35">
      <c r="A9" s="17" t="s">
        <v>490</v>
      </c>
      <c r="B9" s="18" t="s">
        <v>491</v>
      </c>
      <c r="C9" s="19" t="str">
        <f>VLOOKUP($A9,'[2]master plan'!$A:$N,5,0)</f>
        <v>BDB-000123</v>
      </c>
      <c r="D9" s="20" t="s">
        <v>359</v>
      </c>
      <c r="E9" s="21" t="s">
        <v>360</v>
      </c>
      <c r="F9" s="22">
        <v>30</v>
      </c>
      <c r="G9" s="23">
        <v>30</v>
      </c>
      <c r="H9" s="24">
        <f>VLOOKUP(A9,'[2]master plan'!A:W,23,0)</f>
        <v>1</v>
      </c>
      <c r="I9" s="25" t="str">
        <f>VLOOKUP($A9,'[2]master plan'!$A:$N,12,0)</f>
        <v>WILSON</v>
      </c>
      <c r="J9" s="25" t="str">
        <f>VLOOKUP($A9,'[2]master plan'!$A:$N,13,0)</f>
        <v>Sample</v>
      </c>
      <c r="K9" s="25" t="str">
        <f>VLOOKUP($A9,'[2]master plan'!$A:$N,14,0)</f>
        <v>MOLDED</v>
      </c>
      <c r="L9" s="26">
        <v>1</v>
      </c>
      <c r="M9" s="27"/>
      <c r="N9" s="28">
        <f>_xlfn.IFNA(VLOOKUP(A9,'[2]master plan'!A:R,18,0),"")</f>
        <v>46182</v>
      </c>
      <c r="O9" s="3" t="s">
        <v>325</v>
      </c>
    </row>
    <row r="10" spans="1:15" s="3" customFormat="1" ht="71.25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76"/>
    </row>
    <row r="11" spans="1:15" s="3" customFormat="1" ht="71.25" customHeight="1" x14ac:dyDescent="0.35">
      <c r="A11" s="17" t="s">
        <v>492</v>
      </c>
      <c r="B11" s="18" t="s">
        <v>493</v>
      </c>
      <c r="C11" s="19" t="str">
        <f>VLOOKUP($A11,'[2]master plan'!$A:$N,5,0)</f>
        <v>BDB-000067</v>
      </c>
      <c r="D11" s="20" t="s">
        <v>494</v>
      </c>
      <c r="E11" s="21" t="s">
        <v>495</v>
      </c>
      <c r="F11" s="22">
        <v>10</v>
      </c>
      <c r="G11" s="23">
        <v>10</v>
      </c>
      <c r="H11" s="24">
        <f>VLOOKUP(A11,'[2]master plan'!A:W,23,0)</f>
        <v>1</v>
      </c>
      <c r="I11" s="25" t="str">
        <f>VLOOKUP($A11,'[2]master plan'!$A:$N,12,0)</f>
        <v>PUMA</v>
      </c>
      <c r="J11" s="25" t="str">
        <f>VLOOKUP($A11,'[2]master plan'!$A:$N,13,0)</f>
        <v>Sample</v>
      </c>
      <c r="K11" s="25" t="str">
        <f>VLOOKUP($A11,'[2]master plan'!$A:$N,14,0)</f>
        <v>MOLDED</v>
      </c>
      <c r="L11" s="26">
        <v>1</v>
      </c>
      <c r="M11" s="27"/>
      <c r="N11" s="28">
        <f>_xlfn.IFNA(VLOOKUP(A11,'[2]master plan'!A:R,18,0),"")</f>
        <v>46182</v>
      </c>
      <c r="O11" s="58">
        <v>46240</v>
      </c>
    </row>
    <row r="12" spans="1:15" s="3" customFormat="1" ht="71.25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5" s="3" customFormat="1" ht="71.25" customHeight="1" x14ac:dyDescent="0.35">
      <c r="A13" s="17" t="s">
        <v>496</v>
      </c>
      <c r="B13" s="18" t="s">
        <v>497</v>
      </c>
      <c r="C13" s="19" t="str">
        <f>VLOOKUP($A13,'[2]master plan'!$A:$N,5,0)</f>
        <v>BDB-000317</v>
      </c>
      <c r="D13" s="20" t="s">
        <v>498</v>
      </c>
      <c r="E13" s="21" t="s">
        <v>499</v>
      </c>
      <c r="F13" s="22">
        <v>20</v>
      </c>
      <c r="G13" s="23">
        <v>20</v>
      </c>
      <c r="H13" s="24">
        <f>VLOOKUP(A13,'[2]master plan'!A:W,23,0)</f>
        <v>4</v>
      </c>
      <c r="I13" s="25" t="str">
        <f>VLOOKUP($A13,'[2]master plan'!$A:$N,12,0)</f>
        <v>ASICS</v>
      </c>
      <c r="J13" s="25" t="str">
        <f>VLOOKUP($A13,'[2]master plan'!$A:$N,13,0)</f>
        <v>Sample</v>
      </c>
      <c r="K13" s="25" t="str">
        <f>VLOOKUP($A13,'[2]master plan'!$A:$N,14,0)</f>
        <v>MOLDED</v>
      </c>
      <c r="L13" s="26">
        <v>4</v>
      </c>
      <c r="M13" s="27"/>
      <c r="N13" s="28">
        <f>_xlfn.IFNA(VLOOKUP(A13,'[2]master plan'!A:R,18,0),"")</f>
        <v>46182</v>
      </c>
      <c r="O13" s="82">
        <v>46179</v>
      </c>
    </row>
    <row r="14" spans="1:15" s="3" customFormat="1" ht="71.25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76"/>
    </row>
    <row r="15" spans="1:15" s="3" customFormat="1" ht="71.25" customHeight="1" x14ac:dyDescent="0.35">
      <c r="A15" s="17" t="s">
        <v>500</v>
      </c>
      <c r="B15" s="18" t="s">
        <v>501</v>
      </c>
      <c r="C15" s="19" t="str">
        <f>VLOOKUP($A15,'[2]master plan'!$A:$N,5,0)</f>
        <v>BDB-000055</v>
      </c>
      <c r="D15" s="20" t="s">
        <v>502</v>
      </c>
      <c r="E15" s="21" t="s">
        <v>503</v>
      </c>
      <c r="F15" s="22">
        <v>30</v>
      </c>
      <c r="G15" s="23">
        <v>30</v>
      </c>
      <c r="H15" s="24">
        <f>VLOOKUP(A15,'[2]master plan'!A:W,23,0)</f>
        <v>1</v>
      </c>
      <c r="I15" s="25" t="str">
        <f>VLOOKUP($A15,'[2]master plan'!$A:$N,12,0)</f>
        <v>ASICS</v>
      </c>
      <c r="J15" s="25" t="str">
        <f>VLOOKUP($A15,'[2]master plan'!$A:$N,13,0)</f>
        <v>Sample</v>
      </c>
      <c r="K15" s="25" t="str">
        <f>VLOOKUP($A15,'[2]master plan'!$A:$N,14,0)</f>
        <v>MOLDED</v>
      </c>
      <c r="L15" s="26">
        <v>1</v>
      </c>
      <c r="M15" s="40"/>
      <c r="N15" s="28">
        <f>_xlfn.IFNA(VLOOKUP(A15,'[2]master plan'!A:R,18,0),"")</f>
        <v>46182</v>
      </c>
      <c r="O15" s="3" t="s">
        <v>513</v>
      </c>
    </row>
    <row r="16" spans="1:15" s="3" customFormat="1" ht="71.25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76"/>
    </row>
    <row r="17" spans="1:15" s="3" customFormat="1" ht="71.25" customHeight="1" x14ac:dyDescent="0.35">
      <c r="A17" s="17" t="s">
        <v>504</v>
      </c>
      <c r="B17" s="18" t="s">
        <v>505</v>
      </c>
      <c r="C17" s="19" t="str">
        <f>VLOOKUP($A17,'[2]master plan'!$A:$N,5,0)</f>
        <v>BDB-000328</v>
      </c>
      <c r="D17" s="20" t="s">
        <v>506</v>
      </c>
      <c r="E17" s="21" t="s">
        <v>507</v>
      </c>
      <c r="F17" s="22">
        <v>20</v>
      </c>
      <c r="G17" s="23">
        <v>20</v>
      </c>
      <c r="H17" s="24">
        <f>VLOOKUP(A17,'[2]master plan'!A:W,23,0)</f>
        <v>1</v>
      </c>
      <c r="I17" s="25" t="str">
        <f>VLOOKUP($A17,'[2]master plan'!$A:$N,12,0)</f>
        <v>ASICS</v>
      </c>
      <c r="J17" s="25" t="str">
        <f>VLOOKUP($A17,'[2]master plan'!$A:$N,13,0)</f>
        <v>Sample</v>
      </c>
      <c r="K17" s="25" t="str">
        <f>VLOOKUP($A17,'[2]master plan'!$A:$N,14,0)</f>
        <v>DIE-CUT</v>
      </c>
      <c r="L17" s="26">
        <v>1</v>
      </c>
      <c r="M17" s="27"/>
      <c r="N17" s="28">
        <f>_xlfn.IFNA(VLOOKUP(A17,'[2]master plan'!A:R,18,0),"")</f>
        <v>46182</v>
      </c>
      <c r="O17" s="3" t="s">
        <v>514</v>
      </c>
    </row>
    <row r="18" spans="1:15" s="3" customFormat="1" ht="71.25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25"/>
      <c r="K18" s="70"/>
      <c r="L18" s="71"/>
      <c r="M18" s="72"/>
      <c r="N18" s="76"/>
    </row>
    <row r="19" spans="1:15" s="3" customFormat="1" ht="71.25" customHeight="1" x14ac:dyDescent="0.35">
      <c r="A19" s="17" t="s">
        <v>508</v>
      </c>
      <c r="B19" s="18" t="s">
        <v>509</v>
      </c>
      <c r="C19" s="19" t="str">
        <f>VLOOKUP($A19,'[2]master plan'!$A:$N,5,0)</f>
        <v>BDB-000391</v>
      </c>
      <c r="D19" s="20" t="s">
        <v>510</v>
      </c>
      <c r="E19" s="21" t="s">
        <v>511</v>
      </c>
      <c r="F19" s="22">
        <v>40</v>
      </c>
      <c r="G19" s="23">
        <v>40</v>
      </c>
      <c r="H19" s="24">
        <f>VLOOKUP(A19,'[2]master plan'!A:W,23,0)</f>
        <v>2</v>
      </c>
      <c r="I19" s="25" t="str">
        <f>VLOOKUP($A19,'[2]master plan'!$A:$N,12,0)</f>
        <v>ON RUNNING</v>
      </c>
      <c r="J19" s="25" t="str">
        <f>VLOOKUP($A19,'[2]master plan'!$A:$N,13,0)</f>
        <v>SSO-2605-00765</v>
      </c>
      <c r="K19" s="25" t="str">
        <f>VLOOKUP($A19,'[2]master plan'!$A:$N,14,0)</f>
        <v>OV-0408</v>
      </c>
      <c r="L19" s="26">
        <v>2</v>
      </c>
      <c r="M19" s="40"/>
      <c r="N19" s="28">
        <f>_xlfn.IFNA(VLOOKUP(A19,'[2]master plan'!A:R,18,0),"")</f>
        <v>46182</v>
      </c>
      <c r="O19" s="82">
        <v>46179</v>
      </c>
    </row>
    <row r="20" spans="1:15" s="3" customFormat="1" ht="70" hidden="1" customHeight="1" x14ac:dyDescent="0.35">
      <c r="A20" s="62"/>
      <c r="B20" s="63" t="e">
        <f>VLOOKUP(A20,'[2]master plan'!A:C,3,0)</f>
        <v>#N/A</v>
      </c>
      <c r="C20" s="64" t="e">
        <f>VLOOKUP($A20,'[2]master plan'!$A:$N,5,0)</f>
        <v>#N/A</v>
      </c>
      <c r="D20" s="65" t="e">
        <f>VLOOKUP($A20,'[2]master plan'!$A:$N,6,0)</f>
        <v>#N/A</v>
      </c>
      <c r="E20" s="66" t="e">
        <f>VLOOKUP(A20,'[2]master plan'!A:G,7,0)</f>
        <v>#N/A</v>
      </c>
      <c r="F20" s="67" t="e">
        <f>VLOOKUP(A20,'[2]master plan'!A:H,8,0)</f>
        <v>#N/A</v>
      </c>
      <c r="G20" s="68" t="e">
        <f>VLOOKUP(A20,'[2]master plan'!A:W,23,0)</f>
        <v>#N/A</v>
      </c>
      <c r="H20" s="69" t="e">
        <f>VLOOKUP(A20,'[2]master plan'!A:W,23,0)</f>
        <v>#N/A</v>
      </c>
      <c r="I20" s="70" t="e">
        <f>VLOOKUP($A20,'[2]master plan'!$A:$N,12,0)</f>
        <v>#N/A</v>
      </c>
      <c r="J20" s="25" t="e">
        <f>VLOOKUP($A20,'[2]master plan'!$A:$N,13,0)</f>
        <v>#N/A</v>
      </c>
      <c r="K20" s="70" t="e">
        <f>VLOOKUP($A20,'[2]master plan'!$A:$N,14,0)</f>
        <v>#N/A</v>
      </c>
      <c r="L20" s="71"/>
      <c r="M20" s="73"/>
      <c r="N20" s="76" t="str">
        <f>_xlfn.IFNA(VLOOKUP(A20,'[2]master plan'!A:R,18,0),"")</f>
        <v/>
      </c>
    </row>
    <row r="21" spans="1:15" s="3" customFormat="1" ht="70" hidden="1" customHeight="1" x14ac:dyDescent="0.35">
      <c r="A21" s="62"/>
      <c r="B21" s="63" t="e">
        <f>VLOOKUP(A21,'[2]master plan'!A:C,3,0)</f>
        <v>#N/A</v>
      </c>
      <c r="C21" s="64" t="e">
        <f>VLOOKUP($A21,'[2]master plan'!$A:$N,5,0)</f>
        <v>#N/A</v>
      </c>
      <c r="D21" s="65" t="e">
        <f>VLOOKUP($A21,'[2]master plan'!$A:$N,6,0)</f>
        <v>#N/A</v>
      </c>
      <c r="E21" s="66" t="e">
        <f>VLOOKUP(A21,'[2]master plan'!A:G,7,0)</f>
        <v>#N/A</v>
      </c>
      <c r="F21" s="67" t="e">
        <f>VLOOKUP(A21,'[2]master plan'!A:H,8,0)</f>
        <v>#N/A</v>
      </c>
      <c r="G21" s="68" t="e">
        <f>VLOOKUP(A21,'[2]master plan'!A:W,23,0)</f>
        <v>#N/A</v>
      </c>
      <c r="H21" s="69" t="e">
        <f>VLOOKUP(A21,'[2]master plan'!A:W,23,0)</f>
        <v>#N/A</v>
      </c>
      <c r="I21" s="70" t="e">
        <f>VLOOKUP($A21,'[2]master plan'!$A:$N,12,0)</f>
        <v>#N/A</v>
      </c>
      <c r="J21" s="25" t="e">
        <f>VLOOKUP($A21,'[2]master plan'!$A:$N,13,0)</f>
        <v>#N/A</v>
      </c>
      <c r="K21" s="70" t="e">
        <f>VLOOKUP($A21,'[2]master plan'!$A:$N,14,0)</f>
        <v>#N/A</v>
      </c>
      <c r="L21" s="71"/>
      <c r="M21" s="72"/>
      <c r="N21" s="76" t="str">
        <f>_xlfn.IFNA(VLOOKUP(A21,'[2]master plan'!A:R,18,0),"")</f>
        <v/>
      </c>
    </row>
    <row r="22" spans="1:15" s="3" customFormat="1" ht="70" hidden="1" customHeight="1" x14ac:dyDescent="0.35">
      <c r="A22" s="62"/>
      <c r="B22" s="63" t="e">
        <f>VLOOKUP(A22,'[2]master plan'!A:C,3,0)</f>
        <v>#N/A</v>
      </c>
      <c r="C22" s="64" t="e">
        <f>VLOOKUP($A22,'[2]master plan'!$A:$N,5,0)</f>
        <v>#N/A</v>
      </c>
      <c r="D22" s="65" t="e">
        <f>VLOOKUP($A22,'[2]master plan'!$A:$N,6,0)</f>
        <v>#N/A</v>
      </c>
      <c r="E22" s="66" t="e">
        <f>VLOOKUP(A22,'[2]master plan'!A:G,7,0)</f>
        <v>#N/A</v>
      </c>
      <c r="F22" s="67" t="e">
        <f>VLOOKUP(A22,'[2]master plan'!A:H,8,0)</f>
        <v>#N/A</v>
      </c>
      <c r="G22" s="68" t="e">
        <f>VLOOKUP(A22,'[2]master plan'!A:W,23,0)</f>
        <v>#N/A</v>
      </c>
      <c r="H22" s="69" t="e">
        <f>VLOOKUP(A22,'[2]master plan'!A:W,23,0)</f>
        <v>#N/A</v>
      </c>
      <c r="I22" s="70" t="e">
        <f>VLOOKUP($A22,'[2]master plan'!$A:$N,12,0)</f>
        <v>#N/A</v>
      </c>
      <c r="J22" s="25" t="e">
        <f>VLOOKUP($A22,'[2]master plan'!$A:$N,13,0)</f>
        <v>#N/A</v>
      </c>
      <c r="K22" s="70" t="e">
        <f>VLOOKUP($A22,'[2]master plan'!$A:$N,14,0)</f>
        <v>#N/A</v>
      </c>
      <c r="L22" s="71"/>
      <c r="M22" s="73"/>
      <c r="N22" s="76" t="str">
        <f>_xlfn.IFNA(VLOOKUP(A22,'[2]master plan'!A:R,18,0),"")</f>
        <v/>
      </c>
    </row>
    <row r="23" spans="1:15" s="3" customFormat="1" ht="70" hidden="1" customHeight="1" x14ac:dyDescent="0.35">
      <c r="A23" s="62"/>
      <c r="B23" s="63" t="e">
        <f>VLOOKUP(A23,'[2]master plan'!A:C,3,0)</f>
        <v>#N/A</v>
      </c>
      <c r="C23" s="64" t="e">
        <f>VLOOKUP($A23,'[2]master plan'!$A:$N,5,0)</f>
        <v>#N/A</v>
      </c>
      <c r="D23" s="65" t="e">
        <f>VLOOKUP($A23,'[2]master plan'!$A:$N,6,0)</f>
        <v>#N/A</v>
      </c>
      <c r="E23" s="66" t="e">
        <f>VLOOKUP(A23,'[2]master plan'!A:G,7,0)</f>
        <v>#N/A</v>
      </c>
      <c r="F23" s="67" t="e">
        <f>VLOOKUP(A23,'[2]master plan'!A:H,8,0)</f>
        <v>#N/A</v>
      </c>
      <c r="G23" s="68" t="e">
        <f>VLOOKUP(A23,'[2]master plan'!A:W,23,0)</f>
        <v>#N/A</v>
      </c>
      <c r="H23" s="69" t="e">
        <f>VLOOKUP(A23,'[2]master plan'!A:W,23,0)</f>
        <v>#N/A</v>
      </c>
      <c r="I23" s="70" t="e">
        <f>VLOOKUP($A23,'[2]master plan'!$A:$N,12,0)</f>
        <v>#N/A</v>
      </c>
      <c r="J23" s="25" t="e">
        <f>VLOOKUP($A23,'[2]master plan'!$A:$N,13,0)</f>
        <v>#N/A</v>
      </c>
      <c r="K23" s="70" t="e">
        <f>VLOOKUP($A23,'[2]master plan'!$A:$N,14,0)</f>
        <v>#N/A</v>
      </c>
      <c r="L23" s="71"/>
      <c r="M23" s="73"/>
      <c r="N23" s="76" t="str">
        <f>_xlfn.IFNA(VLOOKUP(A23,'[2]master plan'!A:R,18,0),"")</f>
        <v/>
      </c>
    </row>
    <row r="24" spans="1:15" s="3" customFormat="1" ht="70" hidden="1" customHeight="1" x14ac:dyDescent="0.35">
      <c r="A24" s="62"/>
      <c r="B24" s="63" t="e">
        <f>VLOOKUP(A24,'[2]master plan'!A:C,3,0)</f>
        <v>#N/A</v>
      </c>
      <c r="C24" s="64" t="e">
        <f>VLOOKUP($A24,'[2]master plan'!$A:$N,5,0)</f>
        <v>#N/A</v>
      </c>
      <c r="D24" s="65" t="e">
        <f>VLOOKUP($A24,'[2]master plan'!$A:$N,6,0)</f>
        <v>#N/A</v>
      </c>
      <c r="E24" s="66" t="e">
        <f>VLOOKUP(A24,'[2]master plan'!A:G,7,0)</f>
        <v>#N/A</v>
      </c>
      <c r="F24" s="67" t="e">
        <f>VLOOKUP(A24,'[2]master plan'!A:H,8,0)</f>
        <v>#N/A</v>
      </c>
      <c r="G24" s="68" t="e">
        <f>VLOOKUP(A24,'[2]master plan'!A:W,23,0)</f>
        <v>#N/A</v>
      </c>
      <c r="H24" s="69" t="e">
        <f>VLOOKUP(A24,'[2]master plan'!A:W,23,0)</f>
        <v>#N/A</v>
      </c>
      <c r="I24" s="70" t="e">
        <f>VLOOKUP($A24,'[2]master plan'!$A:$N,12,0)</f>
        <v>#N/A</v>
      </c>
      <c r="J24" s="25" t="e">
        <f>VLOOKUP($A24,'[2]master plan'!$A:$N,13,0)</f>
        <v>#N/A</v>
      </c>
      <c r="K24" s="70" t="e">
        <f>VLOOKUP($A24,'[2]master plan'!$A:$N,14,0)</f>
        <v>#N/A</v>
      </c>
      <c r="L24" s="71"/>
      <c r="M24" s="73"/>
      <c r="N24" s="76" t="str">
        <f>_xlfn.IFNA(VLOOKUP(A24,'[2]master plan'!A:R,18,0),"")</f>
        <v/>
      </c>
    </row>
    <row r="25" spans="1:15" s="3" customFormat="1" ht="63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5" ht="74.25" customHeight="1" x14ac:dyDescent="0.35">
      <c r="L26" s="56"/>
    </row>
    <row r="27" spans="1:15" ht="74.25" customHeight="1" x14ac:dyDescent="0.35">
      <c r="L27" s="56"/>
    </row>
    <row r="28" spans="1:15" ht="74.25" customHeight="1" x14ac:dyDescent="0.35">
      <c r="L28" s="56"/>
    </row>
    <row r="29" spans="1:15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5" ht="74.25" customHeight="1" x14ac:dyDescent="0.35">
      <c r="L30" s="56"/>
    </row>
    <row r="31" spans="1:15" ht="74.25" customHeight="1" x14ac:dyDescent="0.35">
      <c r="L31" s="56"/>
    </row>
    <row r="32" spans="1:15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>
    <filterColumn colId="3">
      <filters blank="1">
        <filter val="PVN-001452"/>
        <filter val="PVN-002539"/>
        <filter val="PVN-002973"/>
        <filter val="PVN-003300"/>
        <filter val="PVN-003327"/>
        <filter val="PVN-004076"/>
        <filter val="PVN-004212"/>
        <filter val="PVN-004350"/>
        <filter val="PVN-004430"/>
        <filter val="PVN-004438"/>
      </filters>
    </filterColumn>
  </autoFilter>
  <mergeCells count="1">
    <mergeCell ref="D1:F1"/>
  </mergeCells>
  <conditionalFormatting sqref="A2">
    <cfRule type="duplicateValues" dxfId="20" priority="5"/>
  </conditionalFormatting>
  <conditionalFormatting sqref="A3:A24">
    <cfRule type="duplicateValues" dxfId="19" priority="7"/>
  </conditionalFormatting>
  <conditionalFormatting sqref="A27:A1048576">
    <cfRule type="duplicateValues" dxfId="18" priority="6"/>
  </conditionalFormatting>
  <conditionalFormatting sqref="C1:C1048576">
    <cfRule type="duplicateValues" dxfId="17" priority="1"/>
    <cfRule type="duplicateValues" dxfId="16" priority="2"/>
  </conditionalFormatting>
  <conditionalFormatting sqref="D3:D19">
    <cfRule type="duplicateValues" dxfId="15" priority="8"/>
  </conditionalFormatting>
  <conditionalFormatting sqref="I2:M2">
    <cfRule type="duplicateValues" dxfId="14" priority="4"/>
  </conditionalFormatting>
  <conditionalFormatting sqref="N1">
    <cfRule type="duplicateValues" dxfId="13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B619B-ADEB-444B-B0C4-D546C9681600}">
  <sheetPr filterMode="1">
    <tabColor theme="4"/>
  </sheetPr>
  <dimension ref="A1:M661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18" sqref="M18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customWidth="1"/>
    <col min="14" max="14" width="22.26953125" style="2" bestFit="1" customWidth="1"/>
    <col min="15" max="16384" width="9.1796875" style="2"/>
  </cols>
  <sheetData>
    <row r="1" spans="1:13" ht="128.5" customHeight="1" x14ac:dyDescent="0.35">
      <c r="A1" s="1" t="s">
        <v>0</v>
      </c>
      <c r="B1" s="1">
        <f ca="1">NOW()</f>
        <v>46182.483680439815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</v>
      </c>
      <c r="M1" s="7"/>
    </row>
    <row r="2" spans="1:13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</row>
    <row r="3" spans="1:13" s="3" customFormat="1" ht="70" customHeight="1" x14ac:dyDescent="0.35">
      <c r="A3" s="17" t="s">
        <v>512</v>
      </c>
      <c r="B3" s="18" t="str">
        <f>VLOOKUP(A3,'[2]master plan'!A:C,3,0)</f>
        <v>RPRO-260606-0217</v>
      </c>
      <c r="C3" s="19" t="str">
        <f>VLOOKUP($A3,'[2]master plan'!$A:$N,5,0)</f>
        <v>BDB-000067</v>
      </c>
      <c r="D3" s="20" t="str">
        <f>VLOOKUP($A3,'[2]master plan'!$A:$N,6,0)</f>
        <v>PVN-003672</v>
      </c>
      <c r="E3" s="21" t="str">
        <f>VLOOKUP(A3,'[2]master plan'!A:G,7,0)</f>
        <v>OrthoLite Ultra SEEDPEARL/12-0703TPX Flat Sheet 0.085D 25+/-4 Asker C 1.1M 2M 3mm</v>
      </c>
      <c r="F3" s="22">
        <f>VLOOKUP(A3,'[2]master plan'!A:H,8,0)</f>
        <v>20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ADIDAS</v>
      </c>
      <c r="J3" s="25" t="str">
        <f>VLOOKUP($A3,'[2]master plan'!$A:$N,13,0)</f>
        <v>SSO-2606-00253  - URGENT (6-13)</v>
      </c>
      <c r="K3" s="25" t="str">
        <f>VLOOKUP($A3,'[2]master plan'!$A:$N,14,0)</f>
        <v>Flat sheet</v>
      </c>
      <c r="L3" s="26">
        <v>1</v>
      </c>
      <c r="M3" s="27" t="s">
        <v>325</v>
      </c>
    </row>
    <row r="4" spans="1:13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</row>
    <row r="5" spans="1:13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</row>
    <row r="6" spans="1:13" s="3" customFormat="1" ht="70" hidden="1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27"/>
    </row>
    <row r="7" spans="1:13" s="3" customFormat="1" ht="70" hidden="1" customHeight="1" x14ac:dyDescent="0.35">
      <c r="A7" s="17"/>
      <c r="B7" s="18" t="e">
        <f>VLOOKUP(A7,'[2]master plan'!A:C,3,0)</f>
        <v>#N/A</v>
      </c>
      <c r="C7" s="19" t="e">
        <f>VLOOKUP($A7,'[2]master plan'!$A:$N,5,0)</f>
        <v>#N/A</v>
      </c>
      <c r="D7" s="20" t="e">
        <f>VLOOKUP($A7,'[2]master plan'!$A:$N,6,0)</f>
        <v>#N/A</v>
      </c>
      <c r="E7" s="21" t="e">
        <f>VLOOKUP(A7,'[2]master plan'!A:G,7,0)</f>
        <v>#N/A</v>
      </c>
      <c r="F7" s="22" t="e">
        <f>VLOOKUP(A7,'[2]master plan'!A:H,8,0)</f>
        <v>#N/A</v>
      </c>
      <c r="G7" s="23" t="e">
        <f>VLOOKUP(A7,'[2]master plan'!A:W,23,0)</f>
        <v>#N/A</v>
      </c>
      <c r="H7" s="24" t="e">
        <f>VLOOKUP(A7,'[2]master plan'!A:W,23,0)</f>
        <v>#N/A</v>
      </c>
      <c r="I7" s="25" t="e">
        <f>VLOOKUP($A7,'[2]master plan'!$A:$N,12,0)</f>
        <v>#N/A</v>
      </c>
      <c r="J7" s="25" t="e">
        <f>VLOOKUP($A7,'[2]master plan'!$A:$N,13,0)</f>
        <v>#N/A</v>
      </c>
      <c r="K7" s="25" t="e">
        <f>VLOOKUP($A7,'[2]master plan'!$A:$N,14,0)</f>
        <v>#N/A</v>
      </c>
      <c r="L7" s="26"/>
      <c r="M7" s="27"/>
    </row>
    <row r="8" spans="1:13" s="3" customFormat="1" ht="70" hidden="1" customHeight="1" x14ac:dyDescent="0.35">
      <c r="A8" s="17"/>
      <c r="B8" s="18" t="e">
        <f>VLOOKUP(A8,'[2]master plan'!A:C,3,0)</f>
        <v>#N/A</v>
      </c>
      <c r="C8" s="19" t="e">
        <f>VLOOKUP($A8,'[2]master plan'!$A:$N,5,0)</f>
        <v>#N/A</v>
      </c>
      <c r="D8" s="20" t="e">
        <f>VLOOKUP($A8,'[2]master plan'!$A:$N,6,0)</f>
        <v>#N/A</v>
      </c>
      <c r="E8" s="21" t="e">
        <f>VLOOKUP(A8,'[2]master plan'!A:G,7,0)</f>
        <v>#N/A</v>
      </c>
      <c r="F8" s="22" t="e">
        <f>VLOOKUP(A8,'[2]master plan'!A:H,8,0)</f>
        <v>#N/A</v>
      </c>
      <c r="G8" s="23" t="e">
        <f>VLOOKUP(A8,'[2]master plan'!A:W,23,0)</f>
        <v>#N/A</v>
      </c>
      <c r="H8" s="24" t="e">
        <f>VLOOKUP(A8,'[2]master plan'!A:W,23,0)</f>
        <v>#N/A</v>
      </c>
      <c r="I8" s="25" t="e">
        <f>VLOOKUP($A8,'[2]master plan'!$A:$N,12,0)</f>
        <v>#N/A</v>
      </c>
      <c r="J8" s="25" t="e">
        <f>VLOOKUP($A8,'[2]master plan'!$A:$N,13,0)</f>
        <v>#N/A</v>
      </c>
      <c r="K8" s="25" t="e">
        <f>VLOOKUP($A8,'[2]master plan'!$A:$N,14,0)</f>
        <v>#N/A</v>
      </c>
      <c r="L8" s="26"/>
      <c r="M8" s="27"/>
    </row>
    <row r="9" spans="1:13" s="3" customFormat="1" ht="70" hidden="1" customHeight="1" x14ac:dyDescent="0.35">
      <c r="A9" s="17"/>
      <c r="B9" s="18" t="e">
        <f>VLOOKUP(A9,'[2]master plan'!A:C,3,0)</f>
        <v>#N/A</v>
      </c>
      <c r="C9" s="19" t="e">
        <f>VLOOKUP($A9,'[2]master plan'!$A:$N,5,0)</f>
        <v>#N/A</v>
      </c>
      <c r="D9" s="20" t="e">
        <f>VLOOKUP($A9,'[2]master plan'!$A:$N,6,0)</f>
        <v>#N/A</v>
      </c>
      <c r="E9" s="21" t="e">
        <f>VLOOKUP(A9,'[2]master plan'!A:G,7,0)</f>
        <v>#N/A</v>
      </c>
      <c r="F9" s="22" t="e">
        <f>VLOOKUP(A9,'[2]master plan'!A:H,8,0)</f>
        <v>#N/A</v>
      </c>
      <c r="G9" s="23" t="e">
        <f>VLOOKUP(A9,'[2]master plan'!A:W,23,0)</f>
        <v>#N/A</v>
      </c>
      <c r="H9" s="24" t="e">
        <f>VLOOKUP(A9,'[2]master plan'!A:W,23,0)</f>
        <v>#N/A</v>
      </c>
      <c r="I9" s="25" t="e">
        <f>VLOOKUP($A9,'[2]master plan'!$A:$N,12,0)</f>
        <v>#N/A</v>
      </c>
      <c r="J9" s="25" t="e">
        <f>VLOOKUP($A9,'[2]master plan'!$A:$N,13,0)</f>
        <v>#N/A</v>
      </c>
      <c r="K9" s="25" t="e">
        <f>VLOOKUP($A9,'[2]master plan'!$A:$N,14,0)</f>
        <v>#N/A</v>
      </c>
      <c r="L9" s="26"/>
      <c r="M9" s="40"/>
    </row>
    <row r="10" spans="1:13" s="3" customFormat="1" ht="70" hidden="1" customHeight="1" x14ac:dyDescent="0.35">
      <c r="A10" s="17"/>
      <c r="B10" s="18" t="e">
        <f>VLOOKUP(A10,'[2]master plan'!A:C,3,0)</f>
        <v>#N/A</v>
      </c>
      <c r="C10" s="19" t="e">
        <f>VLOOKUP($A10,'[2]master plan'!$A:$N,5,0)</f>
        <v>#N/A</v>
      </c>
      <c r="D10" s="20" t="e">
        <f>VLOOKUP($A10,'[2]master plan'!$A:$N,6,0)</f>
        <v>#N/A</v>
      </c>
      <c r="E10" s="21" t="e">
        <f>VLOOKUP(A10,'[2]master plan'!A:G,7,0)</f>
        <v>#N/A</v>
      </c>
      <c r="F10" s="22" t="e">
        <f>VLOOKUP(A10,'[2]master plan'!A:H,8,0)</f>
        <v>#N/A</v>
      </c>
      <c r="G10" s="23" t="e">
        <f>VLOOKUP(A10,'[2]master plan'!A:W,23,0)</f>
        <v>#N/A</v>
      </c>
      <c r="H10" s="24" t="e">
        <f>VLOOKUP(A10,'[2]master plan'!A:W,23,0)</f>
        <v>#N/A</v>
      </c>
      <c r="I10" s="25" t="e">
        <f>VLOOKUP($A10,'[2]master plan'!$A:$N,12,0)</f>
        <v>#N/A</v>
      </c>
      <c r="J10" s="25" t="e">
        <f>VLOOKUP($A10,'[2]master plan'!$A:$N,13,0)</f>
        <v>#N/A</v>
      </c>
      <c r="K10" s="25" t="e">
        <f>VLOOKUP($A10,'[2]master plan'!$A:$N,14,0)</f>
        <v>#N/A</v>
      </c>
      <c r="L10" s="26"/>
      <c r="M10" s="27"/>
    </row>
    <row r="11" spans="1:13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</row>
    <row r="12" spans="1:13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</row>
    <row r="13" spans="1:13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</row>
    <row r="14" spans="1:13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</row>
    <row r="15" spans="1:13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</row>
    <row r="16" spans="1:13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</row>
    <row r="17" spans="1:13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</row>
    <row r="18" spans="1:13" s="3" customFormat="1" ht="72" customHeight="1" x14ac:dyDescent="0.35">
      <c r="A18" s="41"/>
      <c r="B18" s="42"/>
      <c r="C18" s="43"/>
      <c r="D18" s="43"/>
      <c r="E18" s="44"/>
      <c r="F18" s="45"/>
      <c r="G18" s="45"/>
      <c r="H18" s="45"/>
      <c r="I18" s="46"/>
      <c r="J18" s="47"/>
      <c r="K18" s="48"/>
      <c r="L18" s="49"/>
      <c r="M18" s="50"/>
    </row>
    <row r="19" spans="1:13" ht="74.25" customHeight="1" x14ac:dyDescent="0.35">
      <c r="L19" s="56"/>
    </row>
    <row r="20" spans="1:13" ht="74.25" customHeight="1" x14ac:dyDescent="0.35">
      <c r="L20" s="56"/>
    </row>
    <row r="21" spans="1:13" ht="74.25" customHeight="1" x14ac:dyDescent="0.35">
      <c r="L21" s="56"/>
    </row>
    <row r="22" spans="1:13" s="54" customFormat="1" ht="74.25" customHeight="1" x14ac:dyDescent="0.35">
      <c r="A22" s="2"/>
      <c r="B22" s="52"/>
      <c r="C22" s="2"/>
      <c r="D22" s="2"/>
      <c r="E22" s="59" t="s">
        <v>21</v>
      </c>
      <c r="G22" s="55"/>
      <c r="I22" s="53"/>
      <c r="J22" s="53"/>
      <c r="K22" s="53"/>
      <c r="L22" s="56"/>
      <c r="M22" s="57"/>
    </row>
    <row r="23" spans="1:13" ht="74.25" customHeight="1" x14ac:dyDescent="0.35">
      <c r="L23" s="56"/>
    </row>
    <row r="24" spans="1:13" ht="74.25" customHeight="1" x14ac:dyDescent="0.35">
      <c r="L24" s="56"/>
    </row>
    <row r="25" spans="1:13" s="10" customFormat="1" ht="74.25" customHeight="1" x14ac:dyDescent="0.35">
      <c r="A25" s="2"/>
      <c r="B25" s="52"/>
      <c r="C25" s="2"/>
      <c r="D25" s="2"/>
      <c r="E25" s="53"/>
      <c r="F25" s="54"/>
      <c r="G25" s="54"/>
      <c r="H25" s="55"/>
      <c r="I25" s="53"/>
      <c r="J25" s="53"/>
      <c r="K25" s="53"/>
      <c r="L25" s="56"/>
      <c r="M25" s="57"/>
    </row>
    <row r="26" spans="1:13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</row>
    <row r="27" spans="1:13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</row>
    <row r="28" spans="1:13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</row>
    <row r="29" spans="1:13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</row>
    <row r="30" spans="1:13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</row>
    <row r="31" spans="1:13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</row>
    <row r="32" spans="1:13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</row>
    <row r="33" spans="1:13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</row>
    <row r="34" spans="1:13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</row>
    <row r="35" spans="1:13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</row>
    <row r="36" spans="1:13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</row>
    <row r="37" spans="1:13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</row>
    <row r="38" spans="1:13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</row>
    <row r="39" spans="1:13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</row>
    <row r="40" spans="1:13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</row>
    <row r="41" spans="1:13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</row>
    <row r="42" spans="1:13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</row>
    <row r="43" spans="1:13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</row>
    <row r="44" spans="1:13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</row>
    <row r="45" spans="1:13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</row>
    <row r="46" spans="1:13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</row>
    <row r="47" spans="1:13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</row>
    <row r="48" spans="1:13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</row>
    <row r="49" spans="1:13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</row>
    <row r="50" spans="1:13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</row>
    <row r="51" spans="1:13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</row>
    <row r="52" spans="1:13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</row>
    <row r="661" spans="1:13" s="54" customFormat="1" ht="74.25" customHeight="1" x14ac:dyDescent="0.35">
      <c r="A661" s="2"/>
      <c r="B661" s="52"/>
      <c r="C661" s="2"/>
      <c r="D661" s="2"/>
      <c r="E661" s="60"/>
      <c r="H661" s="55"/>
      <c r="I661" s="53"/>
      <c r="J661" s="53"/>
      <c r="K661" s="53"/>
      <c r="L661" s="61"/>
      <c r="M661" s="57"/>
    </row>
  </sheetData>
  <protectedRanges>
    <protectedRange algorithmName="SHA-512" hashValue="e1FOu1UlwA7reaiyQlEGzbU6dAFPyHPlKfgo6VzFBBobawyOfUsh2c/+wjC8bICpcXVPmRerMGA9+qKsw5p7Iw==" saltValue="UD2tVZrxqZTGI3vDzMBrHw==" spinCount="100000" sqref="E3:E17" name="Range1_1"/>
  </protectedRanges>
  <autoFilter ref="A2:M18" xr:uid="{E2BC4C4A-3703-4A99-A30B-53817C3A378F}">
    <filterColumn colId="3">
      <filters blank="1">
        <filter val="PVN-003672"/>
      </filters>
    </filterColumn>
  </autoFilter>
  <mergeCells count="1">
    <mergeCell ref="D1:F1"/>
  </mergeCells>
  <conditionalFormatting sqref="A2">
    <cfRule type="duplicateValues" dxfId="12" priority="4"/>
  </conditionalFormatting>
  <conditionalFormatting sqref="A3:A17">
    <cfRule type="duplicateValues" dxfId="11" priority="6"/>
  </conditionalFormatting>
  <conditionalFormatting sqref="A20:A1048576">
    <cfRule type="duplicateValues" dxfId="10" priority="5"/>
  </conditionalFormatting>
  <conditionalFormatting sqref="C1:C1048576">
    <cfRule type="duplicateValues" dxfId="9" priority="1"/>
    <cfRule type="duplicateValues" dxfId="8" priority="2"/>
  </conditionalFormatting>
  <conditionalFormatting sqref="I2:M2">
    <cfRule type="duplicateValues" dxfId="7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8" max="15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73554-5D10-4DAD-82DE-3915D53AF901}">
  <sheetPr filterMode="1"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E10" sqref="E10:L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62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46182.483680439815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11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515</v>
      </c>
      <c r="B3" s="18" t="s">
        <v>516</v>
      </c>
      <c r="C3" s="19" t="s">
        <v>202</v>
      </c>
      <c r="D3" s="20" t="s">
        <v>203</v>
      </c>
      <c r="E3" s="21" t="s">
        <v>204</v>
      </c>
      <c r="F3" s="22">
        <v>40</v>
      </c>
      <c r="G3" s="23">
        <v>2</v>
      </c>
      <c r="H3" s="24">
        <v>2</v>
      </c>
      <c r="I3" s="25" t="s">
        <v>151</v>
      </c>
      <c r="J3" s="25" t="s">
        <v>27</v>
      </c>
      <c r="K3" s="25" t="s">
        <v>300</v>
      </c>
      <c r="L3" s="26">
        <v>5</v>
      </c>
      <c r="M3" s="27"/>
      <c r="N3" s="28">
        <v>46185</v>
      </c>
    </row>
    <row r="4" spans="1:14" s="3" customFormat="1" ht="70" customHeight="1" x14ac:dyDescent="0.35">
      <c r="A4" s="17" t="s">
        <v>517</v>
      </c>
      <c r="B4" s="18" t="s">
        <v>518</v>
      </c>
      <c r="C4" s="19" t="s">
        <v>202</v>
      </c>
      <c r="D4" s="20" t="s">
        <v>519</v>
      </c>
      <c r="E4" s="21" t="s">
        <v>520</v>
      </c>
      <c r="F4" s="22">
        <v>70</v>
      </c>
      <c r="G4" s="23">
        <v>3</v>
      </c>
      <c r="H4" s="24">
        <v>3</v>
      </c>
      <c r="I4" s="25" t="s">
        <v>151</v>
      </c>
      <c r="J4" s="25" t="s">
        <v>27</v>
      </c>
      <c r="K4" s="25" t="s">
        <v>28</v>
      </c>
      <c r="L4" s="26"/>
      <c r="M4" s="27"/>
      <c r="N4" s="28">
        <v>46185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76"/>
    </row>
    <row r="6" spans="1:14" s="3" customFormat="1" ht="70" customHeight="1" x14ac:dyDescent="0.35">
      <c r="A6" s="17" t="s">
        <v>521</v>
      </c>
      <c r="B6" s="18" t="s">
        <v>522</v>
      </c>
      <c r="C6" s="19" t="s">
        <v>296</v>
      </c>
      <c r="D6" s="20" t="s">
        <v>297</v>
      </c>
      <c r="E6" s="21" t="s">
        <v>298</v>
      </c>
      <c r="F6" s="22">
        <v>50</v>
      </c>
      <c r="G6" s="23">
        <v>2</v>
      </c>
      <c r="H6" s="24">
        <v>2</v>
      </c>
      <c r="I6" s="25" t="s">
        <v>151</v>
      </c>
      <c r="J6" s="25" t="s">
        <v>27</v>
      </c>
      <c r="K6" s="25" t="s">
        <v>300</v>
      </c>
      <c r="L6" s="26">
        <v>2</v>
      </c>
      <c r="M6" s="40"/>
      <c r="N6" s="28">
        <v>46185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76"/>
    </row>
    <row r="8" spans="1:14" s="3" customFormat="1" ht="70" customHeight="1" x14ac:dyDescent="0.35">
      <c r="A8" s="17" t="s">
        <v>523</v>
      </c>
      <c r="B8" s="18" t="s">
        <v>524</v>
      </c>
      <c r="C8" s="19" t="s">
        <v>525</v>
      </c>
      <c r="D8" s="20" t="s">
        <v>526</v>
      </c>
      <c r="E8" s="21" t="s">
        <v>527</v>
      </c>
      <c r="F8" s="22">
        <v>30</v>
      </c>
      <c r="G8" s="23">
        <v>2</v>
      </c>
      <c r="H8" s="24">
        <v>2</v>
      </c>
      <c r="I8" s="25" t="s">
        <v>151</v>
      </c>
      <c r="J8" s="25" t="s">
        <v>27</v>
      </c>
      <c r="K8" s="25" t="s">
        <v>300</v>
      </c>
      <c r="L8" s="26">
        <v>2</v>
      </c>
      <c r="M8" s="27"/>
      <c r="N8" s="28">
        <v>46185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76"/>
    </row>
    <row r="10" spans="1:14" s="3" customFormat="1" ht="70" customHeight="1" x14ac:dyDescent="0.35">
      <c r="A10" s="17" t="s">
        <v>528</v>
      </c>
      <c r="B10" s="18" t="s">
        <v>529</v>
      </c>
      <c r="C10" s="19" t="s">
        <v>530</v>
      </c>
      <c r="D10" s="20" t="s">
        <v>531</v>
      </c>
      <c r="E10" s="21" t="s">
        <v>532</v>
      </c>
      <c r="F10" s="22">
        <v>20</v>
      </c>
      <c r="G10" s="23">
        <v>2</v>
      </c>
      <c r="H10" s="24">
        <v>2</v>
      </c>
      <c r="I10" s="25" t="s">
        <v>533</v>
      </c>
      <c r="J10" s="25" t="s">
        <v>27</v>
      </c>
      <c r="K10" s="25" t="s">
        <v>59</v>
      </c>
      <c r="L10" s="26">
        <v>2</v>
      </c>
      <c r="M10" s="27"/>
      <c r="N10" s="28">
        <v>46185</v>
      </c>
    </row>
    <row r="11" spans="1:14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8-1016"/>
        <filter val="RPRO-260608-1017"/>
        <filter val="RPRO-260608-1018"/>
        <filter val="RPRO-260608-1019"/>
        <filter val="RPRO-260608-1020"/>
      </filters>
    </filterColumn>
  </autoFilter>
  <mergeCells count="1">
    <mergeCell ref="D1:F1"/>
  </mergeCells>
  <conditionalFormatting sqref="A2">
    <cfRule type="duplicateValues" dxfId="6" priority="5"/>
  </conditionalFormatting>
  <conditionalFormatting sqref="A3:A20">
    <cfRule type="duplicateValues" dxfId="5" priority="7"/>
  </conditionalFormatting>
  <conditionalFormatting sqref="A23:A1048576">
    <cfRule type="duplicateValues" dxfId="4" priority="6"/>
  </conditionalFormatting>
  <conditionalFormatting sqref="C1:C1048576">
    <cfRule type="duplicateValues" dxfId="3" priority="1"/>
    <cfRule type="duplicateValues" dxfId="2" priority="2"/>
  </conditionalFormatting>
  <conditionalFormatting sqref="I2:M2">
    <cfRule type="duplicateValues" dxfId="1" priority="4"/>
  </conditionalFormatting>
  <conditionalFormatting sqref="N1">
    <cfRule type="duplicateValues" dxfId="0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1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30</vt:i4>
      </vt:variant>
    </vt:vector>
  </HeadingPairs>
  <TitlesOfParts>
    <vt:vector size="45" baseType="lpstr">
      <vt:lpstr>13.5</vt:lpstr>
      <vt:lpstr>15.5</vt:lpstr>
      <vt:lpstr>18.5</vt:lpstr>
      <vt:lpstr>20.5</vt:lpstr>
      <vt:lpstr>21.5</vt:lpstr>
      <vt:lpstr>25.5</vt:lpstr>
      <vt:lpstr>27.5</vt:lpstr>
      <vt:lpstr>29.5 - L2</vt:lpstr>
      <vt:lpstr>1.6</vt:lpstr>
      <vt:lpstr>2.6</vt:lpstr>
      <vt:lpstr>3.6</vt:lpstr>
      <vt:lpstr>4.6</vt:lpstr>
      <vt:lpstr>5.6</vt:lpstr>
      <vt:lpstr>6.6</vt:lpstr>
      <vt:lpstr>8.6</vt:lpstr>
      <vt:lpstr>'1.6'!Print_Area</vt:lpstr>
      <vt:lpstr>'13.5'!Print_Area</vt:lpstr>
      <vt:lpstr>'15.5'!Print_Area</vt:lpstr>
      <vt:lpstr>'18.5'!Print_Area</vt:lpstr>
      <vt:lpstr>'2.6'!Print_Area</vt:lpstr>
      <vt:lpstr>'20.5'!Print_Area</vt:lpstr>
      <vt:lpstr>'21.5'!Print_Area</vt:lpstr>
      <vt:lpstr>'25.5'!Print_Area</vt:lpstr>
      <vt:lpstr>'27.5'!Print_Area</vt:lpstr>
      <vt:lpstr>'29.5 - L2'!Print_Area</vt:lpstr>
      <vt:lpstr>'3.6'!Print_Area</vt:lpstr>
      <vt:lpstr>'4.6'!Print_Area</vt:lpstr>
      <vt:lpstr>'5.6'!Print_Area</vt:lpstr>
      <vt:lpstr>'6.6'!Print_Area</vt:lpstr>
      <vt:lpstr>'8.6'!Print_Area</vt:lpstr>
      <vt:lpstr>'1.6'!Print_Titles</vt:lpstr>
      <vt:lpstr>'13.5'!Print_Titles</vt:lpstr>
      <vt:lpstr>'15.5'!Print_Titles</vt:lpstr>
      <vt:lpstr>'18.5'!Print_Titles</vt:lpstr>
      <vt:lpstr>'2.6'!Print_Titles</vt:lpstr>
      <vt:lpstr>'20.5'!Print_Titles</vt:lpstr>
      <vt:lpstr>'21.5'!Print_Titles</vt:lpstr>
      <vt:lpstr>'25.5'!Print_Titles</vt:lpstr>
      <vt:lpstr>'27.5'!Print_Titles</vt:lpstr>
      <vt:lpstr>'29.5 - L2'!Print_Titles</vt:lpstr>
      <vt:lpstr>'3.6'!Print_Titles</vt:lpstr>
      <vt:lpstr>'4.6'!Print_Titles</vt:lpstr>
      <vt:lpstr>'5.6'!Print_Titles</vt:lpstr>
      <vt:lpstr>'6.6'!Print_Titles</vt:lpstr>
      <vt:lpstr>'8.6'!Print_Titles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cp:lastPrinted>2026-05-26T02:00:50Z</cp:lastPrinted>
  <dcterms:created xsi:type="dcterms:W3CDTF">2026-05-13T09:21:12Z</dcterms:created>
  <dcterms:modified xsi:type="dcterms:W3CDTF">2026-06-09T04:37:35Z</dcterms:modified>
</cp:coreProperties>
</file>