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72" documentId="8_{C12FF075-160F-4BB4-977C-4D56BABB08BC}" xr6:coauthVersionLast="47" xr6:coauthVersionMax="47" xr10:uidLastSave="{80962CD4-88DD-4667-994F-8F71CAB5ACE7}"/>
  <bookViews>
    <workbookView xWindow="-110" yWindow="-110" windowWidth="19420" windowHeight="11500" activeTab="9" xr2:uid="{E780E912-92A1-4ADF-95B1-638FE58CE194}"/>
  </bookViews>
  <sheets>
    <sheet name="13.5" sheetId="1" r:id="rId1"/>
    <sheet name="15.5" sheetId="2" r:id="rId2"/>
    <sheet name="18.5" sheetId="3" r:id="rId3"/>
    <sheet name="20.5" sheetId="4" r:id="rId4"/>
    <sheet name="21.5" sheetId="5" r:id="rId5"/>
    <sheet name="25.5" sheetId="6" r:id="rId6"/>
    <sheet name="27.5" sheetId="7" r:id="rId7"/>
    <sheet name="29.5 - L2" sheetId="8" r:id="rId8"/>
    <sheet name="1.6" sheetId="9" r:id="rId9"/>
    <sheet name="2.6" sheetId="10" r:id="rId10"/>
  </sheets>
  <externalReferences>
    <externalReference r:id="rId11"/>
    <externalReference r:id="rId12"/>
  </externalReferences>
  <definedNames>
    <definedName name="_xlnm._FilterDatabase" localSheetId="8" hidden="1">'1.6'!$A$2:$N$21</definedName>
    <definedName name="_xlnm._FilterDatabase" localSheetId="0" hidden="1">'13.5'!$A$2:$N$21</definedName>
    <definedName name="_xlnm._FilterDatabase" localSheetId="1" hidden="1">'15.5'!$A$2:$N$24</definedName>
    <definedName name="_xlnm._FilterDatabase" localSheetId="2" hidden="1">'18.5'!$A$2:$N$3</definedName>
    <definedName name="_xlnm._FilterDatabase" localSheetId="9" hidden="1">'2.6'!$A$2:$N$24</definedName>
    <definedName name="_xlnm._FilterDatabase" localSheetId="3" hidden="1">'20.5'!$A$2:$N$26</definedName>
    <definedName name="_xlnm._FilterDatabase" localSheetId="4" hidden="1">'21.5'!$A$2:$N$19</definedName>
    <definedName name="_xlnm._FilterDatabase" localSheetId="5" hidden="1">'25.5'!$A$2:$N$22</definedName>
    <definedName name="_xlnm._FilterDatabase" localSheetId="6" hidden="1">'27.5'!$A$2:$N$22</definedName>
    <definedName name="_xlnm._FilterDatabase" localSheetId="7" hidden="1">'29.5 - L2'!$A$2:$N$25</definedName>
    <definedName name="AE" localSheetId="8">'[1]Molding-báo cáo BUn'!#REF!</definedName>
    <definedName name="AE" localSheetId="0">'[1]Molding-báo cáo BUn'!#REF!</definedName>
    <definedName name="AE" localSheetId="1">'[1]Molding-báo cáo BUn'!#REF!</definedName>
    <definedName name="AE" localSheetId="2">'[1]Molding-báo cáo BUn'!#REF!</definedName>
    <definedName name="AE" localSheetId="9">'[1]Molding-báo cáo BUn'!#REF!</definedName>
    <definedName name="AE" localSheetId="3">'[1]Molding-báo cáo BUn'!#REF!</definedName>
    <definedName name="AE" localSheetId="4">'[1]Molding-báo cáo BUn'!#REF!</definedName>
    <definedName name="AE" localSheetId="5">'[1]Molding-báo cáo BUn'!#REF!</definedName>
    <definedName name="AE" localSheetId="6">'[1]Molding-báo cáo BUn'!#REF!</definedName>
    <definedName name="AE" localSheetId="7">'[1]Molding-báo cáo BUn'!#REF!</definedName>
    <definedName name="_xlnm.Print_Area" localSheetId="8">'1.6'!$A$1:$N$21</definedName>
    <definedName name="_xlnm.Print_Area" localSheetId="0">'13.5'!$A$1:$N$21</definedName>
    <definedName name="_xlnm.Print_Area" localSheetId="1">'15.5'!$A$1:$N$24</definedName>
    <definedName name="_xlnm.Print_Area" localSheetId="2">'18.5'!$A$1:$N$29</definedName>
    <definedName name="_xlnm.Print_Area" localSheetId="9">'2.6'!$A$1:$N$24</definedName>
    <definedName name="_xlnm.Print_Area" localSheetId="3">'20.5'!$A$1:$N$26</definedName>
    <definedName name="_xlnm.Print_Area" localSheetId="4">'21.5'!$A$1:$N$19</definedName>
    <definedName name="_xlnm.Print_Area" localSheetId="5">'25.5'!$A$1:$N$22</definedName>
    <definedName name="_xlnm.Print_Area" localSheetId="6">'27.5'!$A$1:$N$22</definedName>
    <definedName name="_xlnm.Print_Area" localSheetId="7">'29.5 - L2'!$A$1:$N$25</definedName>
    <definedName name="_xlnm.Print_Titles" localSheetId="8">'1.6'!$1:$2</definedName>
    <definedName name="_xlnm.Print_Titles" localSheetId="0">'13.5'!$1:$2</definedName>
    <definedName name="_xlnm.Print_Titles" localSheetId="1">'15.5'!$1:$2</definedName>
    <definedName name="_xlnm.Print_Titles" localSheetId="2">'18.5'!$1:$2</definedName>
    <definedName name="_xlnm.Print_Titles" localSheetId="9">'2.6'!$1:$2</definedName>
    <definedName name="_xlnm.Print_Titles" localSheetId="3">'20.5'!$1:$2</definedName>
    <definedName name="_xlnm.Print_Titles" localSheetId="4">'21.5'!$1:$2</definedName>
    <definedName name="_xlnm.Print_Titles" localSheetId="5">'25.5'!$1:$2</definedName>
    <definedName name="_xlnm.Print_Titles" localSheetId="6">'27.5'!$1:$2</definedName>
    <definedName name="_xlnm.Print_Titles" localSheetId="7">'29.5 - L2'!$1:$2</definedName>
    <definedName name="Z_1811EAD5_BD80_4EFF_9596_8EF0EFF4AD2A_.wvu.FilterData" localSheetId="8" hidden="1">'1.6'!$A$2:$N$2</definedName>
    <definedName name="Z_1811EAD5_BD80_4EFF_9596_8EF0EFF4AD2A_.wvu.FilterData" localSheetId="0" hidden="1">'13.5'!$A$2:$N$2</definedName>
    <definedName name="Z_1811EAD5_BD80_4EFF_9596_8EF0EFF4AD2A_.wvu.FilterData" localSheetId="1" hidden="1">'15.5'!$A$2:$N$2</definedName>
    <definedName name="Z_1811EAD5_BD80_4EFF_9596_8EF0EFF4AD2A_.wvu.FilterData" localSheetId="2" hidden="1">'18.5'!$A$2:$N$2</definedName>
    <definedName name="Z_1811EAD5_BD80_4EFF_9596_8EF0EFF4AD2A_.wvu.FilterData" localSheetId="9" hidden="1">'2.6'!$A$2:$N$2</definedName>
    <definedName name="Z_1811EAD5_BD80_4EFF_9596_8EF0EFF4AD2A_.wvu.FilterData" localSheetId="3" hidden="1">'20.5'!$A$2:$N$2</definedName>
    <definedName name="Z_1811EAD5_BD80_4EFF_9596_8EF0EFF4AD2A_.wvu.FilterData" localSheetId="4" hidden="1">'21.5'!$A$2:$N$2</definedName>
    <definedName name="Z_1811EAD5_BD80_4EFF_9596_8EF0EFF4AD2A_.wvu.FilterData" localSheetId="5" hidden="1">'25.5'!$A$2:$N$2</definedName>
    <definedName name="Z_1811EAD5_BD80_4EFF_9596_8EF0EFF4AD2A_.wvu.FilterData" localSheetId="6" hidden="1">'27.5'!$A$2:$N$2</definedName>
    <definedName name="Z_1811EAD5_BD80_4EFF_9596_8EF0EFF4AD2A_.wvu.FilterData" localSheetId="7" hidden="1">'29.5 - L2'!$A$2:$N$2</definedName>
    <definedName name="Z_1811EAD5_BD80_4EFF_9596_8EF0EFF4AD2A_.wvu.PrintTitles" localSheetId="8" hidden="1">'1.6'!$1:$2</definedName>
    <definedName name="Z_1811EAD5_BD80_4EFF_9596_8EF0EFF4AD2A_.wvu.PrintTitles" localSheetId="0" hidden="1">'13.5'!$1:$2</definedName>
    <definedName name="Z_1811EAD5_BD80_4EFF_9596_8EF0EFF4AD2A_.wvu.PrintTitles" localSheetId="1" hidden="1">'15.5'!$1:$2</definedName>
    <definedName name="Z_1811EAD5_BD80_4EFF_9596_8EF0EFF4AD2A_.wvu.PrintTitles" localSheetId="2" hidden="1">'18.5'!$1:$2</definedName>
    <definedName name="Z_1811EAD5_BD80_4EFF_9596_8EF0EFF4AD2A_.wvu.PrintTitles" localSheetId="9" hidden="1">'2.6'!$1:$2</definedName>
    <definedName name="Z_1811EAD5_BD80_4EFF_9596_8EF0EFF4AD2A_.wvu.PrintTitles" localSheetId="3" hidden="1">'20.5'!$1:$2</definedName>
    <definedName name="Z_1811EAD5_BD80_4EFF_9596_8EF0EFF4AD2A_.wvu.PrintTitles" localSheetId="4" hidden="1">'21.5'!$1:$2</definedName>
    <definedName name="Z_1811EAD5_BD80_4EFF_9596_8EF0EFF4AD2A_.wvu.PrintTitles" localSheetId="5" hidden="1">'25.5'!$1:$2</definedName>
    <definedName name="Z_1811EAD5_BD80_4EFF_9596_8EF0EFF4AD2A_.wvu.PrintTitles" localSheetId="6" hidden="1">'27.5'!$1:$2</definedName>
    <definedName name="Z_1811EAD5_BD80_4EFF_9596_8EF0EFF4AD2A_.wvu.PrintTitles" localSheetId="7" hidden="1">'29.5 - L2'!$1:$2</definedName>
    <definedName name="Z_18A7E0A3_1642_489C_8130_3CC9FF80B04E_.wvu.FilterData" localSheetId="8" hidden="1">'1.6'!$B$2:$M$2</definedName>
    <definedName name="Z_18A7E0A3_1642_489C_8130_3CC9FF80B04E_.wvu.FilterData" localSheetId="0" hidden="1">'13.5'!$B$2:$M$2</definedName>
    <definedName name="Z_18A7E0A3_1642_489C_8130_3CC9FF80B04E_.wvu.FilterData" localSheetId="1" hidden="1">'15.5'!$B$2:$M$2</definedName>
    <definedName name="Z_18A7E0A3_1642_489C_8130_3CC9FF80B04E_.wvu.FilterData" localSheetId="2" hidden="1">'18.5'!$B$2:$M$2</definedName>
    <definedName name="Z_18A7E0A3_1642_489C_8130_3CC9FF80B04E_.wvu.FilterData" localSheetId="9" hidden="1">'2.6'!$B$2:$M$2</definedName>
    <definedName name="Z_18A7E0A3_1642_489C_8130_3CC9FF80B04E_.wvu.FilterData" localSheetId="3" hidden="1">'20.5'!$B$2:$M$2</definedName>
    <definedName name="Z_18A7E0A3_1642_489C_8130_3CC9FF80B04E_.wvu.FilterData" localSheetId="4" hidden="1">'21.5'!$B$2:$M$2</definedName>
    <definedName name="Z_18A7E0A3_1642_489C_8130_3CC9FF80B04E_.wvu.FilterData" localSheetId="5" hidden="1">'25.5'!$B$2:$M$2</definedName>
    <definedName name="Z_18A7E0A3_1642_489C_8130_3CC9FF80B04E_.wvu.FilterData" localSheetId="6" hidden="1">'27.5'!$B$2:$M$2</definedName>
    <definedName name="Z_18A7E0A3_1642_489C_8130_3CC9FF80B04E_.wvu.FilterData" localSheetId="7" hidden="1">'29.5 - L2'!$B$2:$M$2</definedName>
    <definedName name="Z_2653C0F9_59B0_4DB3_BD8D_CACC833527F0_.wvu.FilterData" localSheetId="8" hidden="1">'1.6'!$A$2:$N$2</definedName>
    <definedName name="Z_2653C0F9_59B0_4DB3_BD8D_CACC833527F0_.wvu.FilterData" localSheetId="0" hidden="1">'13.5'!$A$2:$N$2</definedName>
    <definedName name="Z_2653C0F9_59B0_4DB3_BD8D_CACC833527F0_.wvu.FilterData" localSheetId="1" hidden="1">'15.5'!$A$2:$N$2</definedName>
    <definedName name="Z_2653C0F9_59B0_4DB3_BD8D_CACC833527F0_.wvu.FilterData" localSheetId="2" hidden="1">'18.5'!$A$2:$N$2</definedName>
    <definedName name="Z_2653C0F9_59B0_4DB3_BD8D_CACC833527F0_.wvu.FilterData" localSheetId="9" hidden="1">'2.6'!$A$2:$N$2</definedName>
    <definedName name="Z_2653C0F9_59B0_4DB3_BD8D_CACC833527F0_.wvu.FilterData" localSheetId="3" hidden="1">'20.5'!$A$2:$N$2</definedName>
    <definedName name="Z_2653C0F9_59B0_4DB3_BD8D_CACC833527F0_.wvu.FilterData" localSheetId="4" hidden="1">'21.5'!$A$2:$N$2</definedName>
    <definedName name="Z_2653C0F9_59B0_4DB3_BD8D_CACC833527F0_.wvu.FilterData" localSheetId="5" hidden="1">'25.5'!$A$2:$N$2</definedName>
    <definedName name="Z_2653C0F9_59B0_4DB3_BD8D_CACC833527F0_.wvu.FilterData" localSheetId="6" hidden="1">'27.5'!$A$2:$N$2</definedName>
    <definedName name="Z_2653C0F9_59B0_4DB3_BD8D_CACC833527F0_.wvu.FilterData" localSheetId="7" hidden="1">'29.5 - L2'!$A$2:$N$2</definedName>
    <definedName name="Z_289C1146_6484_4C42_9E78_5D7EBC42FBCC_.wvu.FilterData" localSheetId="8" hidden="1">'1.6'!$A$2:$N$2</definedName>
    <definedName name="Z_289C1146_6484_4C42_9E78_5D7EBC42FBCC_.wvu.FilterData" localSheetId="0" hidden="1">'13.5'!$A$2:$N$2</definedName>
    <definedName name="Z_289C1146_6484_4C42_9E78_5D7EBC42FBCC_.wvu.FilterData" localSheetId="1" hidden="1">'15.5'!$A$2:$N$2</definedName>
    <definedName name="Z_289C1146_6484_4C42_9E78_5D7EBC42FBCC_.wvu.FilterData" localSheetId="2" hidden="1">'18.5'!$A$2:$N$2</definedName>
    <definedName name="Z_289C1146_6484_4C42_9E78_5D7EBC42FBCC_.wvu.FilterData" localSheetId="9" hidden="1">'2.6'!$A$2:$N$2</definedName>
    <definedName name="Z_289C1146_6484_4C42_9E78_5D7EBC42FBCC_.wvu.FilterData" localSheetId="3" hidden="1">'20.5'!$A$2:$N$2</definedName>
    <definedName name="Z_289C1146_6484_4C42_9E78_5D7EBC42FBCC_.wvu.FilterData" localSheetId="4" hidden="1">'21.5'!$A$2:$N$2</definedName>
    <definedName name="Z_289C1146_6484_4C42_9E78_5D7EBC42FBCC_.wvu.FilterData" localSheetId="5" hidden="1">'25.5'!$A$2:$N$2</definedName>
    <definedName name="Z_289C1146_6484_4C42_9E78_5D7EBC42FBCC_.wvu.FilterData" localSheetId="6" hidden="1">'27.5'!$A$2:$N$2</definedName>
    <definedName name="Z_289C1146_6484_4C42_9E78_5D7EBC42FBCC_.wvu.FilterData" localSheetId="7" hidden="1">'29.5 - L2'!$A$2:$N$2</definedName>
    <definedName name="Z_289C1146_6484_4C42_9E78_5D7EBC42FBCC_.wvu.PrintTitles" localSheetId="8" hidden="1">'1.6'!$1:$2</definedName>
    <definedName name="Z_289C1146_6484_4C42_9E78_5D7EBC42FBCC_.wvu.PrintTitles" localSheetId="0" hidden="1">'13.5'!$1:$2</definedName>
    <definedName name="Z_289C1146_6484_4C42_9E78_5D7EBC42FBCC_.wvu.PrintTitles" localSheetId="1" hidden="1">'15.5'!$1:$2</definedName>
    <definedName name="Z_289C1146_6484_4C42_9E78_5D7EBC42FBCC_.wvu.PrintTitles" localSheetId="2" hidden="1">'18.5'!$1:$2</definedName>
    <definedName name="Z_289C1146_6484_4C42_9E78_5D7EBC42FBCC_.wvu.PrintTitles" localSheetId="9" hidden="1">'2.6'!$1:$2</definedName>
    <definedName name="Z_289C1146_6484_4C42_9E78_5D7EBC42FBCC_.wvu.PrintTitles" localSheetId="3" hidden="1">'20.5'!$1:$2</definedName>
    <definedName name="Z_289C1146_6484_4C42_9E78_5D7EBC42FBCC_.wvu.PrintTitles" localSheetId="4" hidden="1">'21.5'!$1:$2</definedName>
    <definedName name="Z_289C1146_6484_4C42_9E78_5D7EBC42FBCC_.wvu.PrintTitles" localSheetId="5" hidden="1">'25.5'!$1:$2</definedName>
    <definedName name="Z_289C1146_6484_4C42_9E78_5D7EBC42FBCC_.wvu.PrintTitles" localSheetId="6" hidden="1">'27.5'!$1:$2</definedName>
    <definedName name="Z_289C1146_6484_4C42_9E78_5D7EBC42FBCC_.wvu.PrintTitles" localSheetId="7" hidden="1">'29.5 - L2'!$1:$2</definedName>
    <definedName name="Z_289C1146_6484_4C42_9E78_5D7EBC42FBCC_.wvu.Rows" localSheetId="8" hidden="1">'1.6'!#REF!</definedName>
    <definedName name="Z_289C1146_6484_4C42_9E78_5D7EBC42FBCC_.wvu.Rows" localSheetId="0" hidden="1">'13.5'!#REF!</definedName>
    <definedName name="Z_289C1146_6484_4C42_9E78_5D7EBC42FBCC_.wvu.Rows" localSheetId="1" hidden="1">'15.5'!#REF!</definedName>
    <definedName name="Z_289C1146_6484_4C42_9E78_5D7EBC42FBCC_.wvu.Rows" localSheetId="2" hidden="1">'18.5'!#REF!</definedName>
    <definedName name="Z_289C1146_6484_4C42_9E78_5D7EBC42FBCC_.wvu.Rows" localSheetId="9" hidden="1">'2.6'!#REF!</definedName>
    <definedName name="Z_289C1146_6484_4C42_9E78_5D7EBC42FBCC_.wvu.Rows" localSheetId="3" hidden="1">'20.5'!#REF!</definedName>
    <definedName name="Z_289C1146_6484_4C42_9E78_5D7EBC42FBCC_.wvu.Rows" localSheetId="4" hidden="1">'21.5'!#REF!</definedName>
    <definedName name="Z_289C1146_6484_4C42_9E78_5D7EBC42FBCC_.wvu.Rows" localSheetId="5" hidden="1">'25.5'!#REF!</definedName>
    <definedName name="Z_289C1146_6484_4C42_9E78_5D7EBC42FBCC_.wvu.Rows" localSheetId="6" hidden="1">'27.5'!#REF!</definedName>
    <definedName name="Z_289C1146_6484_4C42_9E78_5D7EBC42FBCC_.wvu.Rows" localSheetId="7" hidden="1">'29.5 - L2'!#REF!</definedName>
    <definedName name="Z_314949E3_0D3B_4560_AE70_4D3C4970782A_.wvu.FilterData" localSheetId="8" hidden="1">'1.6'!$B$2:$M$2</definedName>
    <definedName name="Z_314949E3_0D3B_4560_AE70_4D3C4970782A_.wvu.FilterData" localSheetId="0" hidden="1">'13.5'!$B$2:$M$2</definedName>
    <definedName name="Z_314949E3_0D3B_4560_AE70_4D3C4970782A_.wvu.FilterData" localSheetId="1" hidden="1">'15.5'!$B$2:$M$2</definedName>
    <definedName name="Z_314949E3_0D3B_4560_AE70_4D3C4970782A_.wvu.FilterData" localSheetId="2" hidden="1">'18.5'!$B$2:$M$2</definedName>
    <definedName name="Z_314949E3_0D3B_4560_AE70_4D3C4970782A_.wvu.FilterData" localSheetId="9" hidden="1">'2.6'!$B$2:$M$2</definedName>
    <definedName name="Z_314949E3_0D3B_4560_AE70_4D3C4970782A_.wvu.FilterData" localSheetId="3" hidden="1">'20.5'!$B$2:$M$2</definedName>
    <definedName name="Z_314949E3_0D3B_4560_AE70_4D3C4970782A_.wvu.FilterData" localSheetId="4" hidden="1">'21.5'!$B$2:$M$2</definedName>
    <definedName name="Z_314949E3_0D3B_4560_AE70_4D3C4970782A_.wvu.FilterData" localSheetId="5" hidden="1">'25.5'!$B$2:$M$2</definedName>
    <definedName name="Z_314949E3_0D3B_4560_AE70_4D3C4970782A_.wvu.FilterData" localSheetId="6" hidden="1">'27.5'!$B$2:$M$2</definedName>
    <definedName name="Z_314949E3_0D3B_4560_AE70_4D3C4970782A_.wvu.FilterData" localSheetId="7" hidden="1">'29.5 - L2'!$B$2:$M$2</definedName>
    <definedName name="Z_318C8B1E_0627_4DC9_8089_60901FDA475B_.wvu.FilterData" localSheetId="8" hidden="1">'1.6'!$B$2:$N$2</definedName>
    <definedName name="Z_318C8B1E_0627_4DC9_8089_60901FDA475B_.wvu.FilterData" localSheetId="0" hidden="1">'13.5'!$B$2:$N$2</definedName>
    <definedName name="Z_318C8B1E_0627_4DC9_8089_60901FDA475B_.wvu.FilterData" localSheetId="1" hidden="1">'15.5'!$B$2:$N$2</definedName>
    <definedName name="Z_318C8B1E_0627_4DC9_8089_60901FDA475B_.wvu.FilterData" localSheetId="2" hidden="1">'18.5'!$B$2:$N$2</definedName>
    <definedName name="Z_318C8B1E_0627_4DC9_8089_60901FDA475B_.wvu.FilterData" localSheetId="9" hidden="1">'2.6'!$B$2:$N$2</definedName>
    <definedName name="Z_318C8B1E_0627_4DC9_8089_60901FDA475B_.wvu.FilterData" localSheetId="3" hidden="1">'20.5'!$B$2:$N$2</definedName>
    <definedName name="Z_318C8B1E_0627_4DC9_8089_60901FDA475B_.wvu.FilterData" localSheetId="4" hidden="1">'21.5'!$B$2:$N$2</definedName>
    <definedName name="Z_318C8B1E_0627_4DC9_8089_60901FDA475B_.wvu.FilterData" localSheetId="5" hidden="1">'25.5'!$B$2:$N$2</definedName>
    <definedName name="Z_318C8B1E_0627_4DC9_8089_60901FDA475B_.wvu.FilterData" localSheetId="6" hidden="1">'27.5'!$B$2:$N$2</definedName>
    <definedName name="Z_318C8B1E_0627_4DC9_8089_60901FDA475B_.wvu.FilterData" localSheetId="7" hidden="1">'29.5 - L2'!$B$2:$N$2</definedName>
    <definedName name="Z_318C8B1E_0627_4DC9_8089_60901FDA475B_.wvu.PrintTitles" localSheetId="8" hidden="1">'1.6'!$1:$2</definedName>
    <definedName name="Z_318C8B1E_0627_4DC9_8089_60901FDA475B_.wvu.PrintTitles" localSheetId="0" hidden="1">'13.5'!$1:$2</definedName>
    <definedName name="Z_318C8B1E_0627_4DC9_8089_60901FDA475B_.wvu.PrintTitles" localSheetId="1" hidden="1">'15.5'!$1:$2</definedName>
    <definedName name="Z_318C8B1E_0627_4DC9_8089_60901FDA475B_.wvu.PrintTitles" localSheetId="2" hidden="1">'18.5'!$1:$2</definedName>
    <definedName name="Z_318C8B1E_0627_4DC9_8089_60901FDA475B_.wvu.PrintTitles" localSheetId="9" hidden="1">'2.6'!$1:$2</definedName>
    <definedName name="Z_318C8B1E_0627_4DC9_8089_60901FDA475B_.wvu.PrintTitles" localSheetId="3" hidden="1">'20.5'!$1:$2</definedName>
    <definedName name="Z_318C8B1E_0627_4DC9_8089_60901FDA475B_.wvu.PrintTitles" localSheetId="4" hidden="1">'21.5'!$1:$2</definedName>
    <definedName name="Z_318C8B1E_0627_4DC9_8089_60901FDA475B_.wvu.PrintTitles" localSheetId="5" hidden="1">'25.5'!$1:$2</definedName>
    <definedName name="Z_318C8B1E_0627_4DC9_8089_60901FDA475B_.wvu.PrintTitles" localSheetId="6" hidden="1">'27.5'!$1:$2</definedName>
    <definedName name="Z_318C8B1E_0627_4DC9_8089_60901FDA475B_.wvu.PrintTitles" localSheetId="7" hidden="1">'29.5 - L2'!$1:$2</definedName>
    <definedName name="Z_323B6797_06D8_47A1_B001_797373BE57F2_.wvu.FilterData" localSheetId="8" hidden="1">'1.6'!$B$2:$M$2</definedName>
    <definedName name="Z_323B6797_06D8_47A1_B001_797373BE57F2_.wvu.FilterData" localSheetId="0" hidden="1">'13.5'!$B$2:$M$2</definedName>
    <definedName name="Z_323B6797_06D8_47A1_B001_797373BE57F2_.wvu.FilterData" localSheetId="1" hidden="1">'15.5'!$B$2:$M$2</definedName>
    <definedName name="Z_323B6797_06D8_47A1_B001_797373BE57F2_.wvu.FilterData" localSheetId="2" hidden="1">'18.5'!$B$2:$M$2</definedName>
    <definedName name="Z_323B6797_06D8_47A1_B001_797373BE57F2_.wvu.FilterData" localSheetId="9" hidden="1">'2.6'!$B$2:$M$2</definedName>
    <definedName name="Z_323B6797_06D8_47A1_B001_797373BE57F2_.wvu.FilterData" localSheetId="3" hidden="1">'20.5'!$B$2:$M$2</definedName>
    <definedName name="Z_323B6797_06D8_47A1_B001_797373BE57F2_.wvu.FilterData" localSheetId="4" hidden="1">'21.5'!$B$2:$M$2</definedName>
    <definedName name="Z_323B6797_06D8_47A1_B001_797373BE57F2_.wvu.FilterData" localSheetId="5" hidden="1">'25.5'!$B$2:$M$2</definedName>
    <definedName name="Z_323B6797_06D8_47A1_B001_797373BE57F2_.wvu.FilterData" localSheetId="6" hidden="1">'27.5'!$B$2:$M$2</definedName>
    <definedName name="Z_323B6797_06D8_47A1_B001_797373BE57F2_.wvu.FilterData" localSheetId="7" hidden="1">'29.5 - L2'!$B$2:$M$2</definedName>
    <definedName name="Z_6A9DC2EA_1959_4EB9_A839_907E58591C36_.wvu.FilterData" localSheetId="8" hidden="1">'1.6'!$B$2:$M$2</definedName>
    <definedName name="Z_6A9DC2EA_1959_4EB9_A839_907E58591C36_.wvu.FilterData" localSheetId="0" hidden="1">'13.5'!$B$2:$M$2</definedName>
    <definedName name="Z_6A9DC2EA_1959_4EB9_A839_907E58591C36_.wvu.FilterData" localSheetId="1" hidden="1">'15.5'!$B$2:$M$2</definedName>
    <definedName name="Z_6A9DC2EA_1959_4EB9_A839_907E58591C36_.wvu.FilterData" localSheetId="2" hidden="1">'18.5'!$B$2:$M$2</definedName>
    <definedName name="Z_6A9DC2EA_1959_4EB9_A839_907E58591C36_.wvu.FilterData" localSheetId="9" hidden="1">'2.6'!$B$2:$M$2</definedName>
    <definedName name="Z_6A9DC2EA_1959_4EB9_A839_907E58591C36_.wvu.FilterData" localSheetId="3" hidden="1">'20.5'!$B$2:$M$2</definedName>
    <definedName name="Z_6A9DC2EA_1959_4EB9_A839_907E58591C36_.wvu.FilterData" localSheetId="4" hidden="1">'21.5'!$B$2:$M$2</definedName>
    <definedName name="Z_6A9DC2EA_1959_4EB9_A839_907E58591C36_.wvu.FilterData" localSheetId="5" hidden="1">'25.5'!$B$2:$M$2</definedName>
    <definedName name="Z_6A9DC2EA_1959_4EB9_A839_907E58591C36_.wvu.FilterData" localSheetId="6" hidden="1">'27.5'!$B$2:$M$2</definedName>
    <definedName name="Z_6A9DC2EA_1959_4EB9_A839_907E58591C36_.wvu.FilterData" localSheetId="7" hidden="1">'29.5 - L2'!$B$2:$M$2</definedName>
    <definedName name="Z_866BE165_7CE2_41D4_AD4C_D79698D432B1_.wvu.FilterData" localSheetId="8" hidden="1">'1.6'!$B$2:$M$2</definedName>
    <definedName name="Z_866BE165_7CE2_41D4_AD4C_D79698D432B1_.wvu.FilterData" localSheetId="0" hidden="1">'13.5'!$B$2:$M$2</definedName>
    <definedName name="Z_866BE165_7CE2_41D4_AD4C_D79698D432B1_.wvu.FilterData" localSheetId="1" hidden="1">'15.5'!$B$2:$M$2</definedName>
    <definedName name="Z_866BE165_7CE2_41D4_AD4C_D79698D432B1_.wvu.FilterData" localSheetId="2" hidden="1">'18.5'!$B$2:$M$2</definedName>
    <definedName name="Z_866BE165_7CE2_41D4_AD4C_D79698D432B1_.wvu.FilterData" localSheetId="9" hidden="1">'2.6'!$B$2:$M$2</definedName>
    <definedName name="Z_866BE165_7CE2_41D4_AD4C_D79698D432B1_.wvu.FilterData" localSheetId="3" hidden="1">'20.5'!$B$2:$M$2</definedName>
    <definedName name="Z_866BE165_7CE2_41D4_AD4C_D79698D432B1_.wvu.FilterData" localSheetId="4" hidden="1">'21.5'!$B$2:$M$2</definedName>
    <definedName name="Z_866BE165_7CE2_41D4_AD4C_D79698D432B1_.wvu.FilterData" localSheetId="5" hidden="1">'25.5'!$B$2:$M$2</definedName>
    <definedName name="Z_866BE165_7CE2_41D4_AD4C_D79698D432B1_.wvu.FilterData" localSheetId="6" hidden="1">'27.5'!$B$2:$M$2</definedName>
    <definedName name="Z_866BE165_7CE2_41D4_AD4C_D79698D432B1_.wvu.FilterData" localSheetId="7" hidden="1">'29.5 - L2'!$B$2:$M$2</definedName>
    <definedName name="Z_866CB300_9BE2_4E49_BCB4_72634A7939D7_.wvu.FilterData" localSheetId="8" hidden="1">'1.6'!$B$2:$N$2</definedName>
    <definedName name="Z_866CB300_9BE2_4E49_BCB4_72634A7939D7_.wvu.FilterData" localSheetId="0" hidden="1">'13.5'!$B$2:$N$2</definedName>
    <definedName name="Z_866CB300_9BE2_4E49_BCB4_72634A7939D7_.wvu.FilterData" localSheetId="1" hidden="1">'15.5'!$B$2:$N$2</definedName>
    <definedName name="Z_866CB300_9BE2_4E49_BCB4_72634A7939D7_.wvu.FilterData" localSheetId="2" hidden="1">'18.5'!$B$2:$N$2</definedName>
    <definedName name="Z_866CB300_9BE2_4E49_BCB4_72634A7939D7_.wvu.FilterData" localSheetId="9" hidden="1">'2.6'!$B$2:$N$2</definedName>
    <definedName name="Z_866CB300_9BE2_4E49_BCB4_72634A7939D7_.wvu.FilterData" localSheetId="3" hidden="1">'20.5'!$B$2:$N$2</definedName>
    <definedName name="Z_866CB300_9BE2_4E49_BCB4_72634A7939D7_.wvu.FilterData" localSheetId="4" hidden="1">'21.5'!$B$2:$N$2</definedName>
    <definedName name="Z_866CB300_9BE2_4E49_BCB4_72634A7939D7_.wvu.FilterData" localSheetId="5" hidden="1">'25.5'!$B$2:$N$2</definedName>
    <definedName name="Z_866CB300_9BE2_4E49_BCB4_72634A7939D7_.wvu.FilterData" localSheetId="6" hidden="1">'27.5'!$B$2:$N$2</definedName>
    <definedName name="Z_866CB300_9BE2_4E49_BCB4_72634A7939D7_.wvu.FilterData" localSheetId="7" hidden="1">'29.5 - L2'!$B$2:$N$2</definedName>
    <definedName name="Z_8CF255E0_B8BB_4016_A366_4FCF106965CF_.wvu.FilterData" localSheetId="8" hidden="1">'1.6'!$A$2:$N$2</definedName>
    <definedName name="Z_8CF255E0_B8BB_4016_A366_4FCF106965CF_.wvu.FilterData" localSheetId="0" hidden="1">'13.5'!$A$2:$N$2</definedName>
    <definedName name="Z_8CF255E0_B8BB_4016_A366_4FCF106965CF_.wvu.FilterData" localSheetId="1" hidden="1">'15.5'!$A$2:$N$2</definedName>
    <definedName name="Z_8CF255E0_B8BB_4016_A366_4FCF106965CF_.wvu.FilterData" localSheetId="2" hidden="1">'18.5'!$A$2:$N$2</definedName>
    <definedName name="Z_8CF255E0_B8BB_4016_A366_4FCF106965CF_.wvu.FilterData" localSheetId="9" hidden="1">'2.6'!$A$2:$N$2</definedName>
    <definedName name="Z_8CF255E0_B8BB_4016_A366_4FCF106965CF_.wvu.FilterData" localSheetId="3" hidden="1">'20.5'!$A$2:$N$2</definedName>
    <definedName name="Z_8CF255E0_B8BB_4016_A366_4FCF106965CF_.wvu.FilterData" localSheetId="4" hidden="1">'21.5'!$A$2:$N$2</definedName>
    <definedName name="Z_8CF255E0_B8BB_4016_A366_4FCF106965CF_.wvu.FilterData" localSheetId="5" hidden="1">'25.5'!$A$2:$N$2</definedName>
    <definedName name="Z_8CF255E0_B8BB_4016_A366_4FCF106965CF_.wvu.FilterData" localSheetId="6" hidden="1">'27.5'!$A$2:$N$2</definedName>
    <definedName name="Z_8CF255E0_B8BB_4016_A366_4FCF106965CF_.wvu.FilterData" localSheetId="7" hidden="1">'29.5 - L2'!$A$2:$N$2</definedName>
    <definedName name="Z_A4A1FC39_A54C_43AC_9912_8824EB6833F5_.wvu.FilterData" localSheetId="8" hidden="1">'1.6'!$A$2:$N$2</definedName>
    <definedName name="Z_A4A1FC39_A54C_43AC_9912_8824EB6833F5_.wvu.FilterData" localSheetId="0" hidden="1">'13.5'!$A$2:$N$2</definedName>
    <definedName name="Z_A4A1FC39_A54C_43AC_9912_8824EB6833F5_.wvu.FilterData" localSheetId="1" hidden="1">'15.5'!$A$2:$N$2</definedName>
    <definedName name="Z_A4A1FC39_A54C_43AC_9912_8824EB6833F5_.wvu.FilterData" localSheetId="2" hidden="1">'18.5'!$A$2:$N$2</definedName>
    <definedName name="Z_A4A1FC39_A54C_43AC_9912_8824EB6833F5_.wvu.FilterData" localSheetId="9" hidden="1">'2.6'!$A$2:$N$2</definedName>
    <definedName name="Z_A4A1FC39_A54C_43AC_9912_8824EB6833F5_.wvu.FilterData" localSheetId="3" hidden="1">'20.5'!$A$2:$N$2</definedName>
    <definedName name="Z_A4A1FC39_A54C_43AC_9912_8824EB6833F5_.wvu.FilterData" localSheetId="4" hidden="1">'21.5'!$A$2:$N$2</definedName>
    <definedName name="Z_A4A1FC39_A54C_43AC_9912_8824EB6833F5_.wvu.FilterData" localSheetId="5" hidden="1">'25.5'!$A$2:$N$2</definedName>
    <definedName name="Z_A4A1FC39_A54C_43AC_9912_8824EB6833F5_.wvu.FilterData" localSheetId="6" hidden="1">'27.5'!$A$2:$N$2</definedName>
    <definedName name="Z_A4A1FC39_A54C_43AC_9912_8824EB6833F5_.wvu.FilterData" localSheetId="7" hidden="1">'29.5 - L2'!$A$2:$N$2</definedName>
    <definedName name="Z_AF6B2EAC_2950_4809_A605_2107D254FC8D_.wvu.FilterData" localSheetId="8" hidden="1">'1.6'!$B$2:$N$2</definedName>
    <definedName name="Z_AF6B2EAC_2950_4809_A605_2107D254FC8D_.wvu.FilterData" localSheetId="0" hidden="1">'13.5'!$B$2:$N$2</definedName>
    <definedName name="Z_AF6B2EAC_2950_4809_A605_2107D254FC8D_.wvu.FilterData" localSheetId="1" hidden="1">'15.5'!$B$2:$N$2</definedName>
    <definedName name="Z_AF6B2EAC_2950_4809_A605_2107D254FC8D_.wvu.FilterData" localSheetId="2" hidden="1">'18.5'!$B$2:$N$2</definedName>
    <definedName name="Z_AF6B2EAC_2950_4809_A605_2107D254FC8D_.wvu.FilterData" localSheetId="9" hidden="1">'2.6'!$B$2:$N$2</definedName>
    <definedName name="Z_AF6B2EAC_2950_4809_A605_2107D254FC8D_.wvu.FilterData" localSheetId="3" hidden="1">'20.5'!$B$2:$N$2</definedName>
    <definedName name="Z_AF6B2EAC_2950_4809_A605_2107D254FC8D_.wvu.FilterData" localSheetId="4" hidden="1">'21.5'!$B$2:$N$2</definedName>
    <definedName name="Z_AF6B2EAC_2950_4809_A605_2107D254FC8D_.wvu.FilterData" localSheetId="5" hidden="1">'25.5'!$B$2:$N$2</definedName>
    <definedName name="Z_AF6B2EAC_2950_4809_A605_2107D254FC8D_.wvu.FilterData" localSheetId="6" hidden="1">'27.5'!$B$2:$N$2</definedName>
    <definedName name="Z_AF6B2EAC_2950_4809_A605_2107D254FC8D_.wvu.FilterData" localSheetId="7" hidden="1">'29.5 - L2'!$B$2:$N$2</definedName>
    <definedName name="Z_AF6B2EAC_2950_4809_A605_2107D254FC8D_.wvu.PrintTitles" localSheetId="8" hidden="1">'1.6'!$1:$2</definedName>
    <definedName name="Z_AF6B2EAC_2950_4809_A605_2107D254FC8D_.wvu.PrintTitles" localSheetId="0" hidden="1">'13.5'!$1:$2</definedName>
    <definedName name="Z_AF6B2EAC_2950_4809_A605_2107D254FC8D_.wvu.PrintTitles" localSheetId="1" hidden="1">'15.5'!$1:$2</definedName>
    <definedName name="Z_AF6B2EAC_2950_4809_A605_2107D254FC8D_.wvu.PrintTitles" localSheetId="2" hidden="1">'18.5'!$1:$2</definedName>
    <definedName name="Z_AF6B2EAC_2950_4809_A605_2107D254FC8D_.wvu.PrintTitles" localSheetId="9" hidden="1">'2.6'!$1:$2</definedName>
    <definedName name="Z_AF6B2EAC_2950_4809_A605_2107D254FC8D_.wvu.PrintTitles" localSheetId="3" hidden="1">'20.5'!$1:$2</definedName>
    <definedName name="Z_AF6B2EAC_2950_4809_A605_2107D254FC8D_.wvu.PrintTitles" localSheetId="4" hidden="1">'21.5'!$1:$2</definedName>
    <definedName name="Z_AF6B2EAC_2950_4809_A605_2107D254FC8D_.wvu.PrintTitles" localSheetId="5" hidden="1">'25.5'!$1:$2</definedName>
    <definedName name="Z_AF6B2EAC_2950_4809_A605_2107D254FC8D_.wvu.PrintTitles" localSheetId="6" hidden="1">'27.5'!$1:$2</definedName>
    <definedName name="Z_AF6B2EAC_2950_4809_A605_2107D254FC8D_.wvu.PrintTitles" localSheetId="7" hidden="1">'29.5 - L2'!$1:$2</definedName>
    <definedName name="Z_CA92E8A2_92C9_4575_A139_6FE5DA69269F_.wvu.FilterData" localSheetId="8" hidden="1">'1.6'!$B$2:$M$2</definedName>
    <definedName name="Z_CA92E8A2_92C9_4575_A139_6FE5DA69269F_.wvu.FilterData" localSheetId="0" hidden="1">'13.5'!$B$2:$M$2</definedName>
    <definedName name="Z_CA92E8A2_92C9_4575_A139_6FE5DA69269F_.wvu.FilterData" localSheetId="1" hidden="1">'15.5'!$B$2:$M$2</definedName>
    <definedName name="Z_CA92E8A2_92C9_4575_A139_6FE5DA69269F_.wvu.FilterData" localSheetId="2" hidden="1">'18.5'!$B$2:$M$2</definedName>
    <definedName name="Z_CA92E8A2_92C9_4575_A139_6FE5DA69269F_.wvu.FilterData" localSheetId="9" hidden="1">'2.6'!$B$2:$M$2</definedName>
    <definedName name="Z_CA92E8A2_92C9_4575_A139_6FE5DA69269F_.wvu.FilterData" localSheetId="3" hidden="1">'20.5'!$B$2:$M$2</definedName>
    <definedName name="Z_CA92E8A2_92C9_4575_A139_6FE5DA69269F_.wvu.FilterData" localSheetId="4" hidden="1">'21.5'!$B$2:$M$2</definedName>
    <definedName name="Z_CA92E8A2_92C9_4575_A139_6FE5DA69269F_.wvu.FilterData" localSheetId="5" hidden="1">'25.5'!$B$2:$M$2</definedName>
    <definedName name="Z_CA92E8A2_92C9_4575_A139_6FE5DA69269F_.wvu.FilterData" localSheetId="6" hidden="1">'27.5'!$B$2:$M$2</definedName>
    <definedName name="Z_CA92E8A2_92C9_4575_A139_6FE5DA69269F_.wvu.FilterData" localSheetId="7" hidden="1">'29.5 - L2'!$B$2:$M$2</definedName>
    <definedName name="Z_DF644A2B_B913_48D6_B430_E57F3B482B79_.wvu.FilterData" localSheetId="8" hidden="1">'1.6'!$A$2:$N$2</definedName>
    <definedName name="Z_DF644A2B_B913_48D6_B430_E57F3B482B79_.wvu.FilterData" localSheetId="0" hidden="1">'13.5'!$A$2:$N$2</definedName>
    <definedName name="Z_DF644A2B_B913_48D6_B430_E57F3B482B79_.wvu.FilterData" localSheetId="1" hidden="1">'15.5'!$A$2:$N$2</definedName>
    <definedName name="Z_DF644A2B_B913_48D6_B430_E57F3B482B79_.wvu.FilterData" localSheetId="2" hidden="1">'18.5'!$A$2:$N$2</definedName>
    <definedName name="Z_DF644A2B_B913_48D6_B430_E57F3B482B79_.wvu.FilterData" localSheetId="9" hidden="1">'2.6'!$A$2:$N$2</definedName>
    <definedName name="Z_DF644A2B_B913_48D6_B430_E57F3B482B79_.wvu.FilterData" localSheetId="3" hidden="1">'20.5'!$A$2:$N$2</definedName>
    <definedName name="Z_DF644A2B_B913_48D6_B430_E57F3B482B79_.wvu.FilterData" localSheetId="4" hidden="1">'21.5'!$A$2:$N$2</definedName>
    <definedName name="Z_DF644A2B_B913_48D6_B430_E57F3B482B79_.wvu.FilterData" localSheetId="5" hidden="1">'25.5'!$A$2:$N$2</definedName>
    <definedName name="Z_DF644A2B_B913_48D6_B430_E57F3B482B79_.wvu.FilterData" localSheetId="6" hidden="1">'27.5'!$A$2:$N$2</definedName>
    <definedName name="Z_DF644A2B_B913_48D6_B430_E57F3B482B79_.wvu.FilterData" localSheetId="7" hidden="1">'29.5 - L2'!$A$2:$N$2</definedName>
    <definedName name="Z_DF644A2B_B913_48D6_B430_E57F3B482B79_.wvu.PrintTitles" localSheetId="8" hidden="1">'1.6'!$1:$2</definedName>
    <definedName name="Z_DF644A2B_B913_48D6_B430_E57F3B482B79_.wvu.PrintTitles" localSheetId="0" hidden="1">'13.5'!$1:$2</definedName>
    <definedName name="Z_DF644A2B_B913_48D6_B430_E57F3B482B79_.wvu.PrintTitles" localSheetId="1" hidden="1">'15.5'!$1:$2</definedName>
    <definedName name="Z_DF644A2B_B913_48D6_B430_E57F3B482B79_.wvu.PrintTitles" localSheetId="2" hidden="1">'18.5'!$1:$2</definedName>
    <definedName name="Z_DF644A2B_B913_48D6_B430_E57F3B482B79_.wvu.PrintTitles" localSheetId="9" hidden="1">'2.6'!$1:$2</definedName>
    <definedName name="Z_DF644A2B_B913_48D6_B430_E57F3B482B79_.wvu.PrintTitles" localSheetId="3" hidden="1">'20.5'!$1:$2</definedName>
    <definedName name="Z_DF644A2B_B913_48D6_B430_E57F3B482B79_.wvu.PrintTitles" localSheetId="4" hidden="1">'21.5'!$1:$2</definedName>
    <definedName name="Z_DF644A2B_B913_48D6_B430_E57F3B482B79_.wvu.PrintTitles" localSheetId="5" hidden="1">'25.5'!$1:$2</definedName>
    <definedName name="Z_DF644A2B_B913_48D6_B430_E57F3B482B79_.wvu.PrintTitles" localSheetId="6" hidden="1">'27.5'!$1:$2</definedName>
    <definedName name="Z_DF644A2B_B913_48D6_B430_E57F3B482B79_.wvu.PrintTitles" localSheetId="7" hidden="1">'29.5 - L2'!$1:$2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10" l="1"/>
  <c r="K23" i="10"/>
  <c r="J23" i="10"/>
  <c r="I23" i="10"/>
  <c r="H23" i="10"/>
  <c r="G23" i="10"/>
  <c r="F23" i="10"/>
  <c r="E23" i="10"/>
  <c r="D23" i="10"/>
  <c r="C23" i="10"/>
  <c r="B23" i="10"/>
  <c r="N22" i="10"/>
  <c r="K22" i="10"/>
  <c r="J22" i="10"/>
  <c r="I22" i="10"/>
  <c r="H22" i="10"/>
  <c r="G22" i="10"/>
  <c r="F22" i="10"/>
  <c r="E22" i="10"/>
  <c r="D22" i="10"/>
  <c r="C22" i="10"/>
  <c r="B22" i="10"/>
  <c r="N21" i="10"/>
  <c r="K21" i="10"/>
  <c r="J21" i="10"/>
  <c r="I21" i="10"/>
  <c r="H21" i="10"/>
  <c r="G21" i="10"/>
  <c r="F21" i="10"/>
  <c r="E21" i="10"/>
  <c r="D21" i="10"/>
  <c r="C21" i="10"/>
  <c r="B21" i="10"/>
  <c r="N20" i="10"/>
  <c r="K20" i="10"/>
  <c r="J20" i="10"/>
  <c r="I20" i="10"/>
  <c r="H20" i="10"/>
  <c r="G20" i="10"/>
  <c r="F20" i="10"/>
  <c r="E20" i="10"/>
  <c r="D20" i="10"/>
  <c r="C20" i="10"/>
  <c r="B20" i="10"/>
  <c r="N19" i="10"/>
  <c r="K19" i="10"/>
  <c r="J19" i="10"/>
  <c r="I19" i="10"/>
  <c r="H19" i="10"/>
  <c r="G19" i="10"/>
  <c r="F19" i="10"/>
  <c r="E19" i="10"/>
  <c r="D19" i="10"/>
  <c r="C19" i="10"/>
  <c r="B19" i="10"/>
  <c r="N18" i="10"/>
  <c r="K18" i="10"/>
  <c r="J18" i="10"/>
  <c r="I18" i="10"/>
  <c r="H18" i="10"/>
  <c r="G18" i="10"/>
  <c r="F18" i="10"/>
  <c r="E18" i="10"/>
  <c r="D18" i="10"/>
  <c r="C18" i="10"/>
  <c r="B18" i="10"/>
  <c r="N17" i="10"/>
  <c r="K17" i="10"/>
  <c r="J17" i="10"/>
  <c r="I17" i="10"/>
  <c r="H17" i="10"/>
  <c r="G17" i="10"/>
  <c r="F17" i="10"/>
  <c r="E17" i="10"/>
  <c r="D17" i="10"/>
  <c r="C17" i="10"/>
  <c r="B17" i="10"/>
  <c r="L1" i="10"/>
  <c r="B1" i="10"/>
  <c r="N20" i="9"/>
  <c r="K20" i="9"/>
  <c r="J20" i="9"/>
  <c r="I20" i="9"/>
  <c r="H20" i="9"/>
  <c r="G20" i="9"/>
  <c r="F20" i="9"/>
  <c r="E20" i="9"/>
  <c r="D20" i="9"/>
  <c r="C20" i="9"/>
  <c r="B20" i="9"/>
  <c r="N19" i="9"/>
  <c r="K19" i="9"/>
  <c r="J19" i="9"/>
  <c r="I19" i="9"/>
  <c r="H19" i="9"/>
  <c r="G19" i="9"/>
  <c r="F19" i="9"/>
  <c r="E19" i="9"/>
  <c r="D19" i="9"/>
  <c r="C19" i="9"/>
  <c r="B19" i="9"/>
  <c r="N18" i="9"/>
  <c r="K18" i="9"/>
  <c r="J18" i="9"/>
  <c r="I18" i="9"/>
  <c r="H18" i="9"/>
  <c r="G18" i="9"/>
  <c r="F18" i="9"/>
  <c r="E18" i="9"/>
  <c r="D18" i="9"/>
  <c r="C18" i="9"/>
  <c r="B18" i="9"/>
  <c r="N17" i="9"/>
  <c r="K17" i="9"/>
  <c r="J17" i="9"/>
  <c r="I17" i="9"/>
  <c r="H17" i="9"/>
  <c r="G17" i="9"/>
  <c r="F17" i="9"/>
  <c r="E17" i="9"/>
  <c r="D17" i="9"/>
  <c r="C17" i="9"/>
  <c r="B17" i="9"/>
  <c r="N16" i="9"/>
  <c r="K16" i="9"/>
  <c r="J16" i="9"/>
  <c r="I16" i="9"/>
  <c r="H16" i="9"/>
  <c r="G16" i="9"/>
  <c r="F16" i="9"/>
  <c r="E16" i="9"/>
  <c r="D16" i="9"/>
  <c r="C16" i="9"/>
  <c r="B16" i="9"/>
  <c r="N15" i="9"/>
  <c r="K15" i="9"/>
  <c r="J15" i="9"/>
  <c r="I15" i="9"/>
  <c r="H15" i="9"/>
  <c r="G15" i="9"/>
  <c r="F15" i="9"/>
  <c r="E15" i="9"/>
  <c r="D15" i="9"/>
  <c r="C15" i="9"/>
  <c r="B15" i="9"/>
  <c r="N14" i="9"/>
  <c r="K14" i="9"/>
  <c r="J14" i="9"/>
  <c r="I14" i="9"/>
  <c r="H14" i="9"/>
  <c r="G14" i="9"/>
  <c r="F14" i="9"/>
  <c r="E14" i="9"/>
  <c r="D14" i="9"/>
  <c r="C14" i="9"/>
  <c r="B14" i="9"/>
  <c r="N13" i="9"/>
  <c r="K13" i="9"/>
  <c r="J13" i="9"/>
  <c r="I13" i="9"/>
  <c r="H13" i="9"/>
  <c r="G13" i="9"/>
  <c r="F13" i="9"/>
  <c r="E13" i="9"/>
  <c r="D13" i="9"/>
  <c r="C13" i="9"/>
  <c r="B13" i="9"/>
  <c r="N12" i="9"/>
  <c r="K12" i="9"/>
  <c r="J12" i="9"/>
  <c r="I12" i="9"/>
  <c r="H12" i="9"/>
  <c r="G12" i="9"/>
  <c r="F12" i="9"/>
  <c r="E12" i="9"/>
  <c r="D12" i="9"/>
  <c r="C12" i="9"/>
  <c r="B12" i="9"/>
  <c r="N11" i="9"/>
  <c r="K11" i="9"/>
  <c r="J11" i="9"/>
  <c r="I11" i="9"/>
  <c r="H11" i="9"/>
  <c r="G11" i="9"/>
  <c r="F11" i="9"/>
  <c r="E11" i="9"/>
  <c r="D11" i="9"/>
  <c r="C11" i="9"/>
  <c r="B11" i="9"/>
  <c r="L1" i="9"/>
  <c r="B1" i="9"/>
  <c r="N24" i="8"/>
  <c r="K24" i="8"/>
  <c r="J24" i="8"/>
  <c r="I24" i="8"/>
  <c r="H24" i="8"/>
  <c r="G24" i="8"/>
  <c r="F24" i="8"/>
  <c r="E24" i="8"/>
  <c r="D24" i="8"/>
  <c r="C24" i="8"/>
  <c r="B24" i="8"/>
  <c r="N23" i="8"/>
  <c r="K23" i="8"/>
  <c r="J23" i="8"/>
  <c r="I23" i="8"/>
  <c r="H23" i="8"/>
  <c r="G23" i="8"/>
  <c r="F23" i="8"/>
  <c r="E23" i="8"/>
  <c r="D23" i="8"/>
  <c r="C23" i="8"/>
  <c r="B23" i="8"/>
  <c r="N22" i="8"/>
  <c r="K22" i="8"/>
  <c r="J22" i="8"/>
  <c r="I22" i="8"/>
  <c r="H22" i="8"/>
  <c r="G22" i="8"/>
  <c r="F22" i="8"/>
  <c r="E22" i="8"/>
  <c r="D22" i="8"/>
  <c r="C22" i="8"/>
  <c r="B22" i="8"/>
  <c r="N21" i="8"/>
  <c r="K21" i="8"/>
  <c r="J21" i="8"/>
  <c r="I21" i="8"/>
  <c r="H21" i="8"/>
  <c r="G21" i="8"/>
  <c r="F21" i="8"/>
  <c r="E21" i="8"/>
  <c r="D21" i="8"/>
  <c r="C21" i="8"/>
  <c r="B21" i="8"/>
  <c r="N20" i="8"/>
  <c r="K20" i="8"/>
  <c r="J20" i="8"/>
  <c r="I20" i="8"/>
  <c r="H20" i="8"/>
  <c r="G20" i="8"/>
  <c r="F20" i="8"/>
  <c r="E20" i="8"/>
  <c r="D20" i="8"/>
  <c r="C20" i="8"/>
  <c r="B20" i="8"/>
  <c r="N19" i="8"/>
  <c r="K19" i="8"/>
  <c r="J19" i="8"/>
  <c r="I19" i="8"/>
  <c r="H19" i="8"/>
  <c r="G19" i="8"/>
  <c r="F19" i="8"/>
  <c r="E19" i="8"/>
  <c r="D19" i="8"/>
  <c r="C19" i="8"/>
  <c r="B19" i="8"/>
  <c r="N18" i="8"/>
  <c r="K18" i="8"/>
  <c r="J18" i="8"/>
  <c r="I18" i="8"/>
  <c r="H18" i="8"/>
  <c r="G18" i="8"/>
  <c r="F18" i="8"/>
  <c r="E18" i="8"/>
  <c r="D18" i="8"/>
  <c r="C18" i="8"/>
  <c r="B18" i="8"/>
  <c r="L1" i="8"/>
  <c r="B1" i="8"/>
  <c r="N21" i="7"/>
  <c r="K21" i="7"/>
  <c r="J21" i="7"/>
  <c r="I21" i="7"/>
  <c r="H21" i="7"/>
  <c r="G21" i="7"/>
  <c r="F21" i="7"/>
  <c r="E21" i="7"/>
  <c r="D21" i="7"/>
  <c r="C21" i="7"/>
  <c r="B21" i="7"/>
  <c r="N20" i="7"/>
  <c r="K20" i="7"/>
  <c r="J20" i="7"/>
  <c r="I20" i="7"/>
  <c r="H20" i="7"/>
  <c r="G20" i="7"/>
  <c r="F20" i="7"/>
  <c r="E20" i="7"/>
  <c r="D20" i="7"/>
  <c r="C20" i="7"/>
  <c r="B20" i="7"/>
  <c r="N19" i="7"/>
  <c r="K19" i="7"/>
  <c r="J19" i="7"/>
  <c r="I19" i="7"/>
  <c r="H19" i="7"/>
  <c r="G19" i="7"/>
  <c r="F19" i="7"/>
  <c r="E19" i="7"/>
  <c r="D19" i="7"/>
  <c r="C19" i="7"/>
  <c r="B19" i="7"/>
  <c r="N18" i="7"/>
  <c r="K18" i="7"/>
  <c r="J18" i="7"/>
  <c r="I18" i="7"/>
  <c r="H18" i="7"/>
  <c r="G18" i="7"/>
  <c r="F18" i="7"/>
  <c r="E18" i="7"/>
  <c r="D18" i="7"/>
  <c r="C18" i="7"/>
  <c r="B18" i="7"/>
  <c r="N17" i="7"/>
  <c r="K17" i="7"/>
  <c r="J17" i="7"/>
  <c r="I17" i="7"/>
  <c r="H17" i="7"/>
  <c r="G17" i="7"/>
  <c r="F17" i="7"/>
  <c r="E17" i="7"/>
  <c r="D17" i="7"/>
  <c r="C17" i="7"/>
  <c r="B17" i="7"/>
  <c r="N16" i="7"/>
  <c r="K16" i="7"/>
  <c r="J16" i="7"/>
  <c r="I16" i="7"/>
  <c r="H16" i="7"/>
  <c r="G16" i="7"/>
  <c r="F16" i="7"/>
  <c r="E16" i="7"/>
  <c r="D16" i="7"/>
  <c r="C16" i="7"/>
  <c r="B16" i="7"/>
  <c r="N15" i="7"/>
  <c r="K15" i="7"/>
  <c r="J15" i="7"/>
  <c r="I15" i="7"/>
  <c r="H15" i="7"/>
  <c r="G15" i="7"/>
  <c r="F15" i="7"/>
  <c r="E15" i="7"/>
  <c r="D15" i="7"/>
  <c r="C15" i="7"/>
  <c r="B15" i="7"/>
  <c r="N14" i="7"/>
  <c r="K14" i="7"/>
  <c r="J14" i="7"/>
  <c r="I14" i="7"/>
  <c r="H14" i="7"/>
  <c r="G14" i="7"/>
  <c r="F14" i="7"/>
  <c r="E14" i="7"/>
  <c r="D14" i="7"/>
  <c r="C14" i="7"/>
  <c r="B14" i="7"/>
  <c r="N13" i="7"/>
  <c r="K13" i="7"/>
  <c r="J13" i="7"/>
  <c r="I13" i="7"/>
  <c r="H13" i="7"/>
  <c r="G13" i="7"/>
  <c r="F13" i="7"/>
  <c r="E13" i="7"/>
  <c r="D13" i="7"/>
  <c r="C13" i="7"/>
  <c r="B13" i="7"/>
  <c r="L1" i="7"/>
  <c r="B1" i="7"/>
  <c r="N21" i="6"/>
  <c r="K21" i="6"/>
  <c r="J21" i="6"/>
  <c r="I21" i="6"/>
  <c r="H21" i="6"/>
  <c r="G21" i="6"/>
  <c r="F21" i="6"/>
  <c r="E21" i="6"/>
  <c r="D21" i="6"/>
  <c r="C21" i="6"/>
  <c r="B21" i="6"/>
  <c r="N20" i="6"/>
  <c r="K20" i="6"/>
  <c r="J20" i="6"/>
  <c r="I20" i="6"/>
  <c r="H20" i="6"/>
  <c r="G20" i="6"/>
  <c r="F20" i="6"/>
  <c r="E20" i="6"/>
  <c r="D20" i="6"/>
  <c r="C20" i="6"/>
  <c r="B20" i="6"/>
  <c r="N19" i="6"/>
  <c r="K19" i="6"/>
  <c r="J19" i="6"/>
  <c r="I19" i="6"/>
  <c r="H19" i="6"/>
  <c r="G19" i="6"/>
  <c r="F19" i="6"/>
  <c r="E19" i="6"/>
  <c r="D19" i="6"/>
  <c r="C19" i="6"/>
  <c r="B19" i="6"/>
  <c r="N18" i="6"/>
  <c r="K18" i="6"/>
  <c r="J18" i="6"/>
  <c r="I18" i="6"/>
  <c r="H18" i="6"/>
  <c r="G18" i="6"/>
  <c r="F18" i="6"/>
  <c r="E18" i="6"/>
  <c r="D18" i="6"/>
  <c r="C18" i="6"/>
  <c r="B18" i="6"/>
  <c r="N17" i="6"/>
  <c r="K17" i="6"/>
  <c r="J17" i="6"/>
  <c r="I17" i="6"/>
  <c r="H17" i="6"/>
  <c r="G17" i="6"/>
  <c r="F17" i="6"/>
  <c r="E17" i="6"/>
  <c r="D17" i="6"/>
  <c r="C17" i="6"/>
  <c r="B17" i="6"/>
  <c r="N16" i="6"/>
  <c r="K16" i="6"/>
  <c r="J16" i="6"/>
  <c r="I16" i="6"/>
  <c r="H16" i="6"/>
  <c r="G16" i="6"/>
  <c r="F16" i="6"/>
  <c r="E16" i="6"/>
  <c r="D16" i="6"/>
  <c r="C16" i="6"/>
  <c r="B16" i="6"/>
  <c r="L1" i="6"/>
  <c r="B1" i="6"/>
  <c r="N7" i="5"/>
  <c r="N8" i="5"/>
  <c r="N9" i="5"/>
  <c r="N18" i="5"/>
  <c r="K18" i="5"/>
  <c r="J18" i="5"/>
  <c r="I18" i="5"/>
  <c r="H18" i="5"/>
  <c r="G18" i="5"/>
  <c r="F18" i="5"/>
  <c r="E18" i="5"/>
  <c r="D18" i="5"/>
  <c r="C18" i="5"/>
  <c r="B18" i="5"/>
  <c r="N17" i="5"/>
  <c r="K17" i="5"/>
  <c r="J17" i="5"/>
  <c r="I17" i="5"/>
  <c r="H17" i="5"/>
  <c r="G17" i="5"/>
  <c r="F17" i="5"/>
  <c r="E17" i="5"/>
  <c r="D17" i="5"/>
  <c r="C17" i="5"/>
  <c r="B17" i="5"/>
  <c r="N16" i="5"/>
  <c r="K16" i="5"/>
  <c r="J16" i="5"/>
  <c r="I16" i="5"/>
  <c r="H16" i="5"/>
  <c r="G16" i="5"/>
  <c r="F16" i="5"/>
  <c r="E16" i="5"/>
  <c r="D16" i="5"/>
  <c r="C16" i="5"/>
  <c r="B16" i="5"/>
  <c r="N15" i="5"/>
  <c r="K15" i="5"/>
  <c r="J15" i="5"/>
  <c r="I15" i="5"/>
  <c r="H15" i="5"/>
  <c r="G15" i="5"/>
  <c r="F15" i="5"/>
  <c r="E15" i="5"/>
  <c r="D15" i="5"/>
  <c r="C15" i="5"/>
  <c r="B15" i="5"/>
  <c r="N14" i="5"/>
  <c r="K14" i="5"/>
  <c r="J14" i="5"/>
  <c r="I14" i="5"/>
  <c r="H14" i="5"/>
  <c r="G14" i="5"/>
  <c r="F14" i="5"/>
  <c r="E14" i="5"/>
  <c r="D14" i="5"/>
  <c r="C14" i="5"/>
  <c r="B14" i="5"/>
  <c r="N13" i="5"/>
  <c r="N12" i="5"/>
  <c r="N11" i="5"/>
  <c r="N10" i="5"/>
  <c r="N6" i="5"/>
  <c r="K6" i="5"/>
  <c r="J6" i="5"/>
  <c r="I6" i="5"/>
  <c r="H6" i="5"/>
  <c r="G6" i="5"/>
  <c r="F6" i="5"/>
  <c r="E6" i="5"/>
  <c r="D6" i="5"/>
  <c r="C6" i="5"/>
  <c r="B6" i="5"/>
  <c r="L1" i="5"/>
  <c r="B1" i="5"/>
  <c r="N25" i="4"/>
  <c r="K25" i="4"/>
  <c r="J25" i="4"/>
  <c r="I25" i="4"/>
  <c r="H25" i="4"/>
  <c r="G25" i="4"/>
  <c r="F25" i="4"/>
  <c r="E25" i="4"/>
  <c r="D25" i="4"/>
  <c r="C25" i="4"/>
  <c r="B25" i="4"/>
  <c r="N24" i="4"/>
  <c r="K24" i="4"/>
  <c r="J24" i="4"/>
  <c r="I24" i="4"/>
  <c r="H24" i="4"/>
  <c r="G24" i="4"/>
  <c r="F24" i="4"/>
  <c r="E24" i="4"/>
  <c r="D24" i="4"/>
  <c r="C24" i="4"/>
  <c r="B24" i="4"/>
  <c r="L1" i="4"/>
  <c r="B1" i="4"/>
  <c r="L1" i="3"/>
  <c r="B1" i="3"/>
  <c r="N23" i="2"/>
  <c r="K23" i="2"/>
  <c r="J23" i="2"/>
  <c r="I23" i="2"/>
  <c r="H23" i="2"/>
  <c r="G23" i="2"/>
  <c r="F23" i="2"/>
  <c r="E23" i="2"/>
  <c r="D23" i="2"/>
  <c r="C23" i="2"/>
  <c r="B23" i="2"/>
  <c r="N22" i="2"/>
  <c r="K22" i="2"/>
  <c r="J22" i="2"/>
  <c r="I22" i="2"/>
  <c r="H22" i="2"/>
  <c r="G22" i="2"/>
  <c r="F22" i="2"/>
  <c r="E22" i="2"/>
  <c r="D22" i="2"/>
  <c r="C22" i="2"/>
  <c r="B22" i="2"/>
  <c r="N21" i="2"/>
  <c r="K21" i="2"/>
  <c r="J21" i="2"/>
  <c r="I21" i="2"/>
  <c r="H21" i="2"/>
  <c r="G21" i="2"/>
  <c r="F21" i="2"/>
  <c r="E21" i="2"/>
  <c r="D21" i="2"/>
  <c r="C21" i="2"/>
  <c r="B21" i="2"/>
  <c r="N20" i="2"/>
  <c r="K20" i="2"/>
  <c r="J20" i="2"/>
  <c r="I20" i="2"/>
  <c r="H20" i="2"/>
  <c r="G20" i="2"/>
  <c r="F20" i="2"/>
  <c r="E20" i="2"/>
  <c r="D20" i="2"/>
  <c r="C20" i="2"/>
  <c r="B20" i="2"/>
  <c r="N19" i="2"/>
  <c r="K19" i="2"/>
  <c r="J19" i="2"/>
  <c r="I19" i="2"/>
  <c r="H19" i="2"/>
  <c r="G19" i="2"/>
  <c r="F19" i="2"/>
  <c r="E19" i="2"/>
  <c r="D19" i="2"/>
  <c r="C19" i="2"/>
  <c r="B19" i="2"/>
  <c r="N18" i="2"/>
  <c r="K18" i="2"/>
  <c r="J18" i="2"/>
  <c r="I18" i="2"/>
  <c r="H18" i="2"/>
  <c r="G18" i="2"/>
  <c r="F18" i="2"/>
  <c r="E18" i="2"/>
  <c r="D18" i="2"/>
  <c r="C18" i="2"/>
  <c r="B18" i="2"/>
  <c r="L1" i="2"/>
  <c r="B1" i="2"/>
  <c r="N20" i="1"/>
  <c r="K20" i="1"/>
  <c r="J20" i="1"/>
  <c r="I20" i="1"/>
  <c r="H20" i="1"/>
  <c r="G20" i="1"/>
  <c r="F20" i="1"/>
  <c r="E20" i="1"/>
  <c r="D20" i="1"/>
  <c r="C20" i="1"/>
  <c r="B20" i="1"/>
  <c r="N19" i="1"/>
  <c r="K19" i="1"/>
  <c r="J19" i="1"/>
  <c r="I19" i="1"/>
  <c r="H19" i="1"/>
  <c r="G19" i="1"/>
  <c r="F19" i="1"/>
  <c r="E19" i="1"/>
  <c r="D19" i="1"/>
  <c r="C19" i="1"/>
  <c r="B19" i="1"/>
  <c r="N18" i="1"/>
  <c r="K18" i="1"/>
  <c r="J18" i="1"/>
  <c r="I18" i="1"/>
  <c r="H18" i="1"/>
  <c r="G18" i="1"/>
  <c r="F18" i="1"/>
  <c r="E18" i="1"/>
  <c r="D18" i="1"/>
  <c r="C18" i="1"/>
  <c r="B18" i="1"/>
  <c r="N17" i="1"/>
  <c r="K17" i="1"/>
  <c r="J17" i="1"/>
  <c r="I17" i="1"/>
  <c r="H17" i="1"/>
  <c r="G17" i="1"/>
  <c r="F17" i="1"/>
  <c r="E17" i="1"/>
  <c r="D17" i="1"/>
  <c r="C17" i="1"/>
  <c r="B17" i="1"/>
  <c r="N16" i="1"/>
  <c r="K16" i="1"/>
  <c r="J16" i="1"/>
  <c r="I16" i="1"/>
  <c r="H16" i="1"/>
  <c r="G16" i="1"/>
  <c r="F16" i="1"/>
  <c r="E16" i="1"/>
  <c r="D16" i="1"/>
  <c r="C16" i="1"/>
  <c r="B16" i="1"/>
  <c r="N15" i="1"/>
  <c r="K15" i="1"/>
  <c r="J15" i="1"/>
  <c r="I15" i="1"/>
  <c r="H15" i="1"/>
  <c r="G15" i="1"/>
  <c r="F15" i="1"/>
  <c r="E15" i="1"/>
  <c r="D15" i="1"/>
  <c r="C15" i="1"/>
  <c r="B15" i="1"/>
  <c r="N14" i="1"/>
  <c r="K14" i="1"/>
  <c r="J14" i="1"/>
  <c r="I14" i="1"/>
  <c r="H14" i="1"/>
  <c r="G14" i="1"/>
  <c r="F14" i="1"/>
  <c r="E14" i="1"/>
  <c r="D14" i="1"/>
  <c r="C14" i="1"/>
  <c r="B14" i="1"/>
  <c r="N13" i="1"/>
  <c r="K13" i="1"/>
  <c r="J13" i="1"/>
  <c r="I13" i="1"/>
  <c r="H13" i="1"/>
  <c r="G13" i="1"/>
  <c r="F13" i="1"/>
  <c r="E13" i="1"/>
  <c r="D13" i="1"/>
  <c r="C13" i="1"/>
  <c r="B13" i="1"/>
  <c r="N12" i="1"/>
  <c r="K12" i="1"/>
  <c r="J12" i="1"/>
  <c r="I12" i="1"/>
  <c r="H12" i="1"/>
  <c r="G12" i="1"/>
  <c r="F12" i="1"/>
  <c r="E12" i="1"/>
  <c r="D12" i="1"/>
  <c r="C12" i="1"/>
  <c r="B12" i="1"/>
  <c r="L1" i="1"/>
</calcChain>
</file>

<file path=xl/sharedStrings.xml><?xml version="1.0" encoding="utf-8"?>
<sst xmlns="http://schemas.openxmlformats.org/spreadsheetml/2006/main" count="878" uniqueCount="417">
  <si>
    <t>Release Date</t>
  </si>
  <si>
    <r>
      <t xml:space="preserve">Kế Hoạch Sản Xuất Đơn Mẫu
</t>
    </r>
    <r>
      <rPr>
        <b/>
        <i/>
        <sz val="48"/>
        <color theme="1"/>
        <rFont val="Times New Roman"/>
        <family val="1"/>
      </rPr>
      <t>Sample Production Planning</t>
    </r>
  </si>
  <si>
    <t>NO.ORDER</t>
  </si>
  <si>
    <t>Firm plan
(PU PVN)</t>
  </si>
  <si>
    <t>Bun Code</t>
  </si>
  <si>
    <t>PU code</t>
  </si>
  <si>
    <r>
      <rPr>
        <b/>
        <sz val="25"/>
        <color rgb="FF000000"/>
        <rFont val="Times New Roman"/>
        <family val="1"/>
      </rPr>
      <t xml:space="preserve">TÊN SẢN PHẨM
</t>
    </r>
    <r>
      <rPr>
        <b/>
        <i/>
        <sz val="25"/>
        <color rgb="FF000000"/>
        <rFont val="Times New Roman"/>
        <family val="1"/>
      </rPr>
      <t>Material Name</t>
    </r>
  </si>
  <si>
    <r>
      <t xml:space="preserve">SL 
</t>
    </r>
    <r>
      <rPr>
        <b/>
        <i/>
        <sz val="25"/>
        <color theme="1"/>
        <rFont val="Times New Roman"/>
        <family val="1"/>
      </rPr>
      <t>Sheet</t>
    </r>
  </si>
  <si>
    <t>SL bun cần Tách</t>
  </si>
  <si>
    <t>Sl bun cần Đổ</t>
  </si>
  <si>
    <t>Brand</t>
  </si>
  <si>
    <t>POV</t>
  </si>
  <si>
    <t>TYPE</t>
  </si>
  <si>
    <r>
      <t xml:space="preserve">SL cần đổ
</t>
    </r>
    <r>
      <rPr>
        <b/>
        <i/>
        <sz val="28"/>
        <rFont val="Times New Roman"/>
        <family val="1"/>
      </rPr>
      <t>Qty need to pour
(bun)</t>
    </r>
  </si>
  <si>
    <r>
      <t xml:space="preserve">Ghi chú
</t>
    </r>
    <r>
      <rPr>
        <b/>
        <i/>
        <sz val="25"/>
        <color theme="1"/>
        <rFont val="Times New Roman"/>
        <family val="1"/>
      </rPr>
      <t>Note</t>
    </r>
  </si>
  <si>
    <t>Ngày gửi Lab</t>
  </si>
  <si>
    <t>S-2026-05-31</t>
  </si>
  <si>
    <t>S-2026-05-32</t>
  </si>
  <si>
    <t>S-2026-05-33</t>
  </si>
  <si>
    <t>S-2026-05-35</t>
  </si>
  <si>
    <t>S-2026-05-36</t>
  </si>
  <si>
    <t xml:space="preserve"> </t>
  </si>
  <si>
    <t>RPRO-260513-0945</t>
  </si>
  <si>
    <t>BDB-000097</t>
  </si>
  <si>
    <t>PVN-003671</t>
  </si>
  <si>
    <t>OrthoLite Eco LT-Hybrid SEEDPEARL/12-0703TPX Hybrid Flat Sheet 0.11D 25+/-4 Asker C 1.1M 2M 13mm</t>
  </si>
  <si>
    <t>NEW BALANCE</t>
  </si>
  <si>
    <t>Sample</t>
  </si>
  <si>
    <t>MOLDED</t>
  </si>
  <si>
    <t>RPRO-260513-0946</t>
  </si>
  <si>
    <t>BDB-000117</t>
  </si>
  <si>
    <t>PVN-003234</t>
  </si>
  <si>
    <t>OrthoLite X-35-Hybrid SEEDPEARL/12-0703TPX Hybrid Flat Sheet 0.145D 25+/-4 Asker C 1.1M 2M 5.5mm</t>
  </si>
  <si>
    <t>PUMA</t>
  </si>
  <si>
    <t>RPRO-260513-0947</t>
  </si>
  <si>
    <t>BDB-000339</t>
  </si>
  <si>
    <t>PVN-004178</t>
  </si>
  <si>
    <t>OrthoLite Float NEUTRAL GRAY/17-4402TPX Flat Sheet 0.12D 21+/-4 Asker C 1.1M 2M 5.5mm</t>
  </si>
  <si>
    <t>RPRO-260513-0949</t>
  </si>
  <si>
    <t>BDB-000076</t>
  </si>
  <si>
    <t>PVN-003979</t>
  </si>
  <si>
    <t>OrthoLite X-25 BILLIARD/16-5427TPX Flat Sheet 0.12D 20+/-4 Asker C 1.1M 2M 7mm</t>
  </si>
  <si>
    <t>ONE8</t>
  </si>
  <si>
    <t>SAMPLE</t>
  </si>
  <si>
    <t>OV-0497 - URGENT</t>
  </si>
  <si>
    <t>RPRO-260513-0950</t>
  </si>
  <si>
    <t>BDB-000021</t>
  </si>
  <si>
    <t>PVN-000446</t>
  </si>
  <si>
    <t>OrthoLite Regular GREY/17-1501TPX Flat Sheet 0.13D 25+/-4 Asker C 1.1M 2M 4mm</t>
  </si>
  <si>
    <t>TRAVIS MATHEW</t>
  </si>
  <si>
    <t>SSO-2605-00605</t>
  </si>
  <si>
    <t>FL SHEET URGENT</t>
  </si>
  <si>
    <t>S-2026-05-42</t>
  </si>
  <si>
    <t>RPRO-260515-0277</t>
  </si>
  <si>
    <t>BDB-000113</t>
  </si>
  <si>
    <t>PVN-002887</t>
  </si>
  <si>
    <t>OrthoLite Regular-Hybrid SEEDPEARL/12-0703TPX Hybrid Flat Sheet 0.11D 25+/-4 Asker C 1.1M 2M 5.5mm</t>
  </si>
  <si>
    <t>ADIDAS</t>
  </si>
  <si>
    <t>SSO-2605-00679 - URGENT (5-20)</t>
  </si>
  <si>
    <t>Molded</t>
  </si>
  <si>
    <t>rất gấp</t>
  </si>
  <si>
    <t>S-2026-05-44</t>
  </si>
  <si>
    <t>RPRO-260515-0279</t>
  </si>
  <si>
    <t>BDB-000123</t>
  </si>
  <si>
    <t>PVN-003299</t>
  </si>
  <si>
    <t>OrthoLite Ultra-Hybrid SEEDPEARL/12-0703TPX Hybrid Flat Sheet 0.085D 25+/-4 Asker C 1.1M 2M 3mm</t>
  </si>
  <si>
    <t>SSO-2605-00694   - URGENT (5-23)</t>
  </si>
  <si>
    <t>Flat sheet</t>
  </si>
  <si>
    <t>gấp</t>
  </si>
  <si>
    <t>S-2026-05-39</t>
  </si>
  <si>
    <t>RPRO-260515-0274</t>
  </si>
  <si>
    <t>PVN-003298</t>
  </si>
  <si>
    <t>OrthoLite Ultra-Hybrid SEEDPEARL/12-0703TPX Hybrid 0.085D 25+/-4 Asker C 1.1M 2M 4mm</t>
  </si>
  <si>
    <t>SALOMON</t>
  </si>
  <si>
    <t>FL SHEET</t>
  </si>
  <si>
    <t>S-2026-05-40</t>
  </si>
  <si>
    <t>RPRO-260515-0275</t>
  </si>
  <si>
    <t>ASICS</t>
  </si>
  <si>
    <t>DIE-CUT</t>
  </si>
  <si>
    <t>S-2026-05-37</t>
  </si>
  <si>
    <t>RPRO-260515-0272</t>
  </si>
  <si>
    <t>PVN-004119</t>
  </si>
  <si>
    <t>OrthoLite X-25 BILLIARD/16-5427TPX Flat Sheet 0.12D 20+/-4 Asker C 1.1M 2M 6.5mm</t>
  </si>
  <si>
    <t>SSO-2605-00656/sample</t>
  </si>
  <si>
    <t>OV-0419</t>
  </si>
  <si>
    <t>S-2026-05-38</t>
  </si>
  <si>
    <t>RPRO-260515-0273</t>
  </si>
  <si>
    <t>BDB-000015</t>
  </si>
  <si>
    <t>PVN-003787</t>
  </si>
  <si>
    <t>OrthoLite Regular AIR BLUE/16-4134TPX 0.13D 25+/-4 Asker C 1.1M 2M 2mm</t>
  </si>
  <si>
    <t>S-2026-05-41</t>
  </si>
  <si>
    <t>RPRO-260515-0276</t>
  </si>
  <si>
    <t>BDB-000028</t>
  </si>
  <si>
    <t>PVN-004397</t>
  </si>
  <si>
    <t>OrthoLite Regular LIME GREEN/14-0452TPX Flat Sheet 0.13D 35+/-4 Asker C 1.1M 2M 5.5mm</t>
  </si>
  <si>
    <t>SSO-2605-00644  - URGENT (5-25)</t>
  </si>
  <si>
    <t>S-2026-05-43</t>
  </si>
  <si>
    <t>RPRO-260515-0278</t>
  </si>
  <si>
    <t>BDB-000348</t>
  </si>
  <si>
    <t>PVN-004210</t>
  </si>
  <si>
    <t>OrthoLite IMPERIAL SEEDPEARL/12-0703TPX Flat Sheet 0.22D 25+/-4 Asker C 1.1M 1.47M 5mm</t>
  </si>
  <si>
    <t>SSO-2605-00682 - URGENT (5-25)</t>
  </si>
  <si>
    <t>Flat sheet + Molded</t>
  </si>
  <si>
    <t>S-2026-05-45</t>
  </si>
  <si>
    <t>RPRO-260515-0280</t>
  </si>
  <si>
    <t>BDB-000058</t>
  </si>
  <si>
    <t>PVN-001277</t>
  </si>
  <si>
    <t>OrthoLite Ultra GREEN/16-5932TPX Flat Sheet 0.085D 25+/-4 Asker C 1.1M 2M 4mm</t>
  </si>
  <si>
    <t>SSO-2605-00708   - URGENT (5-25)</t>
  </si>
  <si>
    <t>S-2026-05-34</t>
  </si>
  <si>
    <t>RPRO-260513-0948</t>
  </si>
  <si>
    <t>BDB-000371</t>
  </si>
  <si>
    <t>PVN-004417</t>
  </si>
  <si>
    <t>OrthoLite SloMo LIME GREEN/14-0452TPX Flat Sheet 0.085D 5-10 Asker C 1.1M 2M 5mm</t>
  </si>
  <si>
    <t>SSO-2605-00559  - URGENT (5-20)</t>
  </si>
  <si>
    <t>check tồn</t>
  </si>
  <si>
    <t>S-2026-05-52</t>
  </si>
  <si>
    <t>RPRO-260518-0859</t>
  </si>
  <si>
    <t>BDB-000343</t>
  </si>
  <si>
    <t>PVN-004420</t>
  </si>
  <si>
    <t>Ortholite X-25 AIR BLUE/16-4134TPX Flat Sheet 0.12D 20+/-4 Asker C 1.1M 2M 6.2mm</t>
  </si>
  <si>
    <t>SSO-2605-00634   - TOP URGENT (5-20)</t>
  </si>
  <si>
    <t xml:space="preserve">rất gấp </t>
  </si>
  <si>
    <t>S-2026-05-46</t>
  </si>
  <si>
    <t>RPRO-260518-0853</t>
  </si>
  <si>
    <t>BDB-000355</t>
  </si>
  <si>
    <t>PVN-004320</t>
  </si>
  <si>
    <t>OrthoLite HybridPlus-Recycled CASTLEROCK/18-0201TPX Hybrid Flat Sheet 0.12D 25+/-4 Asker C 1.1M 2M 5.5mm</t>
  </si>
  <si>
    <t>ON RUNNING</t>
  </si>
  <si>
    <t>SSO-2605-00716</t>
  </si>
  <si>
    <t>S-2026-05-47</t>
  </si>
  <si>
    <t>RPRO-260518-0854</t>
  </si>
  <si>
    <t>BDB-000209</t>
  </si>
  <si>
    <t>PVN-003465</t>
  </si>
  <si>
    <t>OrthoLite HybridPlus-Recycled MINT GREEN/11-4805TPX Hybrid Flat Sheet 0.12D 25+/-4 Asker C 1.1M 2M 5.5mm</t>
  </si>
  <si>
    <t>S-2026-05-48</t>
  </si>
  <si>
    <t>RPRO-260518-0855</t>
  </si>
  <si>
    <t>PVN-003537</t>
  </si>
  <si>
    <t>OrthoLite HybridPlus-Recycled MINT GREEN/11-4805TPX Hybrid 0.12D 25+/-4 Asker C 1.1M 2M 4.5mm</t>
  </si>
  <si>
    <t>AKU</t>
  </si>
  <si>
    <t>SSO-2605-00651</t>
  </si>
  <si>
    <t>S-2026-05-49</t>
  </si>
  <si>
    <t>RPRO-260518-0856</t>
  </si>
  <si>
    <t>BDB-000242</t>
  </si>
  <si>
    <t>PVN-003614</t>
  </si>
  <si>
    <t>OrthoLite Regular GREY/17-1501TPX Flat Sheet 0.11D 5-10 Asker C 1.1M 2M 3.5mm</t>
  </si>
  <si>
    <t>S-2026-05-50</t>
  </si>
  <si>
    <t>RPRO-260518-0857</t>
  </si>
  <si>
    <t>BDB-000175</t>
  </si>
  <si>
    <t>PVN-003717</t>
  </si>
  <si>
    <t>OrthoLite Ultra-Hybrid-Nike SEEDPEARL/12-0703TPX Hybrid 0.085D 25+/-4 Asker C 1.1M 2M 4.5mm</t>
  </si>
  <si>
    <t>NIKE</t>
  </si>
  <si>
    <t>SSO-2605-00721</t>
  </si>
  <si>
    <t>S-2026-05-51</t>
  </si>
  <si>
    <t>RPRO-260518-0858</t>
  </si>
  <si>
    <t>PVN-002992</t>
  </si>
  <si>
    <t>OrthoLite Ultra-Hybrid-Nike SEEDPEARL/12-0703TPX Hybrid 0.085D 25+/-4 Asker C 1.1M 2M 3.5mm</t>
  </si>
  <si>
    <t>SSO-2605-00722</t>
  </si>
  <si>
    <t>S-2026-05-53</t>
  </si>
  <si>
    <t>RPRO-260518-0860</t>
  </si>
  <si>
    <t>OrthoLite Ultra-Hybrid SEEDPEARL/12-0703TPX Hybrid Flat Sheet 0.085D 25+/-4 Asker C 1.1M 2M 4mm</t>
  </si>
  <si>
    <t>SSO-2605-00772   - URGENT (5-28)</t>
  </si>
  <si>
    <t>Flat Sheet</t>
  </si>
  <si>
    <t>S-2026-05-54</t>
  </si>
  <si>
    <t>RPRO-260518-0861</t>
  </si>
  <si>
    <t>S-2026-05-55</t>
  </si>
  <si>
    <t>RPRO-260518-0862</t>
  </si>
  <si>
    <t>BDB-000235</t>
  </si>
  <si>
    <t>PVN-003576</t>
  </si>
  <si>
    <t>OrthoLite X-55-Hybrid FOSSIL/17-0909TPX Hybrid 0.16D 25+/-4 Asker C 1.1M 1.7M 12mm</t>
  </si>
  <si>
    <t>S-2026-05-56</t>
  </si>
  <si>
    <t>RPRO-260518-0863</t>
  </si>
  <si>
    <t>BDB-000234</t>
  </si>
  <si>
    <t>PVN-003581</t>
  </si>
  <si>
    <t>OrthoLite X-30-Hybrid BROWN SUGAR/17-1134TPX Hybrid Flat Sheet 0.13D 25+/-4 Asker C 1.1M 2M 12mm</t>
  </si>
  <si>
    <t>S-2026-05-57</t>
  </si>
  <si>
    <t>RPRO-260518-0864</t>
  </si>
  <si>
    <t>S-2026-05-58</t>
  </si>
  <si>
    <t>RPRO-260518-0865</t>
  </si>
  <si>
    <t>S-2026-05-59</t>
  </si>
  <si>
    <t>RPRO-260518-0866</t>
  </si>
  <si>
    <t>BDB-000051</t>
  </si>
  <si>
    <t>PVN-003450</t>
  </si>
  <si>
    <t>OrthoLite X-40 TRUE BLUE/19-4057TPX Flat Sheet 0.16D 25+/-4 Asker C 1.1M 1.7M 6mm</t>
  </si>
  <si>
    <t>S-2026-05-60</t>
  </si>
  <si>
    <t>RPRO-260520-0192</t>
  </si>
  <si>
    <t>BDB-000067</t>
  </si>
  <si>
    <t>PVN-001415</t>
  </si>
  <si>
    <t>OrthoLite Ultra SEEDPEARL/12-0703TPX Flat Sheet 0.085D 25+/-4 Asker C 1.1M 2M 4mm</t>
  </si>
  <si>
    <t>SSO-2605-00874   - URGENT (5-28)</t>
  </si>
  <si>
    <t>S-2026-05-61</t>
  </si>
  <si>
    <t>RPRO-260520-0193</t>
  </si>
  <si>
    <t>BDB-000154</t>
  </si>
  <si>
    <t>PVN-003347</t>
  </si>
  <si>
    <t>OrthoLite X-40-Nike TRUE BLUE/19-4057TPX Flat Sheet 0.16D 35+/-4 Asker C 1.1M 1.7M 4mm</t>
  </si>
  <si>
    <t>S-2026-05-62</t>
  </si>
  <si>
    <t>RPRO-260520-0194</t>
  </si>
  <si>
    <t>BDB-000143</t>
  </si>
  <si>
    <t>PVN-002066</t>
  </si>
  <si>
    <t>OrthoLite Regular-Nike SEEDPEARL/12-0703TPX Flat Sheet 0.11D 25+/-4 Asker C 1.1M 1.7M 2mm</t>
  </si>
  <si>
    <t>S-2026-05-63</t>
  </si>
  <si>
    <t>RPRO-260520-0195</t>
  </si>
  <si>
    <t>BDB-000125</t>
  </si>
  <si>
    <t>PVN-001579</t>
  </si>
  <si>
    <t>OrthoLite Regular-Nike AIR BLUE/16-4134TPX Flat Sheet 0.11D 25+/-4 Asker C 1.1M 2M 4mm</t>
  </si>
  <si>
    <t>S-2026-05-64</t>
  </si>
  <si>
    <t>RPRO-260520-0196</t>
  </si>
  <si>
    <t>BDB-000373</t>
  </si>
  <si>
    <t>PVN-004315</t>
  </si>
  <si>
    <t>OrthoLite X-25-Nike BILLIARD/16-5427TPX Flat Sheet 0.12D 20+/-4 Asker C 1.1M 2M 5mm</t>
  </si>
  <si>
    <t>S-2026-05-65</t>
  </si>
  <si>
    <t>RPRO-260520-0197</t>
  </si>
  <si>
    <t>PVN-002966</t>
  </si>
  <si>
    <t>OrthoLite Ultra-Hybrid-Nike SEEDPEARL/12-0703TPX Hybrid Flat Sheet 0.085D 25+/-4 Asker C 1.1M 2M 4mm</t>
  </si>
  <si>
    <t>S-2026-05-66</t>
  </si>
  <si>
    <t>RPRO-260520-0225</t>
  </si>
  <si>
    <t>PVN-002503</t>
  </si>
  <si>
    <t>OrthoLite Regular-Hybrid SEEDPEARL/12-0703TPX Hybrid Flat Sheet 0.11D 25+/-4 Asker C 1.1M 2M 4mm</t>
  </si>
  <si>
    <t>S-2026-05-67</t>
  </si>
  <si>
    <t>RPRO-260520-0226</t>
  </si>
  <si>
    <t>PVN-002688</t>
  </si>
  <si>
    <t>OrthoLite Regular-Hybrid SEEDPEARL/12-0703TPX Hybrid 0.11D 25+/-4 Asker C 1.1M 2M 6mm</t>
  </si>
  <si>
    <t>S-2026-05-68</t>
  </si>
  <si>
    <t>RPRO-260520-0227</t>
  </si>
  <si>
    <t>PVN-003161</t>
  </si>
  <si>
    <t>OrthoLite Regular-Hybrid SEEDPEARL/12-0703TPX Hybrid Flat Sheet 0.11D 25+/-4 Asker C 1.1M 2M 2.5mm</t>
  </si>
  <si>
    <t>S-2026-05-69</t>
  </si>
  <si>
    <t>RPRO-260520-0228</t>
  </si>
  <si>
    <t>BDB-000179</t>
  </si>
  <si>
    <t>PVN-004059</t>
  </si>
  <si>
    <t>OrthoLite X-55 RED/19-1764TPX Flat Sheet 0.16D 25+/-4 Asker C 1.1M 1.7M 5.2mm</t>
  </si>
  <si>
    <t>S-2026-05-70</t>
  </si>
  <si>
    <t>RPRO-260520-0229</t>
  </si>
  <si>
    <t>PVN-004424</t>
  </si>
  <si>
    <t>OrthoLite X-30-Hybrid BROWN SUGAR/17-1134TPX Hybrid Flat Sheet 0.13D 25+/-4 Asker C 1.1M 2M 6mm</t>
  </si>
  <si>
    <t/>
  </si>
  <si>
    <t>S-2026-05-71</t>
  </si>
  <si>
    <t>RPRO-260521-0669</t>
  </si>
  <si>
    <t>PVN-001319</t>
  </si>
  <si>
    <t>OrthoLite Ultra GREEN/16-5932TPX Flat Sheet 0.085D 25+/-4 Asker C 1.1M 2M 5mm</t>
  </si>
  <si>
    <t>SSO-2605-01113   - URGENT (5-28)</t>
  </si>
  <si>
    <t>S-2026-05-72</t>
  </si>
  <si>
    <t>RPRO-260521-0670</t>
  </si>
  <si>
    <t>PVN-003742</t>
  </si>
  <si>
    <t>OrthoLite X-25 BILLIARD/16-5427TPX Flat Sheet 0.12D 20+/-4 Asker C 1.1M 2M 5mm</t>
  </si>
  <si>
    <t>SSO-2605-01133   - URGENT (5-28)</t>
  </si>
  <si>
    <t>OK</t>
  </si>
  <si>
    <t>S-2026-05-73</t>
  </si>
  <si>
    <t>RPRO-260523-0221</t>
  </si>
  <si>
    <t>BDB-000376</t>
  </si>
  <si>
    <t>PVN-004323</t>
  </si>
  <si>
    <t>OrthoLite Regular BLACK/19-4007TPX Flat Sheet 0.11D 25+/-4 Asker C 1.1M 2M 13mm</t>
  </si>
  <si>
    <t>S-2026-05-74</t>
  </si>
  <si>
    <t>RPRO-260523-0222</t>
  </si>
  <si>
    <t>S-2026-05-75</t>
  </si>
  <si>
    <t>RPRO-260523-0223</t>
  </si>
  <si>
    <t>PVN-004056</t>
  </si>
  <si>
    <t>OrthoLite X-25 BILLIARD/16-5427TPX Flat Sheet 0.12D 20+/-4 Asker C 1.1M 2M 12mm</t>
  </si>
  <si>
    <t>FOOTJOY</t>
  </si>
  <si>
    <t>S-2026-05-76</t>
  </si>
  <si>
    <t>RPRO-260525-0001</t>
  </si>
  <si>
    <t>S-2026-05-77</t>
  </si>
  <si>
    <t>RPRO-260525-0002</t>
  </si>
  <si>
    <t>S-2026-05-78</t>
  </si>
  <si>
    <t>RPRO-260525-0003</t>
  </si>
  <si>
    <t>S-2026-05-79</t>
  </si>
  <si>
    <t>RPRO-260525-0004</t>
  </si>
  <si>
    <t>PVN-003601</t>
  </si>
  <si>
    <t>OrthoLite Regular-Hybrid SEEDPEARL/12-0703TPX Hybrid Flat Sheet 0.11D 25+/-4 Asker C 1.1M 2M 20mm</t>
  </si>
  <si>
    <t>S-2026-05-81</t>
  </si>
  <si>
    <t>RPRO-260525-0006</t>
  </si>
  <si>
    <t>PVN-003414</t>
  </si>
  <si>
    <t>OrthoLite Regular-Hybrid SEEDPEARL/12-0703TPX Hybrid 0.11D 25+/-4 Asker C 1.1M 2M 12mm</t>
  </si>
  <si>
    <t>S-2026-05-80</t>
  </si>
  <si>
    <t>RPRO-260525-0005</t>
  </si>
  <si>
    <t>PVN-002478</t>
  </si>
  <si>
    <t>OrthoLite Eco LT-Hybrid SEEDPEARL/12-0703TPX Hybrid 0.11D 25+/-4 Asker C 1.1M 2M 4mm</t>
  </si>
  <si>
    <t>S-2026-05-85</t>
  </si>
  <si>
    <t>RPRO-260525-0009</t>
  </si>
  <si>
    <t>OrthoLite Eco LT-Hybrid SEEDPEARL/12-0703TPX Hybrid Flat Sheet 0.11D 25+/-4 Asker C 1.1M 2M 4mm</t>
  </si>
  <si>
    <t>SSO-2605-01304   - URGENT (6-2)</t>
  </si>
  <si>
    <t>S-2026-05-82</t>
  </si>
  <si>
    <t>RPRO-260525-0007</t>
  </si>
  <si>
    <t>S-2026-05-83</t>
  </si>
  <si>
    <t>RPRO-260525-0008</t>
  </si>
  <si>
    <t>S-2026-05-86</t>
  </si>
  <si>
    <t>RPRO-260527-0578</t>
  </si>
  <si>
    <t>PVN-004195</t>
  </si>
  <si>
    <t>OrthoLite IMPERIAL SEEDPEARL/12-0703TPX Flat Sheet 0.22D 25+/-4 Asker C 1.1M 1.47M 4mm</t>
  </si>
  <si>
    <t xml:space="preserve"> Sample</t>
  </si>
  <si>
    <t>LA SHEET</t>
  </si>
  <si>
    <t>Rất gấp</t>
  </si>
  <si>
    <t>S-2026-05-87</t>
  </si>
  <si>
    <t>RPRO-260527-0579</t>
  </si>
  <si>
    <t>S-2026-05-88</t>
  </si>
  <si>
    <t>RPRO-260527-0580</t>
  </si>
  <si>
    <t>BDB-000162</t>
  </si>
  <si>
    <t>PVN-001566</t>
  </si>
  <si>
    <t>OrthoLite Ultra-Nike SEEDPEARL/12-0703TPX Flat Sheet 0.085D 25+/-4 Asker C 1.1M 2M 4mm</t>
  </si>
  <si>
    <t xml:space="preserve"> Sample/ URGENT</t>
  </si>
  <si>
    <t>DIE CUT</t>
  </si>
  <si>
    <t>Gấp</t>
  </si>
  <si>
    <t>S-2026-05-89</t>
  </si>
  <si>
    <t>RPRO-260527-0581</t>
  </si>
  <si>
    <t>BDB-000129</t>
  </si>
  <si>
    <t>PVN-001550</t>
  </si>
  <si>
    <t>OrthoLite Regular-Nike AIR BLUE/16-4134TPX Flat Sheet 0.11D 25+/-4 Asker C 1.1M 1.7M 2mm</t>
  </si>
  <si>
    <t>S-2026-05-90</t>
  </si>
  <si>
    <t>RPRO-260527-0582</t>
  </si>
  <si>
    <t>BDB-000157</t>
  </si>
  <si>
    <t>PVN-003573</t>
  </si>
  <si>
    <t>OrthoLite X-35-Hybrid-Nike SEEDPEARL/12-0703TPX Hybrid Flat Sheet 0.145D 25+/-4 Asker C 1.1M 2M 4.2mm</t>
  </si>
  <si>
    <t>S-2026-05-91</t>
  </si>
  <si>
    <t>RPRO-260527-0583</t>
  </si>
  <si>
    <t>BDB-000385</t>
  </si>
  <si>
    <t>PVN-004381</t>
  </si>
  <si>
    <t>OrthoLite Impressions-Nike TAWNY PORT/19-1725TPX Flat Sheet 0.15D 70-80 Asker F 1.1M 1.7M 3mm</t>
  </si>
  <si>
    <t>S-2026-05-93</t>
  </si>
  <si>
    <t>RPRO-260529-0339</t>
  </si>
  <si>
    <t>SSO-2605-01455   - URGENT (6-5)</t>
  </si>
  <si>
    <t>TAY</t>
  </si>
  <si>
    <t>S-2026-05-94</t>
  </si>
  <si>
    <t>RPRO-260529-0340</t>
  </si>
  <si>
    <t>PVN-003815</t>
  </si>
  <si>
    <t>OrthoLite Ultra-Hybrid SEEDPEARL/12-0703TPX Hybrid Flat Sheet 0.085D 25+/-4 Asker C 1.1M 2M 6mm</t>
  </si>
  <si>
    <t>ok</t>
  </si>
  <si>
    <t>S-2026-05-100</t>
  </si>
  <si>
    <t>RPRO-260529-0346</t>
  </si>
  <si>
    <t>PVN-003324</t>
  </si>
  <si>
    <t>OrthoLite X-40 TRUE BLUE/19-4057TPX Flat Sheet 0.16D 25+/-4 Asker C 1.1M 1.7M 7.5mm</t>
  </si>
  <si>
    <t>S-2026-05-95</t>
  </si>
  <si>
    <t>RPRO-260529-0341</t>
  </si>
  <si>
    <t>BDB-000314</t>
  </si>
  <si>
    <t>PVN-004066</t>
  </si>
  <si>
    <t>OrthoLite Regular NEUTRAL GRAY/17-4402TPX Flat Sheet 0.16D 51+/-4 Asker C 1.1M 1.7M 9.5mm</t>
  </si>
  <si>
    <t>S-2026-05-96</t>
  </si>
  <si>
    <t>RPRO-260529-0342</t>
  </si>
  <si>
    <t>BDB-000382</t>
  </si>
  <si>
    <t>PVN-004363</t>
  </si>
  <si>
    <t>OrthoLite Regular FOSSIL/17-0909TPX Flat Sheet 0.16D 51+/-4 Asker C 1.1M 1.7M 9.5mm</t>
  </si>
  <si>
    <t>S-2026-05-97</t>
  </si>
  <si>
    <t>RPRO-260529-0343</t>
  </si>
  <si>
    <t>BDB-000387</t>
  </si>
  <si>
    <t>PVN-004385</t>
  </si>
  <si>
    <t>OrthoLite Regular AMAZON/18-6024TPX Flat Sheet 0.16D 51+/-4 Asker C 1.1M 1.7M 9.5mm</t>
  </si>
  <si>
    <t>S-2026-05-98</t>
  </si>
  <si>
    <t>RPRO-260529-0344</t>
  </si>
  <si>
    <t>BDB-000378</t>
  </si>
  <si>
    <t>PVN-004336</t>
  </si>
  <si>
    <t>OrthoLite Regular AMAZON/18-6024TPX Flat Sheet 0.15D 45+/-4 Asker C 1.1M 1.7M 9.8mm</t>
  </si>
  <si>
    <t>S-2026-05-99</t>
  </si>
  <si>
    <t>RPRO-260529-0345</t>
  </si>
  <si>
    <t>BDB-000291</t>
  </si>
  <si>
    <t>PVN-004250</t>
  </si>
  <si>
    <t>OrthoLite Regular NEUTRAL GRAY/17-4402TPX Flat Sheet 0.15D 45+/-4 Asker C 1.1M 1.7M 9.8mm</t>
  </si>
  <si>
    <t>S-2026-05-102</t>
  </si>
  <si>
    <t>RPRO-260601-0847</t>
  </si>
  <si>
    <t>S-2026-05-103</t>
  </si>
  <si>
    <t>RPRO-260601-0848</t>
  </si>
  <si>
    <t>PVN-002973</t>
  </si>
  <si>
    <t>UltraLite-Hybrid OrthoLite SEEDPEARL/12-0703TPX Hybrid Flat Sheet 0.085D 25+/-4 Asker C 1.1M 2M 4.5mm</t>
  </si>
  <si>
    <t>S-2026-05-104</t>
  </si>
  <si>
    <t>RPRO-260601-0849</t>
  </si>
  <si>
    <t>PVN-002465</t>
  </si>
  <si>
    <t>OrthoLite Regular-Hybrid SEEDPEARL/12-0703TPX Hybrid Flat Sheet 0.11D 25+/-4 Asker C 1.1M 2M 5mm</t>
  </si>
  <si>
    <t>S-2026-05-105</t>
  </si>
  <si>
    <t>RPRO-260601-0850</t>
  </si>
  <si>
    <t>PVN-003630</t>
  </si>
  <si>
    <t>OrthoLite Ultra GREEN/16-5932TPX Flat Sheet 0.085D 25+/-4 Asker C 1.1M 2M 2mm</t>
  </si>
  <si>
    <t>UNDER ARMOUR</t>
  </si>
  <si>
    <t>SSO-2606-00021    - URGENT (6-8)</t>
  </si>
  <si>
    <t>S-2026-05-106</t>
  </si>
  <si>
    <t>RPRO-260601-0851</t>
  </si>
  <si>
    <t>BDB-000180</t>
  </si>
  <si>
    <t>PVN-003236</t>
  </si>
  <si>
    <t>OrthoLite Eco LT-Hybrid-Converse SEEDPEARL/12-0703TPX Hybrid Flat Sheet 0.13D 25+/-4 Asker C 1.1M 2M 5mm</t>
  </si>
  <si>
    <t>CONVERSE</t>
  </si>
  <si>
    <t>Die cut</t>
  </si>
  <si>
    <t>.</t>
  </si>
  <si>
    <t>S-2026-06-01</t>
  </si>
  <si>
    <t>RPRO-260602-0720</t>
  </si>
  <si>
    <t>PVN-004433</t>
  </si>
  <si>
    <t>OrthoLite X-30-Hybrid BROWN SUGAR/17-1134TPX Hybrid Flat Sheet 0.13D 25+/-4 Asker C 1.1M 2M 15mm</t>
  </si>
  <si>
    <t xml:space="preserve">DIE-CUT
URGENT </t>
  </si>
  <si>
    <t>S-2026-06-02</t>
  </si>
  <si>
    <t>RPRO-260602-0721</t>
  </si>
  <si>
    <t>BDB-000212</t>
  </si>
  <si>
    <t>PVN-003764</t>
  </si>
  <si>
    <t>OrthoLite X-25-Hybrid SEEDPEARL/12-0703TPX Hybrid Flat Sheet 0.12D 20+/-4 Asker C 1.1M 2M 5mm</t>
  </si>
  <si>
    <t>S-2026-06-03</t>
  </si>
  <si>
    <t>RPRO-260602-0722</t>
  </si>
  <si>
    <t>BDB-000321</t>
  </si>
  <si>
    <t>PVN-004092</t>
  </si>
  <si>
    <t>OrthoLite Float BLUE ATOLL/16-4535TPX Flat Sheet 0.12D 21+/-4 Asker C 1.1M 2M 14.5mm</t>
  </si>
  <si>
    <t>LOWA</t>
  </si>
  <si>
    <t>S-2026-06-04</t>
  </si>
  <si>
    <t>RPRO-260602-0723</t>
  </si>
  <si>
    <t>PVN-004057</t>
  </si>
  <si>
    <t>OrthoLite X-40 TRUE BLUE/19-4057TPX Flat Sheet 0.16D 25+/-4 Asker C 1.1M 1.7M 14.5mm</t>
  </si>
  <si>
    <t>S-2026-06-05</t>
  </si>
  <si>
    <t>RPRO-260602-0724</t>
  </si>
  <si>
    <t>PVN-003743</t>
  </si>
  <si>
    <t>OrthoLite Ultra-Hybrid SEEDPEARL/12-0703TPX Hybrid Flat Sheet 0.085D 25+/-4 Asker C 1.1M 2M 5.5mm</t>
  </si>
  <si>
    <t>S-2026-06-07</t>
  </si>
  <si>
    <t>RPRO-260602-0726</t>
  </si>
  <si>
    <t>PVN-003300</t>
  </si>
  <si>
    <t>OrthoLite Ultra-Hybrid SEEDPEARL/12-0703TPX Hybrid Flat Sheet 0.085D 25+/-4 Asker C 1.1M 2M 2mm</t>
  </si>
  <si>
    <t>SSO-2606-00031    - URGENT (6-10)</t>
  </si>
  <si>
    <t>S-2026-06-06</t>
  </si>
  <si>
    <t>RPRO-260602-0725</t>
  </si>
  <si>
    <t>PVN-004098</t>
  </si>
  <si>
    <t>OrthoLite Ultra GREEN/16-5932TPX Flat Sheet 0.085D 25+/-4 Asker C 1.1M 2M 3mm</t>
  </si>
  <si>
    <t>S-2026-06-08</t>
  </si>
  <si>
    <t>RPRO-260602-0727</t>
  </si>
  <si>
    <t>PVN-004330</t>
  </si>
  <si>
    <t>OrthoLite IMPERIAL SEEDPEARL/12-0703TPX Flat Sheet 0.22D 25+/-4 Asker C 1.1M 1.47M 2mm</t>
  </si>
  <si>
    <t>SSO-2606-00031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</si>
</sst>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16"/>
      <color theme="1"/>
      <name val="Times New Roman"/>
      <family val="1"/>
    </font>
    <font>
      <b/>
      <sz val="48"/>
      <color theme="1"/>
      <name val="Times New Roman"/>
      <family val="1"/>
    </font>
    <font>
      <b/>
      <i/>
      <sz val="48"/>
      <color theme="1"/>
      <name val="Times New Roman"/>
      <family val="1"/>
    </font>
    <font>
      <sz val="21"/>
      <color theme="1"/>
      <name val="Times New Roman"/>
      <family val="1"/>
    </font>
    <font>
      <b/>
      <sz val="30"/>
      <color rgb="FFFF0000"/>
      <name val="Times New Roman"/>
      <family val="1"/>
    </font>
    <font>
      <sz val="35"/>
      <color rgb="FFC00000"/>
      <name val="Times New Roman"/>
      <family val="1"/>
    </font>
    <font>
      <sz val="30"/>
      <color rgb="FF0000FF"/>
      <name val="Times New Roman"/>
      <family val="1"/>
    </font>
    <font>
      <sz val="28"/>
      <color rgb="FFFF0000"/>
      <name val="Times New Roman"/>
      <family val="1"/>
    </font>
    <font>
      <b/>
      <sz val="21"/>
      <color theme="1"/>
      <name val="Times New Roman"/>
      <family val="1"/>
    </font>
    <font>
      <b/>
      <sz val="25"/>
      <color theme="1"/>
      <name val="Times New Roman"/>
      <family val="1"/>
    </font>
    <font>
      <b/>
      <sz val="25"/>
      <name val="Times New Roman"/>
      <family val="1"/>
    </font>
    <font>
      <b/>
      <sz val="25"/>
      <color rgb="FF000000"/>
      <name val="Times New Roman"/>
      <family val="1"/>
    </font>
    <font>
      <b/>
      <i/>
      <sz val="25"/>
      <color rgb="FF000000"/>
      <name val="Times New Roman"/>
      <family val="1"/>
    </font>
    <font>
      <b/>
      <i/>
      <sz val="25"/>
      <color theme="1"/>
      <name val="Times New Roman"/>
      <family val="1"/>
    </font>
    <font>
      <b/>
      <sz val="28"/>
      <color theme="1"/>
      <name val="Times New Roman"/>
      <family val="1"/>
    </font>
    <font>
      <b/>
      <i/>
      <sz val="28"/>
      <name val="Times New Roman"/>
      <family val="1"/>
    </font>
    <font>
      <b/>
      <sz val="25"/>
      <color rgb="FFFF0000"/>
      <name val="Times New Roman"/>
      <family val="1"/>
    </font>
    <font>
      <b/>
      <sz val="25"/>
      <color rgb="FF0000FF"/>
      <name val="Times New Roman"/>
      <family val="1"/>
    </font>
    <font>
      <sz val="21"/>
      <name val="Times New Roman"/>
      <family val="1"/>
    </font>
    <font>
      <sz val="21"/>
      <color rgb="FF0000FF"/>
      <name val="Times New Roman"/>
      <family val="1"/>
    </font>
    <font>
      <b/>
      <sz val="21"/>
      <name val="Times New Roman"/>
      <family val="1"/>
    </font>
    <font>
      <b/>
      <sz val="24"/>
      <color theme="1"/>
      <name val="Times New Roman"/>
      <family val="1"/>
    </font>
    <font>
      <b/>
      <sz val="21"/>
      <color rgb="FFFF0000"/>
      <name val="Times New Roman"/>
      <family val="1"/>
    </font>
    <font>
      <b/>
      <sz val="16"/>
      <color rgb="FF0000FF"/>
      <name val="Times New Roman"/>
      <family val="1"/>
    </font>
    <font>
      <b/>
      <sz val="48"/>
      <color rgb="FFFF6600"/>
      <name val="Times New Roman"/>
      <family val="1"/>
    </font>
    <font>
      <sz val="36"/>
      <color theme="1"/>
      <name val="Times New Roman"/>
      <family val="1"/>
    </font>
    <font>
      <sz val="1"/>
      <color theme="1"/>
      <name val="Times New Roman"/>
      <family val="1"/>
    </font>
    <font>
      <b/>
      <sz val="28"/>
      <color rgb="FFFF6600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14" fontId="2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 wrapText="1"/>
    </xf>
    <xf numFmtId="0" fontId="8" fillId="0" borderId="0" xfId="1" applyNumberFormat="1" applyFont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 wrapText="1"/>
    </xf>
    <xf numFmtId="164" fontId="10" fillId="0" borderId="0" xfId="1" applyNumberFormat="1" applyFont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4" fontId="19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64" fontId="6" fillId="0" borderId="5" xfId="1" applyNumberFormat="1" applyFont="1" applyBorder="1" applyAlignment="1">
      <alignment horizontal="right" vertical="center"/>
    </xf>
    <xf numFmtId="0" fontId="6" fillId="0" borderId="5" xfId="1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24" fillId="0" borderId="5" xfId="1" applyNumberFormat="1" applyFont="1" applyBorder="1" applyAlignment="1">
      <alignment horizontal="center" vertical="center" wrapText="1"/>
    </xf>
    <xf numFmtId="14" fontId="25" fillId="0" borderId="5" xfId="0" applyNumberFormat="1" applyFont="1" applyBorder="1" applyAlignment="1">
      <alignment horizontal="center" vertical="center"/>
    </xf>
    <xf numFmtId="0" fontId="21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4" fontId="6" fillId="3" borderId="5" xfId="1" applyNumberFormat="1" applyFont="1" applyFill="1" applyBorder="1" applyAlignment="1">
      <alignment horizontal="right" vertical="center"/>
    </xf>
    <xf numFmtId="0" fontId="6" fillId="3" borderId="5" xfId="1" applyNumberFormat="1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164" fontId="6" fillId="3" borderId="5" xfId="1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64" fontId="24" fillId="3" borderId="5" xfId="1" applyNumberFormat="1" applyFont="1" applyFill="1" applyBorder="1" applyAlignment="1">
      <alignment horizontal="center" vertical="center" wrapText="1"/>
    </xf>
    <xf numFmtId="164" fontId="11" fillId="0" borderId="5" xfId="1" applyNumberFormat="1" applyFont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vertical="center"/>
    </xf>
    <xf numFmtId="164" fontId="11" fillId="4" borderId="6" xfId="0" applyNumberFormat="1" applyFont="1" applyFill="1" applyBorder="1" applyAlignment="1">
      <alignment horizontal="center" vertical="center" wrapText="1"/>
    </xf>
    <xf numFmtId="164" fontId="11" fillId="5" borderId="6" xfId="0" applyNumberFormat="1" applyFont="1" applyFill="1" applyBorder="1" applyAlignment="1">
      <alignment horizontal="center" vertical="center" wrapText="1"/>
    </xf>
    <xf numFmtId="164" fontId="6" fillId="4" borderId="6" xfId="0" applyNumberFormat="1" applyFont="1" applyFill="1" applyBorder="1" applyAlignment="1">
      <alignment horizontal="left" vertical="center" wrapText="1"/>
    </xf>
    <xf numFmtId="164" fontId="4" fillId="4" borderId="6" xfId="0" applyNumberFormat="1" applyFont="1" applyFill="1" applyBorder="1" applyAlignment="1">
      <alignment vertical="center"/>
    </xf>
    <xf numFmtId="164" fontId="25" fillId="4" borderId="6" xfId="1" applyNumberFormat="1" applyFont="1" applyFill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1" fillId="6" borderId="5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164" fontId="6" fillId="6" borderId="5" xfId="1" applyNumberFormat="1" applyFont="1" applyFill="1" applyBorder="1" applyAlignment="1">
      <alignment horizontal="right" vertical="center"/>
    </xf>
    <xf numFmtId="0" fontId="6" fillId="6" borderId="5" xfId="1" applyNumberFormat="1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164" fontId="6" fillId="6" borderId="5" xfId="1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164" fontId="24" fillId="6" borderId="5" xfId="1" applyNumberFormat="1" applyFont="1" applyFill="1" applyBorder="1" applyAlignment="1">
      <alignment horizontal="center" vertical="center" wrapText="1"/>
    </xf>
    <xf numFmtId="164" fontId="11" fillId="6" borderId="5" xfId="1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164" fontId="24" fillId="2" borderId="5" xfId="1" applyNumberFormat="1" applyFont="1" applyFill="1" applyBorder="1" applyAlignment="1">
      <alignment horizontal="center" vertical="center" wrapText="1"/>
    </xf>
    <xf numFmtId="14" fontId="25" fillId="6" borderId="5" xfId="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0" fontId="31" fillId="6" borderId="1" xfId="0" applyFont="1" applyFill="1" applyBorder="1" applyAlignment="1">
      <alignment vertical="center"/>
    </xf>
    <xf numFmtId="164" fontId="11" fillId="2" borderId="5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tholitevietnam.sharepoint.com/sites/foaming/Shared%20Documents/Foaming/4.%20Production%20Planning%20Control%20-%20PIC%20Nha/7.SAN%20LUONG-WAREHOUSE/B&#193;O%20C&#193;O%20S&#7842;N%20L&#431;&#7906;NG/B&#193;O%20C&#193;O%20NG&#192;Y/EXCEL/2023/Foaming%20Daily%20Report%20Jul%202023.xlsx" TargetMode="External"/><Relationship Id="rId1" Type="http://schemas.openxmlformats.org/officeDocument/2006/relationships/externalLinkPath" Target="https://ortholitevietnam.sharepoint.com/sites/foaming/Shared%20Documents/Foaming/4.%20Production%20Planning%20Control%20-%20PIC%20Nha/7.SAN%20LUONG-WAREHOUSE/B&#193;O%20C&#193;O%20S&#7842;N%20L&#431;&#7906;NG/B&#193;O%20C&#193;O%20NG&#192;Y/EXCEL/2023/Foaming%20Daily%20Report%20Jul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rtholitevietnam.sharepoint.com/sites/foaming/Shared%20Documents/Foaming/15.%20PIC%20Ho&#224;i/Sample%20Order/Sample%20Orders.xlsx" TargetMode="External"/><Relationship Id="rId1" Type="http://schemas.openxmlformats.org/officeDocument/2006/relationships/externalLinkPath" Target="https://ortholitevietnam.sharepoint.com/sites/foaming/Shared%20Documents/Foaming/15.%20PIC%20Ho&#224;i/Sample%20Order/Sample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 BUN"/>
      <sheetName val="Pouring "/>
      <sheetName val="Molding-báo cáo BUn"/>
      <sheetName val="NG "/>
      <sheetName val="Chart-NG"/>
      <sheetName val="Splitting"/>
      <sheetName val="thickness usable"/>
      <sheetName val="Chart1"/>
      <sheetName val="Chart-Splitting"/>
      <sheetName val="thickness usable (2)"/>
      <sheetName val="Chart-Splitting."/>
      <sheetName val="1st-2nd skin"/>
      <sheetName val="pouring waste"/>
      <sheetName val="Downtime-Pouring -HC"/>
      <sheetName val="Downtime-Pouring - ca 3 "/>
      <sheetName val="DT-SPLITTING"/>
      <sheetName val="khuôn tròn"/>
      <sheetName val="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T32xcIBkkSLf0V-umwJhvTkGeHPRM5PsDAChLm4duQOnTehZnO0TrviTf2nYWJT" itemId="01VNHEGAX3VQG2WIBGJJAJHO2WVGPCUXN5">
      <xxl21:absoluteUrl r:id="rId2"/>
    </xxl21:alternateUrls>
    <sheetNames>
      <sheetName val="Sheet1 (2)"/>
      <sheetName val="form Lab"/>
      <sheetName val="Form hệ thống"/>
      <sheetName val="master plan"/>
      <sheetName val="Sheet5"/>
      <sheetName val="Sheet4"/>
      <sheetName val="Sheet3"/>
      <sheetName val="Sheet2"/>
      <sheetName val="MỚI"/>
      <sheetName val="master plan BCN"/>
      <sheetName val="Delivery"/>
      <sheetName val="cancelled orders"/>
      <sheetName val="đơn in lại 28.2"/>
      <sheetName val="QC"/>
      <sheetName val="Lab results"/>
      <sheetName val="02.01"/>
      <sheetName val="05.01 "/>
      <sheetName val="5.1 (L)"/>
      <sheetName val="9.1 (L)"/>
      <sheetName val="09.01 "/>
      <sheetName val="13.01 "/>
      <sheetName val="15.01"/>
      <sheetName val="16.01 "/>
      <sheetName val="20.01"/>
      <sheetName val="22.01 "/>
      <sheetName val="27.01"/>
      <sheetName val="29.01 "/>
      <sheetName val="03.02 "/>
      <sheetName val="4.2 (L)"/>
      <sheetName val="10.2"/>
      <sheetName val="11.2"/>
      <sheetName val="26.2"/>
      <sheetName val="BCN-27.2"/>
      <sheetName val="2.3 (L)"/>
      <sheetName val="2.3"/>
      <sheetName val="3.3 (L)"/>
      <sheetName val="3.3"/>
      <sheetName val="5.3 (L)"/>
      <sheetName val="6.3."/>
      <sheetName val="7.3"/>
      <sheetName val="10.3"/>
      <sheetName val="BCN-11.3"/>
      <sheetName val="13.3."/>
      <sheetName val="14.3"/>
      <sheetName val="12.3 (L)"/>
      <sheetName val="17.3 (L)"/>
      <sheetName val="17.3"/>
      <sheetName val="18.3 (L)"/>
      <sheetName val="18.3"/>
      <sheetName val="21.3 (L)"/>
      <sheetName val="21.3"/>
      <sheetName val="24.3"/>
      <sheetName val="24.3 (L)"/>
      <sheetName val="25.3"/>
      <sheetName val="27.3"/>
      <sheetName val="BCN-20.3"/>
      <sheetName val="BCN-30.3"/>
      <sheetName val="1.4"/>
      <sheetName val="2.4"/>
      <sheetName val="3.4"/>
      <sheetName val="BCN-3.4"/>
      <sheetName val="6.4"/>
      <sheetName val="7.4"/>
      <sheetName val="BCN 8.4"/>
      <sheetName val="BCN 9.4 "/>
      <sheetName val="9.4"/>
      <sheetName val="BCN 10.4"/>
      <sheetName val="10.4"/>
      <sheetName val="10.4 (L)"/>
      <sheetName val="BCN 14.4"/>
      <sheetName val="14.4"/>
      <sheetName val="BCN 15.4"/>
      <sheetName val="BCN 17.4"/>
      <sheetName val="17.4 (L) "/>
      <sheetName val="17.4"/>
      <sheetName val="BCN 21.4"/>
      <sheetName val="21.4"/>
      <sheetName val="BCN 23.4"/>
      <sheetName val="23.4"/>
      <sheetName val="25.4"/>
      <sheetName val="28.4"/>
      <sheetName val="29.4"/>
      <sheetName val="5.5"/>
      <sheetName val="BCN 5.5"/>
      <sheetName val="BCN 6.5"/>
      <sheetName val="6.5"/>
      <sheetName val="8.5"/>
      <sheetName val="12.5"/>
      <sheetName val="13.5"/>
      <sheetName val="15.5"/>
      <sheetName val="BCN 1.6"/>
      <sheetName val="18.5"/>
      <sheetName val="20.5"/>
      <sheetName val="21.5"/>
      <sheetName val="23.5"/>
      <sheetName val="25.5"/>
      <sheetName val="27.5"/>
      <sheetName val="29.5"/>
      <sheetName val="29.5 - L2"/>
      <sheetName val="1.6"/>
      <sheetName val="form 2 (16)"/>
      <sheetName val="In đơn"/>
      <sheetName val="Production BOM"/>
      <sheetName val="Items"/>
      <sheetName val="mm Pu"/>
      <sheetName val="master plan (2)"/>
      <sheetName val="form 2 (15)"/>
      <sheetName val="form 2 (14)"/>
      <sheetName val="28.5"/>
      <sheetName val="MỚI (2)"/>
      <sheetName val="Sheet1"/>
      <sheetName val="form 2 (13)"/>
      <sheetName val="Sheet6"/>
      <sheetName val="form 2 (12)"/>
      <sheetName val="form 2 (11)"/>
      <sheetName val="form 2 (10)"/>
      <sheetName val="form 2 (8)"/>
      <sheetName val="form 2 (7)"/>
      <sheetName val="form 2 (6)"/>
      <sheetName val="form 2 (5)"/>
      <sheetName val="Form (16)"/>
      <sheetName val="4.3"/>
      <sheetName val="6.3"/>
      <sheetName val="11.3"/>
      <sheetName val="12.3"/>
      <sheetName val="13.3"/>
      <sheetName val="20.3"/>
      <sheetName val="26.3"/>
      <sheetName val="28.3"/>
      <sheetName val="31.03"/>
      <sheetName val="4.4"/>
      <sheetName val="8.4"/>
      <sheetName val="11.4"/>
      <sheetName val="15.4"/>
      <sheetName val="16.4"/>
      <sheetName val="18.4"/>
      <sheetName val="19.4"/>
      <sheetName val="24.4"/>
      <sheetName val="29.04 "/>
      <sheetName val="3.5"/>
      <sheetName val="7.5 "/>
      <sheetName val="9.5 "/>
      <sheetName val="14.5"/>
      <sheetName val="16.5"/>
      <sheetName val="22.5"/>
      <sheetName val="30.5"/>
      <sheetName val="2.6"/>
      <sheetName val="3.6"/>
      <sheetName val="3.6 (L)"/>
      <sheetName val="4.6"/>
      <sheetName val="6.6"/>
      <sheetName val="9.6"/>
      <sheetName val="9.6 (L)"/>
      <sheetName val="10.6"/>
      <sheetName val="11.6"/>
      <sheetName val="12.6"/>
      <sheetName val="12.6 (L)"/>
      <sheetName val="13.6"/>
      <sheetName val="16.6"/>
      <sheetName val="16.6 (2)"/>
      <sheetName val="16.6 (L)"/>
      <sheetName val="18.6"/>
      <sheetName val="19.6"/>
      <sheetName val="23.6"/>
      <sheetName val="24.6"/>
      <sheetName val="25.6"/>
      <sheetName val="27.6"/>
      <sheetName val="30.6"/>
      <sheetName val="1.7"/>
      <sheetName val="4.7"/>
      <sheetName val="8.7"/>
      <sheetName val="9.7"/>
      <sheetName val="11.7"/>
      <sheetName val="11.7 (2)"/>
      <sheetName val="14.7"/>
      <sheetName val="15.7"/>
      <sheetName val="22.7"/>
      <sheetName val="22.7 (L)"/>
      <sheetName val="23.7"/>
      <sheetName val="24.7"/>
      <sheetName val="25.7"/>
      <sheetName val="25.7 (2)"/>
      <sheetName val="28.7"/>
      <sheetName val="28.7 (L)"/>
      <sheetName val="29.7"/>
      <sheetName val="30.7"/>
      <sheetName val="31.7"/>
      <sheetName val="1.8"/>
      <sheetName val="1.8 (2)"/>
      <sheetName val="4.8"/>
      <sheetName val="5.8"/>
      <sheetName val="6.8"/>
      <sheetName val="7.8"/>
      <sheetName val="8.8"/>
      <sheetName val="24.12 (3)"/>
      <sheetName val="11.8"/>
      <sheetName val="12.8"/>
      <sheetName val="13.8"/>
      <sheetName val="14.8"/>
      <sheetName val="19.8"/>
      <sheetName val="19.8 (2)"/>
      <sheetName val="20.8"/>
      <sheetName val="22.8 (L)"/>
      <sheetName val="22.8 (L) (2)"/>
      <sheetName val="25.8"/>
      <sheetName val="26.8"/>
      <sheetName val="29.8"/>
      <sheetName val="3.9"/>
      <sheetName val="4.9"/>
      <sheetName val="5.9"/>
      <sheetName val="8.9"/>
      <sheetName val="9.9"/>
      <sheetName val="11.9"/>
      <sheetName val="12.9"/>
      <sheetName val="12.9 (2)"/>
      <sheetName val="16.9"/>
      <sheetName val="17.9"/>
      <sheetName val="17.9 (2)"/>
      <sheetName val="19.9"/>
      <sheetName val="22.9"/>
      <sheetName val="23.9"/>
      <sheetName val="24.9"/>
      <sheetName val="29.9"/>
      <sheetName val="29.9 (2)"/>
      <sheetName val="1.10"/>
      <sheetName val="2.10"/>
      <sheetName val="3.10"/>
      <sheetName val="6.10"/>
      <sheetName val="9.10"/>
      <sheetName val="10.10"/>
      <sheetName val="10.10 (2)"/>
      <sheetName val="13.10"/>
      <sheetName val="15.10"/>
      <sheetName val="16.10"/>
      <sheetName val="17.10"/>
      <sheetName val="17.10 (2)"/>
      <sheetName val="20.10"/>
      <sheetName val="21.10"/>
      <sheetName val="22.10"/>
      <sheetName val="23.8 (L)"/>
      <sheetName val="23.10"/>
      <sheetName val="27.10"/>
      <sheetName val="28.10"/>
      <sheetName val="29.10"/>
      <sheetName val="30.10"/>
      <sheetName val="31.10"/>
      <sheetName val="4.11"/>
      <sheetName val="5.11"/>
      <sheetName val="6.11"/>
      <sheetName val="6.11 (2)"/>
      <sheetName val="7.11"/>
      <sheetName val="11.11"/>
      <sheetName val="14.11"/>
      <sheetName val="18.11"/>
      <sheetName val="19.11"/>
      <sheetName val="20.11"/>
      <sheetName val="21.11"/>
      <sheetName val="24.11"/>
      <sheetName val="26.11"/>
      <sheetName val="27.11"/>
      <sheetName val="01.12"/>
      <sheetName val="02.12"/>
      <sheetName val="03.12"/>
      <sheetName val="5.12"/>
      <sheetName val="5.12 (2)"/>
      <sheetName val="10.12"/>
      <sheetName val="11.12"/>
      <sheetName val="12.12"/>
      <sheetName val="16.12 "/>
      <sheetName val="19.12 (L) "/>
      <sheetName val="19.12"/>
      <sheetName val="20.12 "/>
      <sheetName val="23.12 "/>
      <sheetName val="24.12"/>
      <sheetName val="23.12 (L)"/>
      <sheetName val="26.12 "/>
      <sheetName val="30.12 "/>
      <sheetName val="Form"/>
      <sheetName val="BCN 22.4"/>
      <sheetName val="form 2 (4)"/>
      <sheetName val="form 2 (3)"/>
      <sheetName val="form 2"/>
      <sheetName val="25.4 (2)"/>
      <sheetName val="form 2 (17)"/>
      <sheetName val="form 2 (9)"/>
    </sheetNames>
    <sheetDataSet>
      <sheetData sheetId="0"/>
      <sheetData sheetId="1"/>
      <sheetData sheetId="2"/>
      <sheetData sheetId="3">
        <row r="1">
          <cell r="A1"/>
          <cell r="B1"/>
          <cell r="C1" t="str">
            <v>TẠM THỜI NGƯNG NHẬN LAZY</v>
          </cell>
          <cell r="D1"/>
          <cell r="E1"/>
          <cell r="F1"/>
          <cell r="G1" t="str">
            <v>ASICS 12MM DÙNG BOM 132 (roundup(12/132),5)</v>
          </cell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</row>
        <row r="2">
          <cell r="A2"/>
          <cell r="B2"/>
          <cell r="C2"/>
          <cell r="D2"/>
          <cell r="E2"/>
          <cell r="F2"/>
          <cell r="G2" t="str">
            <v>SAMPLE</v>
          </cell>
          <cell r="H2">
            <v>24460</v>
          </cell>
          <cell r="I2">
            <v>24460</v>
          </cell>
          <cell r="J2">
            <v>23333</v>
          </cell>
          <cell r="K2">
            <v>1127</v>
          </cell>
          <cell r="L2" t="str">
            <v>ASICS</v>
          </cell>
          <cell r="M2"/>
          <cell r="N2"/>
          <cell r="O2"/>
          <cell r="P2"/>
          <cell r="Q2" t="str">
            <v>ETD hệ thống+1ngay</v>
          </cell>
          <cell r="R2" t="e">
            <v>#VALUE!</v>
          </cell>
          <cell r="S2"/>
          <cell r="T2"/>
          <cell r="U2">
            <v>12</v>
          </cell>
          <cell r="V2"/>
          <cell r="W2">
            <v>1239</v>
          </cell>
        </row>
        <row r="3">
          <cell r="A3" t="str">
            <v>NO.Order</v>
          </cell>
          <cell r="B3"/>
          <cell r="C3" t="str">
            <v>Firm plan
(PU PVN)</v>
          </cell>
          <cell r="D3" t="str">
            <v>PUR</v>
          </cell>
          <cell r="E3" t="str">
            <v>Bun Code</v>
          </cell>
          <cell r="F3" t="str">
            <v>PU code</v>
          </cell>
          <cell r="G3" t="str">
            <v>MATERIAL NAME</v>
          </cell>
          <cell r="H3" t="str">
            <v xml:space="preserve">QTY of Order
(Sheet)
</v>
          </cell>
          <cell r="I3" t="str">
            <v xml:space="preserve">QTY 
 Delivery Plan
</v>
          </cell>
          <cell r="J3" t="str">
            <v>QTY
Actual Delivered
(Sheet)</v>
          </cell>
          <cell r="K3" t="str">
            <v>QTY 
not yet 
delivery
(Sheet)</v>
          </cell>
          <cell r="L3" t="str">
            <v>BRAND</v>
          </cell>
          <cell r="M3" t="str">
            <v>POV/SO</v>
          </cell>
          <cell r="N3" t="str">
            <v>Type</v>
          </cell>
          <cell r="O3" t="str">
            <v>W/H
KHO</v>
          </cell>
          <cell r="P3" t="str">
            <v>Received</v>
          </cell>
          <cell r="Q3" t="str">
            <v>ETD cf
giao hàng</v>
          </cell>
          <cell r="R3" t="str">
            <v>Ngày gửi Lab</v>
          </cell>
          <cell r="S3" t="str">
            <v>Standard Lead time</v>
          </cell>
          <cell r="T3" t="str">
            <v>Leadtime</v>
          </cell>
          <cell r="U3" t="str">
            <v>Thickness
(mm)</v>
          </cell>
          <cell r="V3" t="str">
            <v>BOM</v>
          </cell>
          <cell r="W3" t="str">
            <v>Total
 Buns
need to pour
(TACH)</v>
          </cell>
        </row>
        <row r="4">
          <cell r="A4" t="str">
            <v>S-2026-01-01</v>
          </cell>
          <cell r="B4"/>
          <cell r="C4" t="str">
            <v>RPRO-260105-0668</v>
          </cell>
          <cell r="D4" t="str">
            <v>PUR2601020001S</v>
          </cell>
          <cell r="E4" t="str">
            <v>BDB-000321</v>
          </cell>
          <cell r="F4" t="str">
            <v>PVN-004092</v>
          </cell>
          <cell r="G4" t="str">
            <v>OrthoLite Float BLUE ATOLL/16-4535TPX Flat Sheet 0.12D 21+/-4 Asker C 1.1M 2M 14.5mm</v>
          </cell>
          <cell r="H4">
            <v>30</v>
          </cell>
          <cell r="I4">
            <v>30</v>
          </cell>
          <cell r="J4">
            <v>30</v>
          </cell>
          <cell r="K4">
            <v>0</v>
          </cell>
          <cell r="L4" t="str">
            <v>LOWA</v>
          </cell>
          <cell r="M4" t="str">
            <v>Sample</v>
          </cell>
          <cell r="N4" t="str">
            <v>MOLDED</v>
          </cell>
          <cell r="O4" t="str">
            <v>Sample</v>
          </cell>
          <cell r="P4">
            <v>46024</v>
          </cell>
          <cell r="Q4">
            <v>46058</v>
          </cell>
          <cell r="R4">
            <v>46055</v>
          </cell>
          <cell r="S4">
            <v>6</v>
          </cell>
          <cell r="T4">
            <v>34</v>
          </cell>
          <cell r="U4">
            <v>14.5</v>
          </cell>
          <cell r="V4">
            <v>0.11111</v>
          </cell>
          <cell r="W4">
            <v>4</v>
          </cell>
        </row>
        <row r="5">
          <cell r="A5" t="str">
            <v>S-2026-01-02</v>
          </cell>
          <cell r="B5" t="str">
            <v>ok</v>
          </cell>
          <cell r="C5" t="str">
            <v>RPRO-260105-0669</v>
          </cell>
          <cell r="D5" t="str">
            <v>PUR2601020001S</v>
          </cell>
          <cell r="E5" t="str">
            <v>BDB-000051</v>
          </cell>
          <cell r="F5" t="str">
            <v>PVN-004057</v>
          </cell>
          <cell r="G5" t="str">
            <v>OrthoLite X-40 TRUE BLUE/19-4057TPX Flat Sheet 0.16D 25+/-4 Asker C 1.1M 1.7M 14.5mm</v>
          </cell>
          <cell r="H5">
            <v>30</v>
          </cell>
          <cell r="I5">
            <v>30</v>
          </cell>
          <cell r="J5">
            <v>30</v>
          </cell>
          <cell r="K5">
            <v>0</v>
          </cell>
          <cell r="L5" t="str">
            <v>LOWA</v>
          </cell>
          <cell r="M5" t="str">
            <v>Sample</v>
          </cell>
          <cell r="N5" t="str">
            <v>MOLDED</v>
          </cell>
          <cell r="O5" t="str">
            <v>Sample</v>
          </cell>
          <cell r="P5">
            <v>46024</v>
          </cell>
          <cell r="Q5">
            <v>46036</v>
          </cell>
          <cell r="R5">
            <v>46033</v>
          </cell>
          <cell r="S5">
            <v>6</v>
          </cell>
          <cell r="T5">
            <v>12</v>
          </cell>
          <cell r="U5">
            <v>14.5</v>
          </cell>
          <cell r="V5">
            <v>0.11111</v>
          </cell>
          <cell r="W5">
            <v>4</v>
          </cell>
        </row>
        <row r="6">
          <cell r="A6" t="str">
            <v>S-2026-01-03</v>
          </cell>
          <cell r="B6" t="str">
            <v>ok</v>
          </cell>
          <cell r="C6" t="str">
            <v>RPRO-260105-0670</v>
          </cell>
          <cell r="D6" t="str">
            <v>PUR2601020001S</v>
          </cell>
          <cell r="E6" t="str">
            <v>BDB-000123</v>
          </cell>
          <cell r="F6" t="str">
            <v>PVN-003743</v>
          </cell>
          <cell r="G6" t="str">
            <v>OrthoLite Ultra-Hybrid SEEDPEARL/12-0703TPX Hybrid Flat Sheet 0.085D 25+/-4 Asker C 1.1M 2M 5.5mm</v>
          </cell>
          <cell r="H6">
            <v>30</v>
          </cell>
          <cell r="I6">
            <v>30</v>
          </cell>
          <cell r="J6">
            <v>30</v>
          </cell>
          <cell r="K6">
            <v>0</v>
          </cell>
          <cell r="L6" t="str">
            <v>LOWA</v>
          </cell>
          <cell r="M6" t="str">
            <v>Sample</v>
          </cell>
          <cell r="N6" t="str">
            <v>MOLDED</v>
          </cell>
          <cell r="O6" t="str">
            <v>Sample</v>
          </cell>
          <cell r="P6">
            <v>46024</v>
          </cell>
          <cell r="Q6">
            <v>46036</v>
          </cell>
          <cell r="R6">
            <v>46033</v>
          </cell>
          <cell r="S6">
            <v>6</v>
          </cell>
          <cell r="T6">
            <v>12</v>
          </cell>
          <cell r="U6">
            <v>5.5</v>
          </cell>
          <cell r="V6">
            <v>0.04</v>
          </cell>
          <cell r="W6">
            <v>2</v>
          </cell>
        </row>
        <row r="7">
          <cell r="A7" t="str">
            <v>S-2026-01-04</v>
          </cell>
          <cell r="B7" t="str">
            <v>ok</v>
          </cell>
          <cell r="C7" t="str">
            <v>RPRO-260105-0671</v>
          </cell>
          <cell r="D7" t="str">
            <v>PUR2601020001S</v>
          </cell>
          <cell r="E7" t="str">
            <v>BDB-000113</v>
          </cell>
          <cell r="F7" t="str">
            <v>PVN-002465</v>
          </cell>
          <cell r="G7" t="str">
            <v>OrthoLite Regular-Hybrid SEEDPEARL/12-0703TPX Hybrid Flat Sheet 0.11D 25+/-4 Asker C 1.1M 2M 5mm</v>
          </cell>
          <cell r="H7">
            <v>100</v>
          </cell>
          <cell r="I7">
            <v>100</v>
          </cell>
          <cell r="J7">
            <v>100</v>
          </cell>
          <cell r="K7">
            <v>0</v>
          </cell>
          <cell r="L7" t="str">
            <v>ASICS</v>
          </cell>
          <cell r="M7" t="str">
            <v>Sample</v>
          </cell>
          <cell r="N7" t="str">
            <v>DIE-CUT</v>
          </cell>
          <cell r="O7" t="str">
            <v>Sample</v>
          </cell>
          <cell r="P7">
            <v>46024</v>
          </cell>
          <cell r="Q7">
            <v>46036</v>
          </cell>
          <cell r="R7">
            <v>46033</v>
          </cell>
          <cell r="S7">
            <v>6</v>
          </cell>
          <cell r="T7">
            <v>12</v>
          </cell>
          <cell r="U7">
            <v>5</v>
          </cell>
          <cell r="V7">
            <v>3.5709999999999999E-2</v>
          </cell>
          <cell r="W7">
            <v>4</v>
          </cell>
        </row>
        <row r="8">
          <cell r="A8" t="str">
            <v>S-2026-01-05</v>
          </cell>
          <cell r="B8" t="str">
            <v>ok</v>
          </cell>
          <cell r="C8" t="str">
            <v>RPRO-260105-0672</v>
          </cell>
          <cell r="D8" t="str">
            <v>PUR2601020001S</v>
          </cell>
          <cell r="E8" t="str">
            <v>BDB-000123</v>
          </cell>
          <cell r="F8" t="str">
            <v>PVN-003298</v>
          </cell>
          <cell r="G8" t="str">
            <v>OrthoLite Ultra-Hybrid SEEDPEARL/12-0703TPX Hybrid 0.085D 25+/-4 Asker C 1.1M 2M 4mm</v>
          </cell>
          <cell r="H8">
            <v>100</v>
          </cell>
          <cell r="I8">
            <v>100</v>
          </cell>
          <cell r="J8">
            <v>100</v>
          </cell>
          <cell r="K8">
            <v>0</v>
          </cell>
          <cell r="L8" t="str">
            <v>SALOMON</v>
          </cell>
          <cell r="M8" t="str">
            <v>Sample</v>
          </cell>
          <cell r="N8" t="str">
            <v>FL SHEET</v>
          </cell>
          <cell r="O8" t="str">
            <v>Sample</v>
          </cell>
          <cell r="P8">
            <v>46024</v>
          </cell>
          <cell r="Q8">
            <v>46036</v>
          </cell>
          <cell r="R8">
            <v>46033</v>
          </cell>
          <cell r="S8">
            <v>6</v>
          </cell>
          <cell r="T8">
            <v>12</v>
          </cell>
          <cell r="U8">
            <v>4</v>
          </cell>
          <cell r="V8">
            <v>2.8570000000000002E-2</v>
          </cell>
          <cell r="W8">
            <v>3</v>
          </cell>
        </row>
        <row r="9">
          <cell r="A9" t="str">
            <v>S-2026-01-06</v>
          </cell>
          <cell r="B9"/>
          <cell r="C9" t="str">
            <v>RPRO-260105-0673</v>
          </cell>
          <cell r="D9" t="str">
            <v>PUR2601020001S</v>
          </cell>
          <cell r="E9" t="str">
            <v>BDB-000057</v>
          </cell>
          <cell r="F9" t="str">
            <v>PVN-000825</v>
          </cell>
          <cell r="G9" t="str">
            <v>UltraLite OrthoLite YELLOW/13-0858TPX Flat Sheet 0.085D 25+/-4 Asker C 1.1M 2M 12mm</v>
          </cell>
          <cell r="H9">
            <v>40</v>
          </cell>
          <cell r="I9">
            <v>40</v>
          </cell>
          <cell r="J9">
            <v>40</v>
          </cell>
          <cell r="K9">
            <v>0</v>
          </cell>
          <cell r="L9" t="str">
            <v>ASICS</v>
          </cell>
          <cell r="M9" t="str">
            <v>Sample</v>
          </cell>
          <cell r="N9" t="str">
            <v>MOLDED</v>
          </cell>
          <cell r="O9" t="str">
            <v>Sample</v>
          </cell>
          <cell r="P9">
            <v>46024</v>
          </cell>
          <cell r="Q9">
            <v>46058</v>
          </cell>
          <cell r="R9">
            <v>46055</v>
          </cell>
          <cell r="S9">
            <v>6</v>
          </cell>
          <cell r="T9">
            <v>34</v>
          </cell>
          <cell r="U9">
            <v>12</v>
          </cell>
          <cell r="V9">
            <v>9.0909999999999991E-2</v>
          </cell>
          <cell r="W9">
            <v>4</v>
          </cell>
        </row>
        <row r="10">
          <cell r="A10" t="str">
            <v>S-2026-01-07</v>
          </cell>
          <cell r="B10"/>
          <cell r="C10" t="str">
            <v>RPRO-260105-0674</v>
          </cell>
          <cell r="D10" t="str">
            <v>PUR2601020001S</v>
          </cell>
          <cell r="E10" t="str">
            <v>BDB-000011</v>
          </cell>
          <cell r="F10" t="str">
            <v>PVN-000121</v>
          </cell>
          <cell r="G10" t="str">
            <v>OrthoLite Regular AIR BLUE/16-4134TPX 0.13D 35+/-4 Asker C 1.1M 2M 12mm</v>
          </cell>
          <cell r="H10">
            <v>80</v>
          </cell>
          <cell r="I10">
            <v>80</v>
          </cell>
          <cell r="J10">
            <v>80</v>
          </cell>
          <cell r="K10">
            <v>0</v>
          </cell>
          <cell r="L10" t="str">
            <v>ASICS</v>
          </cell>
          <cell r="M10" t="str">
            <v>Sample</v>
          </cell>
          <cell r="N10" t="str">
            <v>MOLDED</v>
          </cell>
          <cell r="O10" t="str">
            <v>Sample</v>
          </cell>
          <cell r="P10">
            <v>46024</v>
          </cell>
          <cell r="Q10">
            <v>46058</v>
          </cell>
          <cell r="R10">
            <v>46055</v>
          </cell>
          <cell r="S10">
            <v>6</v>
          </cell>
          <cell r="T10">
            <v>34</v>
          </cell>
          <cell r="U10">
            <v>12</v>
          </cell>
          <cell r="V10">
            <v>9.0909999999999991E-2</v>
          </cell>
          <cell r="W10">
            <v>8</v>
          </cell>
        </row>
        <row r="11">
          <cell r="A11" t="str">
            <v>S-2026-01-08</v>
          </cell>
          <cell r="B11"/>
          <cell r="C11" t="str">
            <v>RPRO-260105-0675</v>
          </cell>
          <cell r="D11" t="str">
            <v>PUR2601020001S</v>
          </cell>
          <cell r="E11" t="str">
            <v>BDB-000008</v>
          </cell>
          <cell r="F11" t="str">
            <v>PVN-000505</v>
          </cell>
          <cell r="G11" t="str">
            <v>OrthoLite Regular LIME GREEN/14-0452TPX 0.11D 25+/-4 Asker C 1.1M 2M 12mm</v>
          </cell>
          <cell r="H11">
            <v>40</v>
          </cell>
          <cell r="I11">
            <v>40</v>
          </cell>
          <cell r="J11">
            <v>40</v>
          </cell>
          <cell r="K11">
            <v>0</v>
          </cell>
          <cell r="L11" t="str">
            <v>ASICS</v>
          </cell>
          <cell r="M11" t="str">
            <v>Sample</v>
          </cell>
          <cell r="N11" t="str">
            <v>MOLDED</v>
          </cell>
          <cell r="O11" t="str">
            <v>Sample</v>
          </cell>
          <cell r="P11">
            <v>46024</v>
          </cell>
          <cell r="Q11">
            <v>46058</v>
          </cell>
          <cell r="R11">
            <v>46055</v>
          </cell>
          <cell r="S11">
            <v>6</v>
          </cell>
          <cell r="T11">
            <v>34</v>
          </cell>
          <cell r="U11">
            <v>12</v>
          </cell>
          <cell r="V11">
            <v>9.0909999999999991E-2</v>
          </cell>
          <cell r="W11">
            <v>4</v>
          </cell>
        </row>
        <row r="12">
          <cell r="A12" t="str">
            <v>S-2026-01-09</v>
          </cell>
          <cell r="B12" t="str">
            <v>keep</v>
          </cell>
          <cell r="C12" t="str">
            <v>RPRO-260105-0676</v>
          </cell>
          <cell r="D12" t="str">
            <v>PUR260010200002S</v>
          </cell>
          <cell r="E12" t="str">
            <v>BDB-000153</v>
          </cell>
          <cell r="F12" t="str">
            <v>PVN-004282</v>
          </cell>
          <cell r="G12" t="str">
            <v>OrthoLite X-35-Nike AMAZON/18-6024TPX Flat Sheet 0.145D 25+/-4 Asker C 1.1M 2M 2mm</v>
          </cell>
          <cell r="H12">
            <v>10</v>
          </cell>
          <cell r="I12">
            <v>10</v>
          </cell>
          <cell r="J12">
            <v>10</v>
          </cell>
          <cell r="K12">
            <v>0</v>
          </cell>
          <cell r="L12" t="str">
            <v>NIKE</v>
          </cell>
          <cell r="M12" t="str">
            <v xml:space="preserve"> Sample</v>
          </cell>
          <cell r="N12" t="str">
            <v>DIE CUT</v>
          </cell>
          <cell r="O12" t="str">
            <v>Sample</v>
          </cell>
          <cell r="P12">
            <v>46024</v>
          </cell>
          <cell r="Q12">
            <v>46036</v>
          </cell>
          <cell r="R12">
            <v>46033</v>
          </cell>
          <cell r="S12">
            <v>6</v>
          </cell>
          <cell r="T12">
            <v>12</v>
          </cell>
          <cell r="U12">
            <v>2</v>
          </cell>
          <cell r="V12">
            <v>1.4290000000000001E-2</v>
          </cell>
          <cell r="W12">
            <v>1</v>
          </cell>
        </row>
        <row r="13">
          <cell r="A13" t="str">
            <v>S-2026-01-10</v>
          </cell>
          <cell r="B13" t="str">
            <v>keep</v>
          </cell>
          <cell r="C13" t="str">
            <v>RPRO-260105-0677</v>
          </cell>
          <cell r="D13" t="str">
            <v>PUR260010200002S</v>
          </cell>
          <cell r="E13" t="str">
            <v>BDB-000153</v>
          </cell>
          <cell r="F13" t="str">
            <v>PVN-004283</v>
          </cell>
          <cell r="G13" t="str">
            <v>OrthoLite X-35-Nike AMAZON/18-6024TPX Flat Sheet 0.145D 25+/-4 Asker C 1.1M 2M 4mm</v>
          </cell>
          <cell r="H13">
            <v>10</v>
          </cell>
          <cell r="I13">
            <v>10</v>
          </cell>
          <cell r="J13">
            <v>10</v>
          </cell>
          <cell r="K13">
            <v>0</v>
          </cell>
          <cell r="L13" t="str">
            <v>NIKE</v>
          </cell>
          <cell r="M13" t="str">
            <v xml:space="preserve"> Sample</v>
          </cell>
          <cell r="N13" t="str">
            <v>DIE CUT</v>
          </cell>
          <cell r="O13" t="str">
            <v>Sample</v>
          </cell>
          <cell r="P13">
            <v>46024</v>
          </cell>
          <cell r="Q13">
            <v>46036</v>
          </cell>
          <cell r="R13">
            <v>46033</v>
          </cell>
          <cell r="S13">
            <v>6</v>
          </cell>
          <cell r="T13">
            <v>12</v>
          </cell>
          <cell r="U13">
            <v>4</v>
          </cell>
          <cell r="V13">
            <v>2.8570000000000002E-2</v>
          </cell>
          <cell r="W13">
            <v>1</v>
          </cell>
        </row>
        <row r="14">
          <cell r="A14" t="str">
            <v>L-2026-01-11</v>
          </cell>
          <cell r="B14"/>
          <cell r="C14" t="str">
            <v>RPRO-260105-0678</v>
          </cell>
          <cell r="D14" t="str">
            <v>nguyet.bui@ortholite.vn</v>
          </cell>
          <cell r="E14" t="str">
            <v>BDB-000131</v>
          </cell>
          <cell r="F14" t="str">
            <v>PVN-002424</v>
          </cell>
          <cell r="G14" t="str">
            <v>OrthoLite Regular-Nike AIR BLUE/16-4134TPX 0.11D 15+/-4 Asker C 1.1M 2M 3.5mm</v>
          </cell>
          <cell r="H14">
            <v>5</v>
          </cell>
          <cell r="I14">
            <v>5</v>
          </cell>
          <cell r="J14">
            <v>5</v>
          </cell>
          <cell r="K14">
            <v>0</v>
          </cell>
          <cell r="L14" t="str">
            <v>NIKE-POU CHEN</v>
          </cell>
          <cell r="M14" t="str">
            <v>Lab test</v>
          </cell>
          <cell r="N14"/>
          <cell r="O14" t="str">
            <v>Lab test</v>
          </cell>
          <cell r="P14">
            <v>46025</v>
          </cell>
          <cell r="Q14">
            <v>46032</v>
          </cell>
          <cell r="R14">
            <v>46029</v>
          </cell>
          <cell r="S14">
            <v>6</v>
          </cell>
          <cell r="T14">
            <v>7</v>
          </cell>
          <cell r="U14">
            <v>3.5</v>
          </cell>
          <cell r="V14">
            <v>2.5000000000000001E-2</v>
          </cell>
          <cell r="W14">
            <v>1</v>
          </cell>
        </row>
        <row r="15">
          <cell r="A15" t="str">
            <v>L-2026-01-12</v>
          </cell>
          <cell r="B15"/>
          <cell r="C15" t="str">
            <v>RPRO-260105-0679</v>
          </cell>
          <cell r="D15" t="str">
            <v>nguyet.bui@ortholite.vn</v>
          </cell>
          <cell r="E15" t="str">
            <v>BDB-000131</v>
          </cell>
          <cell r="F15" t="str">
            <v>PVN-001635</v>
          </cell>
          <cell r="G15" t="str">
            <v>OrthoLite Regular-Nike AIR BLUE/16-4134TPX 0.11D 15+/-4 Asker C 1.1M 2M 10mm</v>
          </cell>
          <cell r="H15">
            <v>5</v>
          </cell>
          <cell r="I15">
            <v>5</v>
          </cell>
          <cell r="J15">
            <v>5</v>
          </cell>
          <cell r="K15">
            <v>0</v>
          </cell>
          <cell r="L15" t="str">
            <v>NIKE-POU CHEN</v>
          </cell>
          <cell r="M15" t="str">
            <v>Lab test</v>
          </cell>
          <cell r="N15"/>
          <cell r="O15" t="str">
            <v>Lab test</v>
          </cell>
          <cell r="P15">
            <v>46025</v>
          </cell>
          <cell r="Q15">
            <v>46032</v>
          </cell>
          <cell r="R15">
            <v>46029</v>
          </cell>
          <cell r="S15">
            <v>6</v>
          </cell>
          <cell r="T15">
            <v>7</v>
          </cell>
          <cell r="U15">
            <v>10</v>
          </cell>
          <cell r="V15">
            <v>7.6920000000000002E-2</v>
          </cell>
          <cell r="W15">
            <v>1</v>
          </cell>
        </row>
        <row r="16">
          <cell r="A16" t="str">
            <v>L-2026-01-13</v>
          </cell>
          <cell r="B16"/>
          <cell r="C16" t="str">
            <v>RPRO-260105-0680</v>
          </cell>
          <cell r="D16" t="str">
            <v>nguyet.bui@ortholite.vn</v>
          </cell>
          <cell r="E16" t="str">
            <v>BDB-000221</v>
          </cell>
          <cell r="F16" t="str">
            <v>PVN-004123</v>
          </cell>
          <cell r="G16" t="str">
            <v>OrthoLite X-40-Hybrid-Nike SEEDPEARL/12-0703TPX Hybrid Flat Sheet 0.16D 25+/-4 Asker C 1.1M 1.7M 3mm</v>
          </cell>
          <cell r="H16">
            <v>5</v>
          </cell>
          <cell r="I16">
            <v>5</v>
          </cell>
          <cell r="J16">
            <v>5</v>
          </cell>
          <cell r="K16">
            <v>0</v>
          </cell>
          <cell r="L16" t="str">
            <v>NIKE-POU CHEN</v>
          </cell>
          <cell r="M16" t="str">
            <v>Lab test</v>
          </cell>
          <cell r="N16"/>
          <cell r="O16" t="str">
            <v>Lab test</v>
          </cell>
          <cell r="P16">
            <v>46025</v>
          </cell>
          <cell r="Q16">
            <v>46032</v>
          </cell>
          <cell r="R16">
            <v>46029</v>
          </cell>
          <cell r="S16">
            <v>6</v>
          </cell>
          <cell r="T16">
            <v>7</v>
          </cell>
          <cell r="U16">
            <v>3</v>
          </cell>
          <cell r="V16">
            <v>2.1739999999999999E-2</v>
          </cell>
          <cell r="W16">
            <v>1</v>
          </cell>
        </row>
        <row r="17">
          <cell r="A17" t="str">
            <v>L-2026-01-14</v>
          </cell>
          <cell r="B17"/>
          <cell r="C17" t="str">
            <v>RPRO-260105-0681</v>
          </cell>
          <cell r="D17" t="str">
            <v>nguyet.bui@ortholite.vn</v>
          </cell>
          <cell r="E17" t="str">
            <v>BDB-000221</v>
          </cell>
          <cell r="F17" t="str">
            <v>PVN-004124</v>
          </cell>
          <cell r="G17" t="str">
            <v>OrthoLite X-40-Hybrid-Nike SEEDPEARL/12-0703TPX 0.16D 25+/-4 Asker C 1.1M 1.7M 10mm</v>
          </cell>
          <cell r="H17">
            <v>5</v>
          </cell>
          <cell r="I17">
            <v>5</v>
          </cell>
          <cell r="J17">
            <v>5</v>
          </cell>
          <cell r="K17">
            <v>0</v>
          </cell>
          <cell r="L17" t="str">
            <v>NIKE-POU CHEN</v>
          </cell>
          <cell r="M17" t="str">
            <v>Lab test</v>
          </cell>
          <cell r="N17"/>
          <cell r="O17" t="str">
            <v>Lab test</v>
          </cell>
          <cell r="P17">
            <v>46025</v>
          </cell>
          <cell r="Q17">
            <v>46032</v>
          </cell>
          <cell r="R17">
            <v>46029</v>
          </cell>
          <cell r="S17">
            <v>6</v>
          </cell>
          <cell r="T17">
            <v>7</v>
          </cell>
          <cell r="U17">
            <v>10</v>
          </cell>
          <cell r="V17">
            <v>7.6920000000000002E-2</v>
          </cell>
          <cell r="W17">
            <v>1</v>
          </cell>
        </row>
        <row r="18">
          <cell r="A18" t="str">
            <v>L-2026-01-15</v>
          </cell>
          <cell r="B18" t="str">
            <v>ok</v>
          </cell>
          <cell r="C18" t="str">
            <v>RPRO-260105-0682</v>
          </cell>
          <cell r="D18" t="str">
            <v>nguyet.bui@ortholite.vn</v>
          </cell>
          <cell r="E18" t="str">
            <v>BDB-000154</v>
          </cell>
          <cell r="F18" t="str">
            <v>PVN-003386</v>
          </cell>
          <cell r="G18" t="str">
            <v>OrthoLite X-40-Nike TRUE BLUE/19-4057TPX 0.16D 35+/-4 Asker C 1.1M 1.7M 10mm</v>
          </cell>
          <cell r="H18">
            <v>5</v>
          </cell>
          <cell r="I18">
            <v>5</v>
          </cell>
          <cell r="J18">
            <v>5</v>
          </cell>
          <cell r="K18">
            <v>0</v>
          </cell>
          <cell r="L18" t="str">
            <v>NIKE-POU CHEN</v>
          </cell>
          <cell r="M18" t="str">
            <v>Lab test</v>
          </cell>
          <cell r="N18"/>
          <cell r="O18" t="str">
            <v>Lab test</v>
          </cell>
          <cell r="P18">
            <v>46025</v>
          </cell>
          <cell r="Q18">
            <v>46032</v>
          </cell>
          <cell r="R18">
            <v>46029</v>
          </cell>
          <cell r="S18">
            <v>6</v>
          </cell>
          <cell r="T18">
            <v>7</v>
          </cell>
          <cell r="U18">
            <v>10</v>
          </cell>
          <cell r="V18">
            <v>7.6920000000000002E-2</v>
          </cell>
          <cell r="W18">
            <v>1</v>
          </cell>
        </row>
        <row r="19">
          <cell r="A19" t="str">
            <v>L-2026-01-16</v>
          </cell>
          <cell r="B19" t="str">
            <v>ok</v>
          </cell>
          <cell r="C19" t="str">
            <v>RPRO-260105-0683</v>
          </cell>
          <cell r="D19" t="str">
            <v>nguyet.bui@ortholite.vn</v>
          </cell>
          <cell r="E19" t="str">
            <v>BDB-000154</v>
          </cell>
          <cell r="F19" t="str">
            <v>PVN-003385</v>
          </cell>
          <cell r="G19" t="str">
            <v>OrthoLite X-40-Nike TRUE BLUE/19-4057TPX 0.16D 35+/-4 Asker C 1.1M 1.7M 3.5mm</v>
          </cell>
          <cell r="H19">
            <v>5</v>
          </cell>
          <cell r="I19">
            <v>5</v>
          </cell>
          <cell r="J19">
            <v>5</v>
          </cell>
          <cell r="K19">
            <v>0</v>
          </cell>
          <cell r="L19" t="str">
            <v>NIKE-POU CHEN</v>
          </cell>
          <cell r="M19" t="str">
            <v>Lab test</v>
          </cell>
          <cell r="N19"/>
          <cell r="O19" t="str">
            <v>Lab test</v>
          </cell>
          <cell r="P19">
            <v>46025</v>
          </cell>
          <cell r="Q19">
            <v>46032</v>
          </cell>
          <cell r="R19">
            <v>46029</v>
          </cell>
          <cell r="S19">
            <v>6</v>
          </cell>
          <cell r="T19">
            <v>7</v>
          </cell>
          <cell r="U19">
            <v>3.5</v>
          </cell>
          <cell r="V19">
            <v>2.5000000000000001E-2</v>
          </cell>
          <cell r="W19">
            <v>1</v>
          </cell>
        </row>
        <row r="20">
          <cell r="A20" t="str">
            <v>S-2026-01-17</v>
          </cell>
          <cell r="B20" t="str">
            <v xml:space="preserve">gấp -keep </v>
          </cell>
          <cell r="C20" t="str">
            <v>RPRO-260105-0684</v>
          </cell>
          <cell r="D20" t="str">
            <v>PUR2601050001S</v>
          </cell>
          <cell r="E20" t="str">
            <v>BDB-000123</v>
          </cell>
          <cell r="F20" t="str">
            <v>PVN-003298</v>
          </cell>
          <cell r="G20" t="str">
            <v>OrthoLite Ultra-Hybrid SEEDPEARL/12-0703TPX Hybrid 0.085D 25+/-4 Asker C 1.1M 2M 4mm</v>
          </cell>
          <cell r="H20">
            <v>400</v>
          </cell>
          <cell r="I20">
            <v>400</v>
          </cell>
          <cell r="J20">
            <v>400</v>
          </cell>
          <cell r="K20">
            <v>0</v>
          </cell>
          <cell r="L20" t="str">
            <v>ADIDAS</v>
          </cell>
          <cell r="M20" t="str">
            <v>SSO-2601-00030 - URGENT</v>
          </cell>
          <cell r="N20" t="str">
            <v>Flat sheet</v>
          </cell>
          <cell r="O20" t="str">
            <v>Sample</v>
          </cell>
          <cell r="P20">
            <v>46027</v>
          </cell>
          <cell r="Q20">
            <v>46037</v>
          </cell>
          <cell r="R20">
            <v>46034</v>
          </cell>
          <cell r="S20">
            <v>6</v>
          </cell>
          <cell r="T20">
            <v>10</v>
          </cell>
          <cell r="U20">
            <v>4</v>
          </cell>
          <cell r="V20">
            <v>2.8570000000000002E-2</v>
          </cell>
          <cell r="W20">
            <v>12</v>
          </cell>
        </row>
        <row r="21">
          <cell r="A21" t="str">
            <v>S-2026-01-18</v>
          </cell>
          <cell r="B21" t="str">
            <v xml:space="preserve">gấp -keep </v>
          </cell>
          <cell r="C21" t="str">
            <v>RPRO-260105-0685</v>
          </cell>
          <cell r="D21" t="str">
            <v>PUR2601050002S</v>
          </cell>
          <cell r="E21" t="str">
            <v>BDB-000123</v>
          </cell>
          <cell r="F21" t="str">
            <v>PVN-003299</v>
          </cell>
          <cell r="G21" t="str">
            <v>OrthoLite Ultra-Hybrid SEEDPEARL/12-0703TPX Hybrid 0.085D 25+/-4 Asker C 1.1M 2M 3mm</v>
          </cell>
          <cell r="H21">
            <v>300</v>
          </cell>
          <cell r="I21">
            <v>300</v>
          </cell>
          <cell r="J21">
            <v>300</v>
          </cell>
          <cell r="K21">
            <v>0</v>
          </cell>
          <cell r="L21" t="str">
            <v>ADIDAS</v>
          </cell>
          <cell r="M21" t="str">
            <v>SSO-2601-00019/SSO-2601-00021/SSO-2601-00022/SSO-2601-00023/SSO-2601-00070/SSO-2601-00072 - URGENT</v>
          </cell>
          <cell r="N21" t="str">
            <v>Flat sheet</v>
          </cell>
          <cell r="O21" t="str">
            <v>Sample</v>
          </cell>
          <cell r="P21">
            <v>46027</v>
          </cell>
          <cell r="Q21">
            <v>46037</v>
          </cell>
          <cell r="R21">
            <v>46034</v>
          </cell>
          <cell r="S21">
            <v>6</v>
          </cell>
          <cell r="T21">
            <v>10</v>
          </cell>
          <cell r="U21">
            <v>3</v>
          </cell>
          <cell r="V21">
            <v>2.1739999999999999E-2</v>
          </cell>
          <cell r="W21">
            <v>7</v>
          </cell>
        </row>
        <row r="22">
          <cell r="A22" t="str">
            <v>S-2026-01-19</v>
          </cell>
          <cell r="B22" t="str">
            <v>keep</v>
          </cell>
          <cell r="C22" t="str">
            <v>RPRO-260105-0686</v>
          </cell>
          <cell r="D22" t="str">
            <v>PUR260010500003S</v>
          </cell>
          <cell r="E22" t="str">
            <v>BDB-000226</v>
          </cell>
          <cell r="F22" t="str">
            <v>PVN-004052</v>
          </cell>
          <cell r="G22" t="str">
            <v>OrthoLite Regular GREY/17-1501TPX Flat Sheet 0.16D 51+/-4 Asker C 1.1M 1.7M 9.5mm</v>
          </cell>
          <cell r="H22">
            <v>30</v>
          </cell>
          <cell r="I22">
            <v>30</v>
          </cell>
          <cell r="J22">
            <v>30</v>
          </cell>
          <cell r="K22">
            <v>0</v>
          </cell>
          <cell r="L22" t="str">
            <v>FOOTJOY</v>
          </cell>
          <cell r="M22" t="str">
            <v>Sample</v>
          </cell>
          <cell r="N22" t="str">
            <v>MOLED</v>
          </cell>
          <cell r="O22" t="str">
            <v>Sample</v>
          </cell>
          <cell r="P22">
            <v>46027</v>
          </cell>
          <cell r="Q22">
            <v>46037</v>
          </cell>
          <cell r="R22">
            <v>46034</v>
          </cell>
          <cell r="S22">
            <v>6</v>
          </cell>
          <cell r="T22">
            <v>10</v>
          </cell>
          <cell r="U22">
            <v>9.5</v>
          </cell>
          <cell r="V22">
            <v>7.1429999999999993E-2</v>
          </cell>
          <cell r="W22">
            <v>3</v>
          </cell>
        </row>
        <row r="23">
          <cell r="A23" t="str">
            <v>S-2026-01-20</v>
          </cell>
          <cell r="B23" t="str">
            <v>keep</v>
          </cell>
          <cell r="C23" t="str">
            <v>RPRO-260105-0687</v>
          </cell>
          <cell r="D23" t="str">
            <v>PUR2601050004S</v>
          </cell>
          <cell r="E23" t="str">
            <v>BDB-000116</v>
          </cell>
          <cell r="F23" t="str">
            <v>PVN-004074</v>
          </cell>
          <cell r="G23" t="str">
            <v>OrthoLite Regular-Hybrid SEEDPEARL/12-0703TPX Hybrid Flat Sheet 0.13D 25+/-4 Asker C 1.1M 2M 2mm</v>
          </cell>
          <cell r="H23">
            <v>20</v>
          </cell>
          <cell r="I23">
            <v>20</v>
          </cell>
          <cell r="J23">
            <v>20</v>
          </cell>
          <cell r="K23">
            <v>0</v>
          </cell>
          <cell r="L23" t="str">
            <v>COACH</v>
          </cell>
          <cell r="M23" t="str">
            <v>SSO-2601-00091</v>
          </cell>
          <cell r="N23" t="str">
            <v>Flat sheet</v>
          </cell>
          <cell r="O23" t="str">
            <v>Sample</v>
          </cell>
          <cell r="P23">
            <v>46027</v>
          </cell>
          <cell r="Q23">
            <v>46037</v>
          </cell>
          <cell r="R23">
            <v>46034</v>
          </cell>
          <cell r="S23">
            <v>6</v>
          </cell>
          <cell r="T23">
            <v>10</v>
          </cell>
          <cell r="U23">
            <v>2</v>
          </cell>
          <cell r="V23">
            <v>1.4290000000000001E-2</v>
          </cell>
          <cell r="W23">
            <v>1</v>
          </cell>
        </row>
        <row r="24">
          <cell r="A24" t="str">
            <v>S-2026-01-21</v>
          </cell>
          <cell r="B24" t="str">
            <v>ok keep</v>
          </cell>
          <cell r="C24" t="str">
            <v>RPRO-260105-0688</v>
          </cell>
          <cell r="D24" t="str">
            <v>PUR2601050004S</v>
          </cell>
          <cell r="E24" t="str">
            <v>BDB-000200</v>
          </cell>
          <cell r="F24" t="str">
            <v>PVN-003425</v>
          </cell>
          <cell r="G24" t="str">
            <v>OrthoLite Ultra SEEDPEARL/12-0703TPX Flat Sheet 0.085D 78-90 Asker F 1.1M 2M 4mm</v>
          </cell>
          <cell r="H24">
            <v>100</v>
          </cell>
          <cell r="I24">
            <v>100</v>
          </cell>
          <cell r="J24">
            <v>100</v>
          </cell>
          <cell r="K24">
            <v>0</v>
          </cell>
          <cell r="L24" t="str">
            <v>ADIDAS</v>
          </cell>
          <cell r="M24" t="str">
            <v>SSO-2601-00106</v>
          </cell>
          <cell r="N24" t="str">
            <v>Flat sheet</v>
          </cell>
          <cell r="O24" t="str">
            <v>Sample</v>
          </cell>
          <cell r="P24">
            <v>46027</v>
          </cell>
          <cell r="Q24">
            <v>46037</v>
          </cell>
          <cell r="R24">
            <v>46034</v>
          </cell>
          <cell r="S24">
            <v>6</v>
          </cell>
          <cell r="T24">
            <v>10</v>
          </cell>
          <cell r="U24">
            <v>4</v>
          </cell>
          <cell r="V24">
            <v>2.8570000000000002E-2</v>
          </cell>
          <cell r="W24">
            <v>3</v>
          </cell>
        </row>
        <row r="25">
          <cell r="A25" t="str">
            <v>L-2026-01-22</v>
          </cell>
          <cell r="B25"/>
          <cell r="C25" t="str">
            <v>RPRO-260109-0095</v>
          </cell>
          <cell r="D25" t="str">
            <v>ly.vtc@ortholite.vn</v>
          </cell>
          <cell r="E25" t="str">
            <v>BDB-000362</v>
          </cell>
          <cell r="F25" t="str">
            <v>PVN-004259</v>
          </cell>
          <cell r="G25" t="str">
            <v>OrthoLite X-60-Hybrid SEEDPEARL/12-0703TPX Hybrid Flat Sheet 0.19D 28+/-4 Asker C 1.1M 1.7M 12mm</v>
          </cell>
          <cell r="H25">
            <v>2</v>
          </cell>
          <cell r="I25">
            <v>2</v>
          </cell>
          <cell r="J25">
            <v>2</v>
          </cell>
          <cell r="K25">
            <v>0</v>
          </cell>
          <cell r="L25" t="str">
            <v>BROOKS/LONGFA</v>
          </cell>
          <cell r="M25" t="str">
            <v>Lab test</v>
          </cell>
          <cell r="N25"/>
          <cell r="O25" t="str">
            <v>Lab test</v>
          </cell>
          <cell r="P25">
            <v>46028</v>
          </cell>
          <cell r="Q25">
            <v>46038</v>
          </cell>
          <cell r="R25">
            <v>46035</v>
          </cell>
          <cell r="S25">
            <v>6</v>
          </cell>
          <cell r="T25">
            <v>10</v>
          </cell>
          <cell r="U25">
            <v>12</v>
          </cell>
          <cell r="V25">
            <v>9.0910000000000005E-2</v>
          </cell>
          <cell r="W25">
            <v>1</v>
          </cell>
        </row>
        <row r="26">
          <cell r="A26" t="str">
            <v>S-2026-01-23</v>
          </cell>
          <cell r="B26"/>
          <cell r="C26" t="str">
            <v>RPRO-260113-0624</v>
          </cell>
          <cell r="D26" t="str">
            <v>PUR260010600001S</v>
          </cell>
          <cell r="E26" t="str">
            <v>BDB-000154</v>
          </cell>
          <cell r="F26" t="str">
            <v>PVN-003347</v>
          </cell>
          <cell r="G26" t="str">
            <v>OrthoLite X-40-Nike TRUE BLUE/19-4057TPX Flat Sheet 0.16D 35+/-4 Asker C 1.1M 1.7M 4mm</v>
          </cell>
          <cell r="H26">
            <v>30</v>
          </cell>
          <cell r="I26">
            <v>30</v>
          </cell>
          <cell r="J26">
            <v>30</v>
          </cell>
          <cell r="K26">
            <v>0</v>
          </cell>
          <cell r="L26" t="str">
            <v>NIKE</v>
          </cell>
          <cell r="M26" t="str">
            <v>Sample</v>
          </cell>
          <cell r="N26" t="str">
            <v>MOLED</v>
          </cell>
          <cell r="O26" t="str">
            <v>Sample</v>
          </cell>
          <cell r="P26">
            <v>46028</v>
          </cell>
          <cell r="Q26">
            <v>46059</v>
          </cell>
          <cell r="R26">
            <v>46056</v>
          </cell>
          <cell r="S26">
            <v>6</v>
          </cell>
          <cell r="T26">
            <v>31</v>
          </cell>
          <cell r="U26">
            <v>4</v>
          </cell>
          <cell r="V26">
            <v>2.8570000000000002E-2</v>
          </cell>
          <cell r="W26">
            <v>1</v>
          </cell>
        </row>
        <row r="27">
          <cell r="A27" t="str">
            <v>S-2026-01-24</v>
          </cell>
          <cell r="B27"/>
          <cell r="C27" t="str">
            <v>RPRO-260113-0625</v>
          </cell>
          <cell r="D27" t="str">
            <v>PUR260010600001S</v>
          </cell>
          <cell r="E27" t="str">
            <v>BDB-000134</v>
          </cell>
          <cell r="F27" t="str">
            <v>PVN-001664</v>
          </cell>
          <cell r="G27" t="str">
            <v>OrthoLite Regular-Nike YELLOW/13-0858TPX Flat Sheet 0.11D 25+/-4 Asker C 1.1M 1.7M 2mm</v>
          </cell>
          <cell r="H27">
            <v>30</v>
          </cell>
          <cell r="I27">
            <v>30</v>
          </cell>
          <cell r="J27">
            <v>30</v>
          </cell>
          <cell r="K27">
            <v>0</v>
          </cell>
          <cell r="L27" t="str">
            <v>NIKE</v>
          </cell>
          <cell r="M27" t="str">
            <v>Sample</v>
          </cell>
          <cell r="N27" t="str">
            <v>MOLED</v>
          </cell>
          <cell r="O27" t="str">
            <v>Sample</v>
          </cell>
          <cell r="P27">
            <v>46028</v>
          </cell>
          <cell r="Q27">
            <v>46059</v>
          </cell>
          <cell r="R27">
            <v>46056</v>
          </cell>
          <cell r="S27">
            <v>6</v>
          </cell>
          <cell r="T27">
            <v>31</v>
          </cell>
          <cell r="U27">
            <v>2</v>
          </cell>
          <cell r="V27">
            <v>1.4290000000000001E-2</v>
          </cell>
          <cell r="W27">
            <v>1</v>
          </cell>
        </row>
        <row r="28">
          <cell r="A28" t="str">
            <v>S-2026-01-25</v>
          </cell>
          <cell r="B28"/>
          <cell r="C28" t="str">
            <v>RPRO-260113-0626</v>
          </cell>
          <cell r="D28" t="str">
            <v>PUR260010600001S</v>
          </cell>
          <cell r="E28" t="str">
            <v>BDB-000185</v>
          </cell>
          <cell r="F28" t="str">
            <v>PVN-001737</v>
          </cell>
          <cell r="G28" t="str">
            <v>OrthoLite Regular-Nike YELLOW/13-0858TPX Flat Sheet 0.11D 25+/-4 Asker C 1.1M 2M 5mm</v>
          </cell>
          <cell r="H28">
            <v>30</v>
          </cell>
          <cell r="I28">
            <v>30</v>
          </cell>
          <cell r="J28">
            <v>30</v>
          </cell>
          <cell r="K28">
            <v>0</v>
          </cell>
          <cell r="L28" t="str">
            <v>NIKE</v>
          </cell>
          <cell r="M28" t="str">
            <v>Sample</v>
          </cell>
          <cell r="N28" t="str">
            <v>MOLED</v>
          </cell>
          <cell r="O28" t="str">
            <v>Sample</v>
          </cell>
          <cell r="P28">
            <v>46028</v>
          </cell>
          <cell r="Q28">
            <v>46059</v>
          </cell>
          <cell r="R28">
            <v>46056</v>
          </cell>
          <cell r="S28">
            <v>6</v>
          </cell>
          <cell r="T28">
            <v>31</v>
          </cell>
          <cell r="U28">
            <v>5</v>
          </cell>
          <cell r="V28">
            <v>3.5709999999999999E-2</v>
          </cell>
          <cell r="W28">
            <v>2</v>
          </cell>
        </row>
        <row r="29">
          <cell r="A29" t="str">
            <v>S-2026-01-26</v>
          </cell>
          <cell r="B29"/>
          <cell r="C29" t="str">
            <v>RPRO-260113-0627</v>
          </cell>
          <cell r="D29" t="str">
            <v>PUR260010600001S</v>
          </cell>
          <cell r="E29" t="str">
            <v>BDB-000129</v>
          </cell>
          <cell r="F29" t="str">
            <v>PVN-001550</v>
          </cell>
          <cell r="G29" t="str">
            <v>OrthoLite Regular-Nike AIR BLUE/16-4134TPX Flat Sheet 0.11D 25+/-4 Asker C 1.1M 1.7M 2mm</v>
          </cell>
          <cell r="H29">
            <v>50</v>
          </cell>
          <cell r="I29">
            <v>50</v>
          </cell>
          <cell r="J29">
            <v>50</v>
          </cell>
          <cell r="K29">
            <v>0</v>
          </cell>
          <cell r="L29" t="str">
            <v>NIKE</v>
          </cell>
          <cell r="M29" t="str">
            <v>Sample</v>
          </cell>
          <cell r="N29" t="str">
            <v>DIE CUT</v>
          </cell>
          <cell r="O29" t="str">
            <v>Sample</v>
          </cell>
          <cell r="P29">
            <v>46028</v>
          </cell>
          <cell r="Q29">
            <v>46059</v>
          </cell>
          <cell r="R29">
            <v>46056</v>
          </cell>
          <cell r="S29">
            <v>6</v>
          </cell>
          <cell r="T29">
            <v>31</v>
          </cell>
          <cell r="U29">
            <v>2</v>
          </cell>
          <cell r="V29">
            <v>1.4290000000000001E-2</v>
          </cell>
          <cell r="W29">
            <v>1</v>
          </cell>
        </row>
        <row r="30">
          <cell r="A30" t="str">
            <v>S-2026-01-27</v>
          </cell>
          <cell r="B30"/>
          <cell r="C30" t="str">
            <v>RPRO-260113-0628</v>
          </cell>
          <cell r="D30" t="str">
            <v>PUR260010600001S</v>
          </cell>
          <cell r="E30" t="str">
            <v>BDB-000335</v>
          </cell>
          <cell r="F30" t="str">
            <v>PVN-004166</v>
          </cell>
          <cell r="G30" t="str">
            <v>OrthoLite Regular SEEDPEARL/12-0703TPX Flat Sheet 0.16D 51+/-4 Asker C 1.1M 1.7M 9.5mm</v>
          </cell>
          <cell r="H30">
            <v>30</v>
          </cell>
          <cell r="I30">
            <v>30</v>
          </cell>
          <cell r="J30">
            <v>30</v>
          </cell>
          <cell r="K30">
            <v>0</v>
          </cell>
          <cell r="L30" t="str">
            <v>FOOTJOY</v>
          </cell>
          <cell r="M30" t="str">
            <v>Sample</v>
          </cell>
          <cell r="N30" t="str">
            <v>MOLED</v>
          </cell>
          <cell r="O30" t="str">
            <v>Sample</v>
          </cell>
          <cell r="P30">
            <v>46028</v>
          </cell>
          <cell r="Q30">
            <v>46059</v>
          </cell>
          <cell r="R30">
            <v>46056</v>
          </cell>
          <cell r="S30">
            <v>6</v>
          </cell>
          <cell r="T30">
            <v>31</v>
          </cell>
          <cell r="U30">
            <v>9.5</v>
          </cell>
          <cell r="V30">
            <v>7.1429999999999993E-2</v>
          </cell>
          <cell r="W30">
            <v>3</v>
          </cell>
        </row>
        <row r="31">
          <cell r="A31" t="str">
            <v>S-2026-01-28</v>
          </cell>
          <cell r="B31"/>
          <cell r="C31" t="str">
            <v>RPRO-260113-0629</v>
          </cell>
          <cell r="D31" t="str">
            <v>PUR2601060003S</v>
          </cell>
          <cell r="E31" t="str">
            <v>BDB-000209</v>
          </cell>
          <cell r="F31" t="str">
            <v>PVN-003461</v>
          </cell>
          <cell r="G31" t="str">
            <v>OrthoLite HybridPlus-Recycled MINT GREEN/11-4805TPX Hybrid Flat Sheet 0.12D 25+/-4 Asker C 1.1M 2M 11mm</v>
          </cell>
          <cell r="H31">
            <v>40</v>
          </cell>
          <cell r="I31">
            <v>40</v>
          </cell>
          <cell r="J31">
            <v>40</v>
          </cell>
          <cell r="K31">
            <v>0</v>
          </cell>
          <cell r="L31" t="str">
            <v>AKU</v>
          </cell>
          <cell r="M31" t="str">
            <v>SAMPLE</v>
          </cell>
          <cell r="N31" t="str">
            <v>OE-0111</v>
          </cell>
          <cell r="O31" t="str">
            <v>Sample</v>
          </cell>
          <cell r="P31">
            <v>46028</v>
          </cell>
          <cell r="Q31">
            <v>46059</v>
          </cell>
          <cell r="R31">
            <v>46056</v>
          </cell>
          <cell r="S31">
            <v>6</v>
          </cell>
          <cell r="T31">
            <v>31</v>
          </cell>
          <cell r="U31">
            <v>11</v>
          </cell>
          <cell r="V31">
            <v>8.3330000000000001E-2</v>
          </cell>
          <cell r="W31">
            <v>4</v>
          </cell>
        </row>
        <row r="32">
          <cell r="A32" t="str">
            <v>S-2026-01-29</v>
          </cell>
          <cell r="B32"/>
          <cell r="C32" t="str">
            <v>RPRO-260113-0630</v>
          </cell>
          <cell r="D32" t="str">
            <v>PUR-202601060002S</v>
          </cell>
          <cell r="E32" t="str">
            <v>BDB-000051</v>
          </cell>
          <cell r="F32" t="str">
            <v>PVN-003319</v>
          </cell>
          <cell r="G32" t="str">
            <v>OrthoLite X-40 TRUE BLUE/19-4057TPX Flat Sheet 0.16D 25+/-4 Asker C 1.1M 1.7M 12mm</v>
          </cell>
          <cell r="H32">
            <v>70</v>
          </cell>
          <cell r="I32">
            <v>70</v>
          </cell>
          <cell r="J32">
            <v>70</v>
          </cell>
          <cell r="K32">
            <v>0</v>
          </cell>
          <cell r="L32" t="str">
            <v>ASICS</v>
          </cell>
          <cell r="M32" t="str">
            <v>Sample</v>
          </cell>
          <cell r="N32" t="str">
            <v>MOLDED</v>
          </cell>
          <cell r="O32" t="str">
            <v>Sample</v>
          </cell>
          <cell r="P32">
            <v>46028</v>
          </cell>
          <cell r="Q32">
            <v>46059</v>
          </cell>
          <cell r="R32">
            <v>46056</v>
          </cell>
          <cell r="S32">
            <v>6</v>
          </cell>
          <cell r="T32">
            <v>31</v>
          </cell>
          <cell r="U32">
            <v>12</v>
          </cell>
          <cell r="V32">
            <v>9.0909999999999991E-2</v>
          </cell>
          <cell r="W32">
            <v>7</v>
          </cell>
        </row>
        <row r="33">
          <cell r="A33" t="str">
            <v>S-2026-01-30</v>
          </cell>
          <cell r="B33"/>
          <cell r="C33" t="str">
            <v>RPRO-260115-0298</v>
          </cell>
          <cell r="D33" t="str">
            <v>PUR-202601060002S</v>
          </cell>
          <cell r="E33" t="str">
            <v>BDB-000235</v>
          </cell>
          <cell r="F33" t="str">
            <v>PVN-003576</v>
          </cell>
          <cell r="G33" t="str">
            <v>OrthoLite X-55-Hybrid FOSSIL/17-0909TPX Hybrid 0.16D 25+/-4 Asker C 1.1M 1.7M 12mm</v>
          </cell>
          <cell r="H33">
            <v>100</v>
          </cell>
          <cell r="I33">
            <v>100</v>
          </cell>
          <cell r="J33">
            <v>100</v>
          </cell>
          <cell r="K33">
            <v>0</v>
          </cell>
          <cell r="L33" t="str">
            <v>ASICS</v>
          </cell>
          <cell r="M33" t="str">
            <v>Sample</v>
          </cell>
          <cell r="N33" t="str">
            <v>MOLDED</v>
          </cell>
          <cell r="O33" t="str">
            <v>Sample</v>
          </cell>
          <cell r="P33">
            <v>46028</v>
          </cell>
          <cell r="Q33">
            <v>46060</v>
          </cell>
          <cell r="R33">
            <v>46057</v>
          </cell>
          <cell r="S33">
            <v>6</v>
          </cell>
          <cell r="T33">
            <v>32</v>
          </cell>
          <cell r="U33">
            <v>12</v>
          </cell>
          <cell r="V33">
            <v>9.0909999999999991E-2</v>
          </cell>
          <cell r="W33">
            <v>10</v>
          </cell>
        </row>
        <row r="34">
          <cell r="A34" t="str">
            <v>S-2026-01-31</v>
          </cell>
          <cell r="B34"/>
          <cell r="C34" t="str">
            <v>RPRO-260115-0299</v>
          </cell>
          <cell r="D34" t="str">
            <v>PUR-202601060002S</v>
          </cell>
          <cell r="E34" t="str">
            <v>BDB-000234</v>
          </cell>
          <cell r="F34" t="str">
            <v>PVN-003581</v>
          </cell>
          <cell r="G34" t="str">
            <v>OrthoLite X-30-Hybrid BROWN SUGAR/17-1134TPX Hybrid Flat Sheet 0.13D 25+/-4 Asker C 1.1M 2M 12mm</v>
          </cell>
          <cell r="H34">
            <v>100</v>
          </cell>
          <cell r="I34">
            <v>100</v>
          </cell>
          <cell r="J34">
            <v>100</v>
          </cell>
          <cell r="K34">
            <v>0</v>
          </cell>
          <cell r="L34" t="str">
            <v>ASICS</v>
          </cell>
          <cell r="M34" t="str">
            <v>Sample</v>
          </cell>
          <cell r="N34" t="str">
            <v>MOLDED</v>
          </cell>
          <cell r="O34" t="str">
            <v>Sample</v>
          </cell>
          <cell r="P34">
            <v>46028</v>
          </cell>
          <cell r="Q34">
            <v>46060</v>
          </cell>
          <cell r="R34">
            <v>46057</v>
          </cell>
          <cell r="S34">
            <v>6</v>
          </cell>
          <cell r="T34">
            <v>32</v>
          </cell>
          <cell r="U34">
            <v>12</v>
          </cell>
          <cell r="V34">
            <v>9.0909999999999991E-2</v>
          </cell>
          <cell r="W34">
            <v>10</v>
          </cell>
        </row>
        <row r="35">
          <cell r="A35" t="str">
            <v>S-2026-01-32</v>
          </cell>
          <cell r="B35"/>
          <cell r="C35" t="str">
            <v>RPRO-260115-0300</v>
          </cell>
          <cell r="D35" t="str">
            <v>PUR-202601060002S</v>
          </cell>
          <cell r="E35" t="str">
            <v>BDB-000113</v>
          </cell>
          <cell r="F35" t="str">
            <v>PVN-003414</v>
          </cell>
          <cell r="G35" t="str">
            <v>OrthoLite Regular-Hybrid SEEDPEARL/12-0703TPX Hybrid 0.11D 25+/-4 Asker C 1.1M 2M 12mm</v>
          </cell>
          <cell r="H35">
            <v>150</v>
          </cell>
          <cell r="I35">
            <v>150</v>
          </cell>
          <cell r="J35">
            <v>150</v>
          </cell>
          <cell r="K35">
            <v>0</v>
          </cell>
          <cell r="L35" t="str">
            <v>ASICS</v>
          </cell>
          <cell r="M35" t="str">
            <v>Sample</v>
          </cell>
          <cell r="N35" t="str">
            <v>MOLDED</v>
          </cell>
          <cell r="O35" t="str">
            <v>Sample</v>
          </cell>
          <cell r="P35">
            <v>46028</v>
          </cell>
          <cell r="Q35">
            <v>46060</v>
          </cell>
          <cell r="R35">
            <v>46057</v>
          </cell>
          <cell r="S35">
            <v>6</v>
          </cell>
          <cell r="T35">
            <v>32</v>
          </cell>
          <cell r="U35">
            <v>12</v>
          </cell>
          <cell r="V35">
            <v>9.0909999999999991E-2</v>
          </cell>
          <cell r="W35">
            <v>14</v>
          </cell>
        </row>
        <row r="36">
          <cell r="A36" t="str">
            <v>S-2026-01-33</v>
          </cell>
          <cell r="B36"/>
          <cell r="C36" t="str">
            <v>RPRO-260115-0301</v>
          </cell>
          <cell r="D36" t="str">
            <v>PUR-202601060002S</v>
          </cell>
          <cell r="E36" t="str">
            <v>BDB-000235</v>
          </cell>
          <cell r="F36" t="str">
            <v>PVN-004189</v>
          </cell>
          <cell r="G36" t="str">
            <v>OrthoLite X-55-Hybrid FOSSIL/17-0909TPX Hybrid Flat Sheet 0.16D 25+/-4 Asker C 1.1M 1.7M 13mm</v>
          </cell>
          <cell r="H36">
            <v>20</v>
          </cell>
          <cell r="I36">
            <v>20</v>
          </cell>
          <cell r="J36">
            <v>20</v>
          </cell>
          <cell r="K36">
            <v>0</v>
          </cell>
          <cell r="L36" t="str">
            <v>ASICS</v>
          </cell>
          <cell r="M36" t="str">
            <v>Sample</v>
          </cell>
          <cell r="N36" t="str">
            <v>MOLDED</v>
          </cell>
          <cell r="O36" t="str">
            <v>Sample</v>
          </cell>
          <cell r="P36">
            <v>46028</v>
          </cell>
          <cell r="Q36">
            <v>46061</v>
          </cell>
          <cell r="R36">
            <v>46058</v>
          </cell>
          <cell r="S36">
            <v>6</v>
          </cell>
          <cell r="T36">
            <v>33</v>
          </cell>
          <cell r="U36">
            <v>13</v>
          </cell>
          <cell r="V36">
            <v>0.1</v>
          </cell>
          <cell r="W36">
            <v>2</v>
          </cell>
        </row>
        <row r="37">
          <cell r="A37" t="str">
            <v>S-2026-01-34</v>
          </cell>
          <cell r="B37"/>
          <cell r="C37" t="str">
            <v>RPRO-260115-0302</v>
          </cell>
          <cell r="D37" t="str">
            <v>PUR-202601060002S</v>
          </cell>
          <cell r="E37" t="str">
            <v>BDB-000123</v>
          </cell>
          <cell r="F37" t="str">
            <v>PVN-003298</v>
          </cell>
          <cell r="G37" t="str">
            <v>OrthoLite Ultra-Hybrid SEEDPEARL/12-0703TPX Hybrid 0.085D 25+/-4 Asker C 1.1M 2M 4mm</v>
          </cell>
          <cell r="H37">
            <v>100</v>
          </cell>
          <cell r="I37">
            <v>100</v>
          </cell>
          <cell r="J37">
            <v>100</v>
          </cell>
          <cell r="K37">
            <v>0</v>
          </cell>
          <cell r="L37" t="str">
            <v>SALOMON</v>
          </cell>
          <cell r="M37" t="str">
            <v>Sample</v>
          </cell>
          <cell r="N37" t="str">
            <v>FL SHEET</v>
          </cell>
          <cell r="O37" t="str">
            <v>Sample</v>
          </cell>
          <cell r="P37">
            <v>46028</v>
          </cell>
          <cell r="Q37">
            <v>46061</v>
          </cell>
          <cell r="R37">
            <v>46058</v>
          </cell>
          <cell r="S37">
            <v>6</v>
          </cell>
          <cell r="T37">
            <v>33</v>
          </cell>
          <cell r="U37">
            <v>4</v>
          </cell>
          <cell r="V37">
            <v>2.8570000000000002E-2</v>
          </cell>
          <cell r="W37">
            <v>3</v>
          </cell>
        </row>
        <row r="38">
          <cell r="A38" t="str">
            <v>S-2026-01-35</v>
          </cell>
          <cell r="B38"/>
          <cell r="C38" t="str">
            <v>RPRO-260115-0303</v>
          </cell>
          <cell r="D38" t="str">
            <v>PUR-202601060002S</v>
          </cell>
          <cell r="E38" t="str">
            <v>BDB-000057</v>
          </cell>
          <cell r="F38" t="str">
            <v>PVN-000925</v>
          </cell>
          <cell r="G38" t="str">
            <v>OrthoLite Ultra YELLOW/13-0858TPX 0.085D 25+/-4 Asker C 1.1M 2M 5mm</v>
          </cell>
          <cell r="H38">
            <v>20</v>
          </cell>
          <cell r="I38">
            <v>20</v>
          </cell>
          <cell r="J38">
            <v>20</v>
          </cell>
          <cell r="K38">
            <v>0</v>
          </cell>
          <cell r="L38" t="str">
            <v>ASICS</v>
          </cell>
          <cell r="M38" t="str">
            <v>Sample</v>
          </cell>
          <cell r="N38" t="str">
            <v>FL SHEET</v>
          </cell>
          <cell r="O38" t="str">
            <v>Sample</v>
          </cell>
          <cell r="P38">
            <v>46028</v>
          </cell>
          <cell r="Q38">
            <v>46061</v>
          </cell>
          <cell r="R38">
            <v>46058</v>
          </cell>
          <cell r="S38">
            <v>6</v>
          </cell>
          <cell r="T38">
            <v>33</v>
          </cell>
          <cell r="U38">
            <v>5</v>
          </cell>
          <cell r="V38">
            <v>3.5709999999999999E-2</v>
          </cell>
          <cell r="W38">
            <v>1</v>
          </cell>
        </row>
        <row r="39">
          <cell r="A39" t="str">
            <v>S-2026-01-36</v>
          </cell>
          <cell r="B39"/>
          <cell r="C39" t="str">
            <v>RPRO-260115-0304</v>
          </cell>
          <cell r="D39" t="str">
            <v>PUR-202601060002S</v>
          </cell>
          <cell r="E39" t="str">
            <v>BDB-000235</v>
          </cell>
          <cell r="F39" t="str">
            <v>PVN-003833</v>
          </cell>
          <cell r="G39" t="str">
            <v>OrthoLite X-55-Hybrid FOSSIL/17-0909TPX Hybrid Flat Sheet 0.16D 25+/-4 Asker C 1.1M 1.7M 17mm</v>
          </cell>
          <cell r="H39">
            <v>20</v>
          </cell>
          <cell r="I39">
            <v>20</v>
          </cell>
          <cell r="J39">
            <v>20</v>
          </cell>
          <cell r="K39">
            <v>0</v>
          </cell>
          <cell r="L39" t="str">
            <v>ASICS</v>
          </cell>
          <cell r="M39" t="str">
            <v>Sample</v>
          </cell>
          <cell r="N39" t="str">
            <v>MOLDED</v>
          </cell>
          <cell r="O39" t="str">
            <v>Sample</v>
          </cell>
          <cell r="P39">
            <v>46028</v>
          </cell>
          <cell r="Q39">
            <v>46061</v>
          </cell>
          <cell r="R39">
            <v>46058</v>
          </cell>
          <cell r="S39">
            <v>6</v>
          </cell>
          <cell r="T39">
            <v>33</v>
          </cell>
          <cell r="U39">
            <v>17</v>
          </cell>
          <cell r="V39">
            <v>0.14285999999999999</v>
          </cell>
          <cell r="W39">
            <v>3</v>
          </cell>
        </row>
        <row r="40">
          <cell r="A40" t="str">
            <v>S-2026-01-37</v>
          </cell>
          <cell r="B40"/>
          <cell r="C40" t="str">
            <v>RPRO-260115-0305</v>
          </cell>
          <cell r="D40" t="str">
            <v>PUR-202601060002S</v>
          </cell>
          <cell r="E40" t="str">
            <v>BDB-000113</v>
          </cell>
          <cell r="F40" t="str">
            <v>PVN-004084</v>
          </cell>
          <cell r="G40" t="str">
            <v>OrthoLite Regular-Hybrid SEEDPEARL/12-0703TPX Hybrid Flat Sheet 0.11D 25+/-4 Asker C 1.1M 2M 18.5mm</v>
          </cell>
          <cell r="H40">
            <v>15</v>
          </cell>
          <cell r="I40">
            <v>15</v>
          </cell>
          <cell r="J40">
            <v>15</v>
          </cell>
          <cell r="K40">
            <v>0</v>
          </cell>
          <cell r="L40" t="str">
            <v>ASICS</v>
          </cell>
          <cell r="M40" t="str">
            <v>Sample</v>
          </cell>
          <cell r="N40" t="str">
            <v>MOLDED</v>
          </cell>
          <cell r="O40" t="str">
            <v>Sample</v>
          </cell>
          <cell r="P40">
            <v>46028</v>
          </cell>
          <cell r="Q40">
            <v>46061</v>
          </cell>
          <cell r="R40">
            <v>46058</v>
          </cell>
          <cell r="S40">
            <v>6</v>
          </cell>
          <cell r="T40">
            <v>33</v>
          </cell>
          <cell r="U40">
            <v>18.5</v>
          </cell>
          <cell r="V40">
            <v>0.14285999999999999</v>
          </cell>
          <cell r="W40">
            <v>3</v>
          </cell>
        </row>
        <row r="41">
          <cell r="A41" t="str">
            <v>S-2026-01-38</v>
          </cell>
          <cell r="B41"/>
          <cell r="C41" t="str">
            <v>RPRO-260115-0306</v>
          </cell>
          <cell r="D41" t="str">
            <v>PUR-202601060002S</v>
          </cell>
          <cell r="E41" t="str">
            <v>BDB-000334</v>
          </cell>
          <cell r="F41" t="str">
            <v>PVN-004220</v>
          </cell>
          <cell r="G41" t="str">
            <v>OrthoLite X-55-Hybrid FOSSIL/17-0909TPX Hybrid Flat Sheet 0.16D 25+/-4 Asker C 1.1M 2M 18.5mm</v>
          </cell>
          <cell r="H41">
            <v>15</v>
          </cell>
          <cell r="I41">
            <v>15</v>
          </cell>
          <cell r="J41">
            <v>15</v>
          </cell>
          <cell r="K41">
            <v>0</v>
          </cell>
          <cell r="L41" t="str">
            <v>ASICS</v>
          </cell>
          <cell r="M41" t="str">
            <v>Sample</v>
          </cell>
          <cell r="N41" t="str">
            <v>MOLDED</v>
          </cell>
          <cell r="O41" t="str">
            <v>Sample</v>
          </cell>
          <cell r="P41">
            <v>46028</v>
          </cell>
          <cell r="Q41">
            <v>46061</v>
          </cell>
          <cell r="R41">
            <v>46058</v>
          </cell>
          <cell r="S41">
            <v>6</v>
          </cell>
          <cell r="T41">
            <v>33</v>
          </cell>
          <cell r="U41">
            <v>18.5</v>
          </cell>
          <cell r="V41">
            <v>0.14285999999999999</v>
          </cell>
          <cell r="W41">
            <v>3</v>
          </cell>
        </row>
        <row r="42">
          <cell r="A42" t="str">
            <v>S-2026-01-39</v>
          </cell>
          <cell r="B42"/>
          <cell r="C42" t="str">
            <v>RPRO-260115-0307</v>
          </cell>
          <cell r="D42" t="str">
            <v>PUR-202601060002S</v>
          </cell>
          <cell r="E42" t="str">
            <v>BDB-000011</v>
          </cell>
          <cell r="F42" t="str">
            <v>PVN-003965</v>
          </cell>
          <cell r="G42" t="str">
            <v>OrthoLite Regular AIR BLUE/16-4134TPX Flat Sheet 0.13D 35+/-4 Asker C 1.1M 2M 2mm</v>
          </cell>
          <cell r="H42">
            <v>30</v>
          </cell>
          <cell r="I42">
            <v>30</v>
          </cell>
          <cell r="J42">
            <v>30</v>
          </cell>
          <cell r="K42">
            <v>0</v>
          </cell>
          <cell r="L42" t="str">
            <v>ASICS</v>
          </cell>
          <cell r="M42" t="str">
            <v>Sample</v>
          </cell>
          <cell r="N42" t="str">
            <v>FL SHEET</v>
          </cell>
          <cell r="O42" t="str">
            <v>Sample</v>
          </cell>
          <cell r="P42">
            <v>46028</v>
          </cell>
          <cell r="Q42">
            <v>46061</v>
          </cell>
          <cell r="R42">
            <v>46058</v>
          </cell>
          <cell r="S42">
            <v>6</v>
          </cell>
          <cell r="T42">
            <v>33</v>
          </cell>
          <cell r="U42">
            <v>2</v>
          </cell>
          <cell r="V42">
            <v>1.4290000000000001E-2</v>
          </cell>
          <cell r="W42">
            <v>1</v>
          </cell>
        </row>
        <row r="43">
          <cell r="A43" t="str">
            <v>S-2026-01-40</v>
          </cell>
          <cell r="B43"/>
          <cell r="C43" t="str">
            <v>RPRO-260115-0308</v>
          </cell>
          <cell r="D43" t="str">
            <v>PUR-202601060002S</v>
          </cell>
          <cell r="E43" t="str">
            <v>BDB-000011</v>
          </cell>
          <cell r="F43" t="str">
            <v>PVN-000127</v>
          </cell>
          <cell r="G43" t="str">
            <v>OrthoLite Regular AIR BLUE/16-4134TPX 0.13D 35+/-4 Asker C 1.1M 2M 5mm</v>
          </cell>
          <cell r="H43">
            <v>30</v>
          </cell>
          <cell r="I43">
            <v>30</v>
          </cell>
          <cell r="J43">
            <v>30</v>
          </cell>
          <cell r="K43">
            <v>0</v>
          </cell>
          <cell r="L43" t="str">
            <v>ASICS</v>
          </cell>
          <cell r="M43" t="str">
            <v>Sample</v>
          </cell>
          <cell r="N43" t="str">
            <v>FL SHEET</v>
          </cell>
          <cell r="O43" t="str">
            <v>Sample</v>
          </cell>
          <cell r="P43">
            <v>46028</v>
          </cell>
          <cell r="Q43">
            <v>46061</v>
          </cell>
          <cell r="R43">
            <v>46058</v>
          </cell>
          <cell r="S43">
            <v>6</v>
          </cell>
          <cell r="T43">
            <v>33</v>
          </cell>
          <cell r="U43">
            <v>5</v>
          </cell>
          <cell r="V43">
            <v>3.5709999999999999E-2</v>
          </cell>
          <cell r="W43">
            <v>2</v>
          </cell>
        </row>
        <row r="44">
          <cell r="A44" t="str">
            <v>S-2026-01-41</v>
          </cell>
          <cell r="B44"/>
          <cell r="C44" t="str">
            <v>RPRO-260115-0309</v>
          </cell>
          <cell r="D44" t="str">
            <v>PUR-202601060002S</v>
          </cell>
          <cell r="E44" t="str">
            <v>BDB-000113</v>
          </cell>
          <cell r="F44" t="str">
            <v>PVN-003601</v>
          </cell>
          <cell r="G44" t="str">
            <v>OrthoLite Regular-Hybrid SEEDPEARL/12-0703TPX Hybrid Flat Sheet 0.11D 25+/-4 Asker C 1.1M 2M 20mm</v>
          </cell>
          <cell r="H44">
            <v>20</v>
          </cell>
          <cell r="I44">
            <v>20</v>
          </cell>
          <cell r="J44">
            <v>20</v>
          </cell>
          <cell r="K44">
            <v>0</v>
          </cell>
          <cell r="L44" t="str">
            <v>ASICS</v>
          </cell>
          <cell r="M44" t="str">
            <v>Sample</v>
          </cell>
          <cell r="N44" t="str">
            <v>MOLDED</v>
          </cell>
          <cell r="O44" t="str">
            <v>Sample</v>
          </cell>
          <cell r="P44">
            <v>46028</v>
          </cell>
          <cell r="Q44">
            <v>46061</v>
          </cell>
          <cell r="R44">
            <v>46058</v>
          </cell>
          <cell r="S44">
            <v>6</v>
          </cell>
          <cell r="T44">
            <v>33</v>
          </cell>
          <cell r="U44">
            <v>20</v>
          </cell>
          <cell r="V44">
            <v>0.16667000000000001</v>
          </cell>
          <cell r="W44">
            <v>4</v>
          </cell>
        </row>
        <row r="45">
          <cell r="A45" t="str">
            <v>S-2026-01-42</v>
          </cell>
          <cell r="B45"/>
          <cell r="C45" t="str">
            <v>RPRO-260109-0096</v>
          </cell>
          <cell r="D45" t="str">
            <v xml:space="preserve">PUR2601070001S  </v>
          </cell>
          <cell r="E45" t="str">
            <v>BDB-000123</v>
          </cell>
          <cell r="F45" t="str">
            <v>PVN-003298</v>
          </cell>
          <cell r="G45" t="str">
            <v>OrthoLite Ultra-Hybrid SEEDPEARL/12-0703TPX Hybrid Flat Sheet 0.085D 25+/-4 Asker C 1.1M 2M 4mm</v>
          </cell>
          <cell r="H45">
            <v>400</v>
          </cell>
          <cell r="I45">
            <v>400</v>
          </cell>
          <cell r="J45">
            <v>400</v>
          </cell>
          <cell r="K45">
            <v>0</v>
          </cell>
          <cell r="L45" t="str">
            <v>ADIDAS</v>
          </cell>
          <cell r="M45" t="str">
            <v>SSO-2601-00155 - URGENT (need PU on 1-20)</v>
          </cell>
          <cell r="N45" t="str">
            <v>Flat sheet</v>
          </cell>
          <cell r="O45" t="str">
            <v>Sample</v>
          </cell>
          <cell r="P45">
            <v>46029</v>
          </cell>
          <cell r="Q45">
            <v>46042</v>
          </cell>
          <cell r="R45">
            <v>46039</v>
          </cell>
          <cell r="S45">
            <v>6</v>
          </cell>
          <cell r="T45">
            <v>13</v>
          </cell>
          <cell r="U45">
            <v>4</v>
          </cell>
          <cell r="V45">
            <v>2.8570000000000002E-2</v>
          </cell>
          <cell r="W45">
            <v>12</v>
          </cell>
        </row>
        <row r="46">
          <cell r="A46" t="str">
            <v>S-2026-01-43</v>
          </cell>
          <cell r="B46"/>
          <cell r="C46" t="str">
            <v>RPRO-260109-0097</v>
          </cell>
          <cell r="D46" t="str">
            <v>PUR-202601080001S</v>
          </cell>
          <cell r="E46" t="str">
            <v>BDB-000051</v>
          </cell>
          <cell r="F46" t="str">
            <v>PVN-003323</v>
          </cell>
          <cell r="G46" t="str">
            <v>OrthoLite X-40 TRUE BLUE/19-4057TPX Flat Sheet 0.16D 25+/-4 Asker C 1.1M 1.7M 3mm</v>
          </cell>
          <cell r="H46">
            <v>30</v>
          </cell>
          <cell r="I46">
            <v>30</v>
          </cell>
          <cell r="J46">
            <v>30</v>
          </cell>
          <cell r="K46">
            <v>0</v>
          </cell>
          <cell r="L46" t="str">
            <v>ASICS</v>
          </cell>
          <cell r="M46" t="str">
            <v>Sample</v>
          </cell>
          <cell r="N46" t="str">
            <v>FL SHEET /URGENT 20/01</v>
          </cell>
          <cell r="O46" t="str">
            <v>Sample</v>
          </cell>
          <cell r="P46">
            <v>46029</v>
          </cell>
          <cell r="Q46">
            <v>46042</v>
          </cell>
          <cell r="R46">
            <v>46039</v>
          </cell>
          <cell r="S46">
            <v>6</v>
          </cell>
          <cell r="T46">
            <v>13</v>
          </cell>
          <cell r="U46">
            <v>3</v>
          </cell>
          <cell r="V46">
            <v>2.1739999999999999E-2</v>
          </cell>
          <cell r="W46">
            <v>1</v>
          </cell>
        </row>
        <row r="47">
          <cell r="A47" t="str">
            <v>S-2026-01-44</v>
          </cell>
          <cell r="B47"/>
          <cell r="C47" t="str">
            <v>RPRO-260109-0098</v>
          </cell>
          <cell r="D47" t="str">
            <v>PUR-202601080001S</v>
          </cell>
          <cell r="E47" t="str">
            <v>BDB-000011</v>
          </cell>
          <cell r="F47" t="str">
            <v>PVN-003965</v>
          </cell>
          <cell r="G47" t="str">
            <v>OrthoLite Regular AIR BLUE/16-4134TPX Flat Sheet 0.13D 35+/-4 Asker C 1.1M 2M 2mm</v>
          </cell>
          <cell r="H47">
            <v>40</v>
          </cell>
          <cell r="I47">
            <v>40</v>
          </cell>
          <cell r="J47">
            <v>40</v>
          </cell>
          <cell r="K47">
            <v>0</v>
          </cell>
          <cell r="L47" t="str">
            <v>ASICS</v>
          </cell>
          <cell r="M47" t="str">
            <v>Sample</v>
          </cell>
          <cell r="N47" t="str">
            <v>FL SHEET /URGENT 20/01</v>
          </cell>
          <cell r="O47" t="str">
            <v>Sample</v>
          </cell>
          <cell r="P47">
            <v>46029</v>
          </cell>
          <cell r="Q47">
            <v>46042</v>
          </cell>
          <cell r="R47">
            <v>46039</v>
          </cell>
          <cell r="S47">
            <v>6</v>
          </cell>
          <cell r="T47">
            <v>13</v>
          </cell>
          <cell r="U47">
            <v>2</v>
          </cell>
          <cell r="V47">
            <v>1.4290000000000001E-2</v>
          </cell>
          <cell r="W47">
            <v>1</v>
          </cell>
        </row>
        <row r="48">
          <cell r="A48" t="str">
            <v>S-2026-01-45</v>
          </cell>
          <cell r="B48"/>
          <cell r="C48" t="str">
            <v>RPRO-260109-0099</v>
          </cell>
          <cell r="D48" t="str">
            <v>PUR-202601080001S</v>
          </cell>
          <cell r="E48" t="str">
            <v>BDB-000011</v>
          </cell>
          <cell r="F48" t="str">
            <v>PVN-004128</v>
          </cell>
          <cell r="G48" t="str">
            <v>OrthoLite Regular AIR BLUE/16-4134TPX Flat Sheet 0.13D 35+/-4 Asker C 1.1M 2M 3mm</v>
          </cell>
          <cell r="H48">
            <v>40</v>
          </cell>
          <cell r="I48">
            <v>40</v>
          </cell>
          <cell r="J48">
            <v>40</v>
          </cell>
          <cell r="K48">
            <v>0</v>
          </cell>
          <cell r="L48" t="str">
            <v>ASICS</v>
          </cell>
          <cell r="M48" t="str">
            <v>Sample</v>
          </cell>
          <cell r="N48" t="str">
            <v>FL SHEET/URGENT 20/01</v>
          </cell>
          <cell r="O48" t="str">
            <v>Sample</v>
          </cell>
          <cell r="P48">
            <v>46029</v>
          </cell>
          <cell r="Q48">
            <v>46042</v>
          </cell>
          <cell r="R48">
            <v>46039</v>
          </cell>
          <cell r="S48">
            <v>6</v>
          </cell>
          <cell r="T48">
            <v>13</v>
          </cell>
          <cell r="U48">
            <v>3</v>
          </cell>
          <cell r="V48">
            <v>2.1739999999999999E-2</v>
          </cell>
          <cell r="W48">
            <v>1</v>
          </cell>
        </row>
        <row r="49">
          <cell r="A49" t="str">
            <v>S-2026-01-46</v>
          </cell>
          <cell r="B49"/>
          <cell r="C49" t="str">
            <v>RPRO-260120-0349</v>
          </cell>
          <cell r="D49" t="str">
            <v>PUR-202601080001S</v>
          </cell>
          <cell r="E49" t="str">
            <v>BDB-000011</v>
          </cell>
          <cell r="F49" t="str">
            <v>PVN-000127</v>
          </cell>
          <cell r="G49" t="str">
            <v>OrthoLite Regular AIR BLUE/16-4134TPX 0.13D 35+/-4 Asker C 1.1M 2M 5mm</v>
          </cell>
          <cell r="H49">
            <v>30</v>
          </cell>
          <cell r="I49">
            <v>30</v>
          </cell>
          <cell r="J49">
            <v>30</v>
          </cell>
          <cell r="K49">
            <v>0</v>
          </cell>
          <cell r="L49" t="str">
            <v>ASICS</v>
          </cell>
          <cell r="M49" t="str">
            <v>Sample</v>
          </cell>
          <cell r="N49" t="str">
            <v>FL SHEET</v>
          </cell>
          <cell r="O49" t="str">
            <v>Sample</v>
          </cell>
          <cell r="P49">
            <v>46030</v>
          </cell>
          <cell r="Q49">
            <v>46062</v>
          </cell>
          <cell r="R49">
            <v>46059</v>
          </cell>
          <cell r="S49">
            <v>6</v>
          </cell>
          <cell r="T49">
            <v>32</v>
          </cell>
          <cell r="U49">
            <v>5</v>
          </cell>
          <cell r="V49">
            <v>3.5709999999999999E-2</v>
          </cell>
          <cell r="W49">
            <v>2</v>
          </cell>
        </row>
        <row r="50">
          <cell r="A50" t="str">
            <v>S-2026-01-47</v>
          </cell>
          <cell r="B50"/>
          <cell r="C50" t="str">
            <v>RPRO-260120-0350</v>
          </cell>
          <cell r="D50" t="str">
            <v>PUR-202601080001S</v>
          </cell>
          <cell r="E50" t="str">
            <v>BDB-000011</v>
          </cell>
          <cell r="F50" t="str">
            <v>PVN-000126</v>
          </cell>
          <cell r="G50" t="str">
            <v>OrthoLite Regular AIR BLUE/16-4134TPX Flat Sheet 0.13D 35+/-4 Asker C 1.1M 2M 4mm</v>
          </cell>
          <cell r="H50">
            <v>30</v>
          </cell>
          <cell r="I50">
            <v>30</v>
          </cell>
          <cell r="J50">
            <v>30</v>
          </cell>
          <cell r="K50">
            <v>0</v>
          </cell>
          <cell r="L50" t="str">
            <v>ASICS</v>
          </cell>
          <cell r="M50" t="str">
            <v>Sample</v>
          </cell>
          <cell r="N50" t="str">
            <v>FL SHEET</v>
          </cell>
          <cell r="O50" t="str">
            <v>Sample</v>
          </cell>
          <cell r="P50">
            <v>46030</v>
          </cell>
          <cell r="Q50">
            <v>46062</v>
          </cell>
          <cell r="R50">
            <v>46059</v>
          </cell>
          <cell r="S50">
            <v>6</v>
          </cell>
          <cell r="T50">
            <v>32</v>
          </cell>
          <cell r="U50">
            <v>4</v>
          </cell>
          <cell r="V50">
            <v>2.8570000000000002E-2</v>
          </cell>
          <cell r="W50">
            <v>1</v>
          </cell>
        </row>
        <row r="51">
          <cell r="A51" t="str">
            <v>S-2026-01-48</v>
          </cell>
          <cell r="B51"/>
          <cell r="C51" t="str">
            <v>RPRO-260120-0351</v>
          </cell>
          <cell r="D51" t="str">
            <v>PUR-202601080001S</v>
          </cell>
          <cell r="E51" t="str">
            <v>BDB-000113</v>
          </cell>
          <cell r="F51" t="str">
            <v>PVN-002503</v>
          </cell>
          <cell r="G51" t="str">
            <v>OrthoLite Regular-Hybrid SEEDPEARL/12-0703TPX Hybrid Flat Sheet 0.11D 25+/-4 Asker C 1.1M 2M 4mm</v>
          </cell>
          <cell r="H51">
            <v>30</v>
          </cell>
          <cell r="I51">
            <v>30</v>
          </cell>
          <cell r="J51">
            <v>30</v>
          </cell>
          <cell r="K51">
            <v>0</v>
          </cell>
          <cell r="L51" t="str">
            <v>ASICS</v>
          </cell>
          <cell r="M51" t="str">
            <v>Sample</v>
          </cell>
          <cell r="N51" t="str">
            <v>FL SHEET</v>
          </cell>
          <cell r="O51" t="str">
            <v>Sample</v>
          </cell>
          <cell r="P51">
            <v>46030</v>
          </cell>
          <cell r="Q51">
            <v>46062</v>
          </cell>
          <cell r="R51">
            <v>46059</v>
          </cell>
          <cell r="S51">
            <v>6</v>
          </cell>
          <cell r="T51">
            <v>32</v>
          </cell>
          <cell r="U51">
            <v>4</v>
          </cell>
          <cell r="V51">
            <v>2.8570000000000002E-2</v>
          </cell>
          <cell r="W51">
            <v>1</v>
          </cell>
        </row>
        <row r="52">
          <cell r="A52" t="str">
            <v>S-2026-01-49</v>
          </cell>
          <cell r="B52"/>
          <cell r="C52" t="str">
            <v>RPRO-260120-0352</v>
          </cell>
          <cell r="D52" t="str">
            <v>PUR2601120001S</v>
          </cell>
          <cell r="E52" t="str">
            <v>BDB-000348</v>
          </cell>
          <cell r="F52" t="str">
            <v>PVN-004285</v>
          </cell>
          <cell r="G52" t="str">
            <v>OrthoLite IMPERIAL SEEDPEARL/12-0703TPX Flat Sheet 0.22D 25+/-4 Asker C 1.1M 1.47M 9mm</v>
          </cell>
          <cell r="H52">
            <v>20</v>
          </cell>
          <cell r="I52">
            <v>20</v>
          </cell>
          <cell r="J52">
            <v>20</v>
          </cell>
          <cell r="K52">
            <v>0</v>
          </cell>
          <cell r="L52" t="str">
            <v>SCARPA</v>
          </cell>
          <cell r="M52" t="str">
            <v>Sample</v>
          </cell>
          <cell r="N52" t="str">
            <v>Molded</v>
          </cell>
          <cell r="O52" t="str">
            <v>Sample</v>
          </cell>
          <cell r="P52">
            <v>46034</v>
          </cell>
          <cell r="Q52">
            <v>46063</v>
          </cell>
          <cell r="R52">
            <v>46060</v>
          </cell>
          <cell r="S52">
            <v>6</v>
          </cell>
          <cell r="T52">
            <v>29</v>
          </cell>
          <cell r="U52">
            <v>9</v>
          </cell>
          <cell r="V52">
            <v>6.6669999999999993E-2</v>
          </cell>
          <cell r="W52">
            <v>2</v>
          </cell>
        </row>
        <row r="53">
          <cell r="A53" t="str">
            <v>S-2026-01-50</v>
          </cell>
          <cell r="B53"/>
          <cell r="C53" t="str">
            <v>RPRO-260120-0353</v>
          </cell>
          <cell r="D53" t="str">
            <v>PUR2601120001S</v>
          </cell>
          <cell r="E53" t="str">
            <v>BDB-000123</v>
          </cell>
          <cell r="F53" t="str">
            <v>PVN-003299</v>
          </cell>
          <cell r="G53" t="str">
            <v>OrthoLite Ultra-Hybrid SEEDPEARL/12-0703TPX Hybrid Flat Sheet 0.085D 25+/-4 Asker C 1.1M 2M 3mm</v>
          </cell>
          <cell r="H53">
            <v>300</v>
          </cell>
          <cell r="I53">
            <v>300</v>
          </cell>
          <cell r="J53">
            <v>300</v>
          </cell>
          <cell r="K53">
            <v>0</v>
          </cell>
          <cell r="L53" t="str">
            <v>ADIDAS</v>
          </cell>
          <cell r="M53" t="str">
            <v>SSO-2601-00290</v>
          </cell>
          <cell r="N53" t="str">
            <v>Flat sheet</v>
          </cell>
          <cell r="O53" t="str">
            <v>Sample</v>
          </cell>
          <cell r="P53">
            <v>46034</v>
          </cell>
          <cell r="Q53">
            <v>46063</v>
          </cell>
          <cell r="R53">
            <v>46060</v>
          </cell>
          <cell r="S53">
            <v>6</v>
          </cell>
          <cell r="T53">
            <v>29</v>
          </cell>
          <cell r="U53">
            <v>3</v>
          </cell>
          <cell r="V53">
            <v>2.1739999999999999E-2</v>
          </cell>
          <cell r="W53">
            <v>7</v>
          </cell>
        </row>
        <row r="54">
          <cell r="A54" t="str">
            <v>S-2026-01-51</v>
          </cell>
          <cell r="B54"/>
          <cell r="C54" t="str">
            <v>RPRO-260120-0354</v>
          </cell>
          <cell r="D54" t="str">
            <v>PUR2601130001S</v>
          </cell>
          <cell r="E54" t="str">
            <v>BDB-000083</v>
          </cell>
          <cell r="F54" t="str">
            <v>PVN-003969</v>
          </cell>
          <cell r="G54" t="str">
            <v>OrthoLite Eco LT 300C(ADIDAS BLUEBIRD) Flat Sheet 0.11D 25+/-4 Asker C 1.1M 2M 12mm</v>
          </cell>
          <cell r="H54">
            <v>50</v>
          </cell>
          <cell r="I54">
            <v>50</v>
          </cell>
          <cell r="J54">
            <v>50</v>
          </cell>
          <cell r="K54">
            <v>0</v>
          </cell>
          <cell r="L54" t="str">
            <v>ADIDAS</v>
          </cell>
          <cell r="M54" t="str">
            <v>Sample</v>
          </cell>
          <cell r="N54" t="str">
            <v>Molded</v>
          </cell>
          <cell r="O54" t="str">
            <v>Sample</v>
          </cell>
          <cell r="P54">
            <v>46035</v>
          </cell>
          <cell r="Q54">
            <v>46064</v>
          </cell>
          <cell r="R54">
            <v>46061</v>
          </cell>
          <cell r="S54">
            <v>6</v>
          </cell>
          <cell r="T54">
            <v>29</v>
          </cell>
          <cell r="U54">
            <v>12</v>
          </cell>
          <cell r="V54">
            <v>9.0910000000000005E-2</v>
          </cell>
          <cell r="W54">
            <v>5</v>
          </cell>
        </row>
        <row r="55">
          <cell r="A55" t="str">
            <v>S-2026-01-52</v>
          </cell>
          <cell r="B55"/>
          <cell r="C55" t="str">
            <v>RPRO-260113-0631</v>
          </cell>
          <cell r="D55" t="str">
            <v>PUR2601130001S</v>
          </cell>
          <cell r="E55" t="str">
            <v>BDB-000188</v>
          </cell>
          <cell r="F55" t="str">
            <v>PVN-003753</v>
          </cell>
          <cell r="G55" t="str">
            <v>OrthoLite Ultra-Hybrid SEEDPEARL/12-0703TPX Hybrid Flat Sheet 0.085D 25+/-4 Asker C 1.1M 1.47M 3mm</v>
          </cell>
          <cell r="H55">
            <v>20</v>
          </cell>
          <cell r="I55">
            <v>20</v>
          </cell>
          <cell r="J55">
            <v>20</v>
          </cell>
          <cell r="K55">
            <v>0</v>
          </cell>
          <cell r="L55" t="str">
            <v>ADIDAS</v>
          </cell>
          <cell r="M55" t="str">
            <v>SSO-2601-00352 - URGENT (need PU on 1-24)</v>
          </cell>
          <cell r="N55" t="str">
            <v>Flat sheet</v>
          </cell>
          <cell r="O55" t="str">
            <v>Sample</v>
          </cell>
          <cell r="P55">
            <v>46035</v>
          </cell>
          <cell r="Q55">
            <v>46046</v>
          </cell>
          <cell r="R55">
            <v>46043</v>
          </cell>
          <cell r="S55">
            <v>6</v>
          </cell>
          <cell r="T55">
            <v>11</v>
          </cell>
          <cell r="U55">
            <v>3</v>
          </cell>
          <cell r="V55">
            <v>2.1739999999999999E-2</v>
          </cell>
          <cell r="W55">
            <v>1</v>
          </cell>
        </row>
        <row r="56">
          <cell r="A56" t="str">
            <v>S-2026-01-53</v>
          </cell>
          <cell r="B56"/>
          <cell r="C56" t="str">
            <v>RPRO-260120-0355</v>
          </cell>
          <cell r="D56" t="str">
            <v>PUR260011300002S</v>
          </cell>
          <cell r="E56" t="str">
            <v>BDB-000125</v>
          </cell>
          <cell r="F56" t="str">
            <v>PVN-001579</v>
          </cell>
          <cell r="G56" t="str">
            <v>OrthoLite Regular-Nike AIR BLUE/16-4134TPX Flat Sheet 0.11D 25+/-4 Asker C 1.1M 2M 4mm</v>
          </cell>
          <cell r="H56">
            <v>30</v>
          </cell>
          <cell r="I56">
            <v>30</v>
          </cell>
          <cell r="J56">
            <v>30</v>
          </cell>
          <cell r="K56">
            <v>0</v>
          </cell>
          <cell r="L56" t="str">
            <v>NIKE</v>
          </cell>
          <cell r="M56" t="str">
            <v>Sample</v>
          </cell>
          <cell r="N56" t="str">
            <v>DIE CUT</v>
          </cell>
          <cell r="O56" t="str">
            <v>Sample</v>
          </cell>
          <cell r="P56">
            <v>46035</v>
          </cell>
          <cell r="Q56">
            <v>46064</v>
          </cell>
          <cell r="R56">
            <v>46061</v>
          </cell>
          <cell r="S56">
            <v>6</v>
          </cell>
          <cell r="T56">
            <v>29</v>
          </cell>
          <cell r="U56">
            <v>4</v>
          </cell>
          <cell r="V56">
            <v>2.8570000000000002E-2</v>
          </cell>
          <cell r="W56">
            <v>1</v>
          </cell>
        </row>
        <row r="57">
          <cell r="A57" t="str">
            <v>S-2026-01-54</v>
          </cell>
          <cell r="B57"/>
          <cell r="C57" t="str">
            <v>RPRO-260120-0356</v>
          </cell>
          <cell r="D57" t="str">
            <v>PUR260011300002S</v>
          </cell>
          <cell r="E57" t="str">
            <v>BDB-000186</v>
          </cell>
          <cell r="F57" t="str">
            <v>PVN-001787</v>
          </cell>
          <cell r="G57" t="str">
            <v>OrthoLite X-40-Nike SEEDPEARL/12-0703TPX Flat Sheet 0.16D 35+/-4 Asker C 1.1M 1.7M 4mm</v>
          </cell>
          <cell r="H57">
            <v>30</v>
          </cell>
          <cell r="I57">
            <v>30</v>
          </cell>
          <cell r="J57">
            <v>30</v>
          </cell>
          <cell r="K57">
            <v>0</v>
          </cell>
          <cell r="L57" t="str">
            <v>NIKE</v>
          </cell>
          <cell r="M57" t="str">
            <v>Sample</v>
          </cell>
          <cell r="N57" t="str">
            <v>MOLED</v>
          </cell>
          <cell r="O57" t="str">
            <v>Sample</v>
          </cell>
          <cell r="P57">
            <v>46035</v>
          </cell>
          <cell r="Q57">
            <v>46064</v>
          </cell>
          <cell r="R57">
            <v>46061</v>
          </cell>
          <cell r="S57">
            <v>6</v>
          </cell>
          <cell r="T57">
            <v>29</v>
          </cell>
          <cell r="U57">
            <v>4</v>
          </cell>
          <cell r="V57">
            <v>2.8570000000000002E-2</v>
          </cell>
          <cell r="W57">
            <v>1</v>
          </cell>
        </row>
        <row r="58">
          <cell r="A58" t="str">
            <v>S-2026-01-55</v>
          </cell>
          <cell r="B58"/>
          <cell r="C58" t="str">
            <v>RPRO-260120-0357</v>
          </cell>
          <cell r="D58" t="str">
            <v>PUR260011300002S</v>
          </cell>
          <cell r="E58" t="str">
            <v>BDB-000131</v>
          </cell>
          <cell r="F58" t="str">
            <v>PVN-001565</v>
          </cell>
          <cell r="G58" t="str">
            <v>OrthoLite Regular-Nike AIR BLUE/16-4134TPX Flat Sheet 0.11D 15+/-4 Asker C 1.1M 2M 4mm</v>
          </cell>
          <cell r="H58">
            <v>50</v>
          </cell>
          <cell r="I58">
            <v>50</v>
          </cell>
          <cell r="J58">
            <v>50</v>
          </cell>
          <cell r="K58">
            <v>0</v>
          </cell>
          <cell r="L58" t="str">
            <v>NIKE</v>
          </cell>
          <cell r="M58" t="str">
            <v>Sample</v>
          </cell>
          <cell r="N58" t="str">
            <v>DIE CUT</v>
          </cell>
          <cell r="O58" t="str">
            <v>Sample</v>
          </cell>
          <cell r="P58">
            <v>46035</v>
          </cell>
          <cell r="Q58">
            <v>46064</v>
          </cell>
          <cell r="R58">
            <v>46061</v>
          </cell>
          <cell r="S58">
            <v>6</v>
          </cell>
          <cell r="T58">
            <v>29</v>
          </cell>
          <cell r="U58">
            <v>4</v>
          </cell>
          <cell r="V58">
            <v>2.8570000000000002E-2</v>
          </cell>
          <cell r="W58">
            <v>2</v>
          </cell>
        </row>
        <row r="59">
          <cell r="A59" t="str">
            <v>S-2026-01-56</v>
          </cell>
          <cell r="B59"/>
          <cell r="C59" t="str">
            <v>RPRO-260120-0358</v>
          </cell>
          <cell r="D59" t="str">
            <v>PUR-202601140001S</v>
          </cell>
          <cell r="E59" t="str">
            <v>BDB-000117</v>
          </cell>
          <cell r="F59" t="str">
            <v>PVN-003148</v>
          </cell>
          <cell r="G59" t="str">
            <v>OrthoLite X-35-Hybrid SEEDPEARL/12-0703TPX Hybrid 0.145D 25+/-4 Asker C 1.1M 2M 4.5mm</v>
          </cell>
          <cell r="H59">
            <v>30</v>
          </cell>
          <cell r="I59">
            <v>30</v>
          </cell>
          <cell r="J59">
            <v>30</v>
          </cell>
          <cell r="K59">
            <v>0</v>
          </cell>
          <cell r="L59" t="str">
            <v>SALOMON</v>
          </cell>
          <cell r="M59" t="str">
            <v>Sample</v>
          </cell>
          <cell r="N59" t="str">
            <v>MOLDED</v>
          </cell>
          <cell r="O59" t="str">
            <v>Sample</v>
          </cell>
          <cell r="P59">
            <v>46036</v>
          </cell>
          <cell r="Q59">
            <v>46064</v>
          </cell>
          <cell r="R59">
            <v>46061</v>
          </cell>
          <cell r="S59">
            <v>6</v>
          </cell>
          <cell r="T59">
            <v>28</v>
          </cell>
          <cell r="U59">
            <v>4.5</v>
          </cell>
          <cell r="V59">
            <v>3.2259999999999997E-2</v>
          </cell>
          <cell r="W59">
            <v>1</v>
          </cell>
        </row>
        <row r="60">
          <cell r="A60" t="str">
            <v>S-2026-01-57</v>
          </cell>
          <cell r="B60"/>
          <cell r="C60" t="str">
            <v>RPRO-260120-0359</v>
          </cell>
          <cell r="D60" t="str">
            <v>PUR-202601140001S</v>
          </cell>
          <cell r="E60" t="str">
            <v>BDB-000321</v>
          </cell>
          <cell r="F60" t="str">
            <v>PVN-004104</v>
          </cell>
          <cell r="G60" t="str">
            <v>OrthoLite Float BLUE ATOLL/16-4535TPX Flat Sheet 0.12D 21+/-4 Asker C 1.1M 2M 5mm</v>
          </cell>
          <cell r="H60">
            <v>20</v>
          </cell>
          <cell r="I60">
            <v>20</v>
          </cell>
          <cell r="J60">
            <v>20</v>
          </cell>
          <cell r="K60">
            <v>0</v>
          </cell>
          <cell r="L60" t="str">
            <v>GARMONT</v>
          </cell>
          <cell r="M60" t="str">
            <v>Sample</v>
          </cell>
          <cell r="N60" t="str">
            <v>DIE-CUT</v>
          </cell>
          <cell r="O60" t="str">
            <v>Sample</v>
          </cell>
          <cell r="P60">
            <v>46036</v>
          </cell>
          <cell r="Q60">
            <v>46064</v>
          </cell>
          <cell r="R60">
            <v>46061</v>
          </cell>
          <cell r="S60">
            <v>6</v>
          </cell>
          <cell r="T60">
            <v>28</v>
          </cell>
          <cell r="U60">
            <v>5</v>
          </cell>
          <cell r="V60">
            <v>3.5709999999999999E-2</v>
          </cell>
          <cell r="W60">
            <v>1</v>
          </cell>
        </row>
        <row r="61">
          <cell r="A61" t="str">
            <v>S-2026-01-58</v>
          </cell>
          <cell r="B61"/>
          <cell r="C61" t="str">
            <v>RPRO-260120-0360</v>
          </cell>
          <cell r="D61" t="str">
            <v>PUR2601140002S</v>
          </cell>
          <cell r="E61" t="str">
            <v>BDB-000123</v>
          </cell>
          <cell r="F61" t="str">
            <v>PVN-003374</v>
          </cell>
          <cell r="G61" t="str">
            <v>OrthoLite Ultra-Hybrid SEEDPEARL/12-0703TPX Hybrid Flat Sheet 0.085D 25+/-4 Asker C 1.1M 2M 11mm</v>
          </cell>
          <cell r="H61">
            <v>50</v>
          </cell>
          <cell r="I61">
            <v>50</v>
          </cell>
          <cell r="J61">
            <v>50</v>
          </cell>
          <cell r="K61">
            <v>0</v>
          </cell>
          <cell r="L61" t="str">
            <v>ADIDAS</v>
          </cell>
          <cell r="M61" t="str">
            <v>Sample</v>
          </cell>
          <cell r="N61" t="str">
            <v>Molded</v>
          </cell>
          <cell r="O61" t="str">
            <v>Sample</v>
          </cell>
          <cell r="P61">
            <v>46036</v>
          </cell>
          <cell r="Q61">
            <v>46064</v>
          </cell>
          <cell r="R61">
            <v>46061</v>
          </cell>
          <cell r="S61">
            <v>6</v>
          </cell>
          <cell r="T61">
            <v>28</v>
          </cell>
          <cell r="U61">
            <v>11</v>
          </cell>
          <cell r="V61">
            <v>8.3330000000000001E-2</v>
          </cell>
          <cell r="W61">
            <v>5</v>
          </cell>
        </row>
        <row r="62">
          <cell r="A62" t="str">
            <v>S-2026-01-59</v>
          </cell>
          <cell r="B62"/>
          <cell r="C62" t="str">
            <v>RPRO-260116-0276</v>
          </cell>
          <cell r="D62" t="str">
            <v>PUR2601140002S</v>
          </cell>
          <cell r="E62" t="str">
            <v>BDB-000123</v>
          </cell>
          <cell r="F62" t="str">
            <v>PVN-003299</v>
          </cell>
          <cell r="G62" t="str">
            <v>OrthoLite Ultra-Hybrid SEEDPEARL/12-0703TPX Hybrid Flat Sheet 0.085D 25+/-4 Asker C 1.1M 2M 3mm</v>
          </cell>
          <cell r="H62">
            <v>200</v>
          </cell>
          <cell r="I62">
            <v>200</v>
          </cell>
          <cell r="J62">
            <v>200</v>
          </cell>
          <cell r="K62">
            <v>0</v>
          </cell>
          <cell r="L62" t="str">
            <v>ADIDAS</v>
          </cell>
          <cell r="M62" t="str">
            <v>Sample</v>
          </cell>
          <cell r="N62" t="str">
            <v>Flat sheet</v>
          </cell>
          <cell r="O62" t="str">
            <v>Sample</v>
          </cell>
          <cell r="P62">
            <v>46036</v>
          </cell>
          <cell r="Q62">
            <v>46042</v>
          </cell>
          <cell r="R62">
            <v>46039</v>
          </cell>
          <cell r="S62">
            <v>6</v>
          </cell>
          <cell r="T62">
            <v>6</v>
          </cell>
          <cell r="U62">
            <v>3</v>
          </cell>
          <cell r="V62">
            <v>2.1739999999999999E-2</v>
          </cell>
          <cell r="W62">
            <v>5</v>
          </cell>
        </row>
        <row r="63">
          <cell r="A63" t="str">
            <v>S-2026-01-60</v>
          </cell>
          <cell r="B63"/>
          <cell r="C63" t="str">
            <v>RPRO-260115-0310</v>
          </cell>
          <cell r="D63" t="str">
            <v>PUR2601140002S</v>
          </cell>
          <cell r="E63" t="str">
            <v>BDB-000348</v>
          </cell>
          <cell r="F63" t="str">
            <v>PVN-004195</v>
          </cell>
          <cell r="G63" t="str">
            <v>OrthoLite IMPERIAL SEEDPEARL/12-0703TPX Flat Sheet 0.22D 25+/-4 Asker C 1.1M 1.47M 4mm</v>
          </cell>
          <cell r="H63">
            <v>200</v>
          </cell>
          <cell r="I63">
            <v>200</v>
          </cell>
          <cell r="J63">
            <v>200</v>
          </cell>
          <cell r="K63">
            <v>0</v>
          </cell>
          <cell r="L63" t="str">
            <v>ADIDAS</v>
          </cell>
          <cell r="M63" t="str">
            <v>SSO-2601-00496 (need PU on 1-22)</v>
          </cell>
          <cell r="N63" t="str">
            <v>Flat sheet</v>
          </cell>
          <cell r="O63" t="str">
            <v>Sample</v>
          </cell>
          <cell r="P63">
            <v>46036</v>
          </cell>
          <cell r="Q63">
            <v>46044</v>
          </cell>
          <cell r="R63">
            <v>46041</v>
          </cell>
          <cell r="S63">
            <v>6</v>
          </cell>
          <cell r="T63">
            <v>8</v>
          </cell>
          <cell r="U63">
            <v>4</v>
          </cell>
          <cell r="V63">
            <v>2.8570000000000002E-2</v>
          </cell>
          <cell r="W63">
            <v>6</v>
          </cell>
        </row>
        <row r="64">
          <cell r="A64" t="str">
            <v>S-2026-01-61</v>
          </cell>
          <cell r="B64"/>
          <cell r="C64" t="str">
            <v>RPRO-260120-0361</v>
          </cell>
          <cell r="D64" t="str">
            <v>PUR-202601160001S</v>
          </cell>
          <cell r="E64" t="str">
            <v>BDB-000054</v>
          </cell>
          <cell r="F64" t="str">
            <v>PVN-003895</v>
          </cell>
          <cell r="G64" t="str">
            <v>OrthoLite X-40 RED/19-1764TPX Flat Sheet 0.16D 25+/-4 Asker C 1.1M 1.7M 5mm</v>
          </cell>
          <cell r="H64">
            <v>30</v>
          </cell>
          <cell r="I64">
            <v>30</v>
          </cell>
          <cell r="J64">
            <v>30</v>
          </cell>
          <cell r="K64">
            <v>0</v>
          </cell>
          <cell r="L64" t="str">
            <v>PAYNTR</v>
          </cell>
          <cell r="M64" t="str">
            <v>Sample</v>
          </cell>
          <cell r="N64" t="str">
            <v>MOLDED</v>
          </cell>
          <cell r="O64" t="str">
            <v>Sample</v>
          </cell>
          <cell r="P64">
            <v>46038</v>
          </cell>
          <cell r="Q64">
            <v>46064</v>
          </cell>
          <cell r="R64">
            <v>46061</v>
          </cell>
          <cell r="S64">
            <v>6</v>
          </cell>
          <cell r="T64">
            <v>26</v>
          </cell>
          <cell r="U64">
            <v>5</v>
          </cell>
          <cell r="V64">
            <v>3.5709999999999999E-2</v>
          </cell>
          <cell r="W64">
            <v>2</v>
          </cell>
        </row>
        <row r="65">
          <cell r="A65" t="str">
            <v>S-2026-01-62</v>
          </cell>
          <cell r="B65" t="str">
            <v xml:space="preserve">gấp </v>
          </cell>
          <cell r="C65" t="str">
            <v>RPRO-260120-0362</v>
          </cell>
          <cell r="D65" t="str">
            <v>PUR2601170001S</v>
          </cell>
          <cell r="E65" t="str">
            <v>BDB-000368</v>
          </cell>
          <cell r="F65" t="str">
            <v>PVN-004287</v>
          </cell>
          <cell r="G65" t="str">
            <v>OrthoLite X-40-Hybrid CASTLEROCK/18-0201TPX Hybrid Flat Sheet 0.16D 25+/-4 Asker C 1.1M 2M 5.5mm</v>
          </cell>
          <cell r="H65">
            <v>20</v>
          </cell>
          <cell r="I65">
            <v>20</v>
          </cell>
          <cell r="J65">
            <v>20</v>
          </cell>
          <cell r="K65">
            <v>0</v>
          </cell>
          <cell r="L65" t="str">
            <v>ON RUNNING</v>
          </cell>
          <cell r="M65" t="str">
            <v>SSO-2601-00449</v>
          </cell>
          <cell r="N65" t="str">
            <v>OV-0435 URGENT</v>
          </cell>
          <cell r="O65" t="str">
            <v>Sample</v>
          </cell>
          <cell r="P65">
            <v>46039</v>
          </cell>
          <cell r="Q65">
            <v>46053</v>
          </cell>
          <cell r="R65">
            <v>46050</v>
          </cell>
          <cell r="S65">
            <v>6</v>
          </cell>
          <cell r="T65">
            <v>14</v>
          </cell>
          <cell r="U65">
            <v>5.5</v>
          </cell>
          <cell r="V65">
            <v>0.04</v>
          </cell>
          <cell r="W65">
            <v>1</v>
          </cell>
        </row>
        <row r="66">
          <cell r="A66" t="str">
            <v>S-2026-01-63</v>
          </cell>
          <cell r="B66"/>
          <cell r="C66" t="str">
            <v>RPRO-260122-1562</v>
          </cell>
          <cell r="D66" t="str">
            <v>PUR260011900001S</v>
          </cell>
          <cell r="E66" t="str">
            <v>BDB-000157</v>
          </cell>
          <cell r="F66" t="str">
            <v>PVN-004083</v>
          </cell>
          <cell r="G66" t="str">
            <v>OrthoLite X-35-Hybrid-Nike SEEDPEARL/12-0703TPX Hybrid Flat Sheet 0.145D 25+/-4 Asker C 1.1M 2M 4mm</v>
          </cell>
          <cell r="H66">
            <v>30</v>
          </cell>
          <cell r="I66">
            <v>30</v>
          </cell>
          <cell r="J66">
            <v>30</v>
          </cell>
          <cell r="K66">
            <v>0</v>
          </cell>
          <cell r="L66" t="str">
            <v>NIKE</v>
          </cell>
          <cell r="M66" t="str">
            <v>Sample</v>
          </cell>
          <cell r="N66" t="str">
            <v>DIE CUT</v>
          </cell>
          <cell r="O66" t="str">
            <v>Sample</v>
          </cell>
          <cell r="P66">
            <v>46041</v>
          </cell>
          <cell r="Q66">
            <v>46064</v>
          </cell>
          <cell r="R66">
            <v>46061</v>
          </cell>
          <cell r="S66">
            <v>6</v>
          </cell>
          <cell r="T66">
            <v>23</v>
          </cell>
          <cell r="U66">
            <v>4</v>
          </cell>
          <cell r="V66">
            <v>2.8570000000000002E-2</v>
          </cell>
          <cell r="W66">
            <v>1</v>
          </cell>
        </row>
        <row r="67">
          <cell r="A67" t="str">
            <v>S-2026-01-64</v>
          </cell>
          <cell r="B67"/>
          <cell r="C67" t="str">
            <v>RPRO-260122-1563</v>
          </cell>
          <cell r="D67" t="str">
            <v>PUR260011900001S</v>
          </cell>
          <cell r="E67" t="str">
            <v>BDB-000076</v>
          </cell>
          <cell r="F67" t="str">
            <v>PVN-003745</v>
          </cell>
          <cell r="G67" t="str">
            <v>OrthoLite X-25 BILLIARD/16-5427TPX Flat Sheet 0.12D 20+/-4 Asker C 1.1M 2M 16mm</v>
          </cell>
          <cell r="H67">
            <v>30</v>
          </cell>
          <cell r="I67">
            <v>30</v>
          </cell>
          <cell r="J67">
            <v>30</v>
          </cell>
          <cell r="K67">
            <v>0</v>
          </cell>
          <cell r="L67" t="str">
            <v>FOOTJOY</v>
          </cell>
          <cell r="M67" t="str">
            <v>Sample</v>
          </cell>
          <cell r="N67" t="str">
            <v>MOLDED</v>
          </cell>
          <cell r="O67" t="str">
            <v>Sample</v>
          </cell>
          <cell r="P67">
            <v>46041</v>
          </cell>
          <cell r="Q67">
            <v>46064</v>
          </cell>
          <cell r="R67">
            <v>46061</v>
          </cell>
          <cell r="S67">
            <v>6</v>
          </cell>
          <cell r="T67">
            <v>23</v>
          </cell>
          <cell r="U67">
            <v>16</v>
          </cell>
          <cell r="V67">
            <v>0.125</v>
          </cell>
          <cell r="W67">
            <v>4</v>
          </cell>
        </row>
        <row r="68">
          <cell r="A68" t="str">
            <v>S-2026-01-65</v>
          </cell>
          <cell r="B68"/>
          <cell r="C68" t="str">
            <v>RPRO-260122-1564</v>
          </cell>
          <cell r="D68" t="str">
            <v>PUR260011900001S</v>
          </cell>
          <cell r="E68" t="str">
            <v>BDB-000157</v>
          </cell>
          <cell r="F68" t="str">
            <v>PVN-003642</v>
          </cell>
          <cell r="G68" t="str">
            <v>OrthoLite X-35-Hybrid-Nike SEEDPEARL/12-0703TPX Hybrid Flat Sheet 0.145D 25+/-4 Asker C 1.1M 2M 6.2mm</v>
          </cell>
          <cell r="H68">
            <v>30</v>
          </cell>
          <cell r="I68">
            <v>30</v>
          </cell>
          <cell r="J68">
            <v>30</v>
          </cell>
          <cell r="K68">
            <v>0</v>
          </cell>
          <cell r="L68" t="str">
            <v>NIKE</v>
          </cell>
          <cell r="M68" t="str">
            <v>Sample</v>
          </cell>
          <cell r="N68" t="str">
            <v>MOLDED</v>
          </cell>
          <cell r="O68" t="str">
            <v>Sample</v>
          </cell>
          <cell r="P68">
            <v>46041</v>
          </cell>
          <cell r="Q68">
            <v>46064</v>
          </cell>
          <cell r="R68">
            <v>46061</v>
          </cell>
          <cell r="S68">
            <v>6</v>
          </cell>
          <cell r="T68">
            <v>23</v>
          </cell>
          <cell r="U68">
            <v>6.2</v>
          </cell>
          <cell r="V68">
            <v>4.5449999999999997E-2</v>
          </cell>
          <cell r="W68">
            <v>2</v>
          </cell>
        </row>
        <row r="69">
          <cell r="A69" t="str">
            <v>S-2026-01-66</v>
          </cell>
          <cell r="B69"/>
          <cell r="C69" t="str">
            <v>RPRO-260122-1565</v>
          </cell>
          <cell r="D69" t="str">
            <v>PUR260011900001S</v>
          </cell>
          <cell r="E69" t="str">
            <v>BDB-000314</v>
          </cell>
          <cell r="F69" t="str">
            <v>PVN-004066</v>
          </cell>
          <cell r="G69" t="str">
            <v>OrthoLite Regular NEUTRAL GRAY/17-4402TPX Flat Sheet 0.16D 51+/-4 Asker C 1.1M 1.7M 9.5mm</v>
          </cell>
          <cell r="H69">
            <v>30</v>
          </cell>
          <cell r="I69">
            <v>30</v>
          </cell>
          <cell r="J69">
            <v>30</v>
          </cell>
          <cell r="K69">
            <v>0</v>
          </cell>
          <cell r="L69" t="str">
            <v>FOOTJOY</v>
          </cell>
          <cell r="M69" t="str">
            <v>Sample</v>
          </cell>
          <cell r="N69" t="str">
            <v>MOLDED</v>
          </cell>
          <cell r="O69" t="str">
            <v>Sample</v>
          </cell>
          <cell r="P69">
            <v>46041</v>
          </cell>
          <cell r="Q69">
            <v>46064</v>
          </cell>
          <cell r="R69">
            <v>46061</v>
          </cell>
          <cell r="S69">
            <v>6</v>
          </cell>
          <cell r="T69">
            <v>23</v>
          </cell>
          <cell r="U69">
            <v>9.5</v>
          </cell>
          <cell r="V69">
            <v>7.1429999999999993E-2</v>
          </cell>
          <cell r="W69">
            <v>3</v>
          </cell>
        </row>
        <row r="70">
          <cell r="A70" t="str">
            <v>S-2026-01-67</v>
          </cell>
          <cell r="B70"/>
          <cell r="C70" t="str">
            <v>RPRO-260122-1566</v>
          </cell>
          <cell r="D70" t="str">
            <v>PUR260011900001S</v>
          </cell>
          <cell r="E70" t="str">
            <v>BDB-000335</v>
          </cell>
          <cell r="F70" t="str">
            <v>PVN-004166</v>
          </cell>
          <cell r="G70" t="str">
            <v>OrthoLite Regular SEEDPEARL/12-0703TPX Flat Sheet 0.16D 51+/-4 Asker C 1.1M 1.7M 9.5mm</v>
          </cell>
          <cell r="H70">
            <v>30</v>
          </cell>
          <cell r="I70">
            <v>30</v>
          </cell>
          <cell r="J70">
            <v>30</v>
          </cell>
          <cell r="K70">
            <v>0</v>
          </cell>
          <cell r="L70" t="str">
            <v>FOOTJOY</v>
          </cell>
          <cell r="M70" t="str">
            <v>Sample</v>
          </cell>
          <cell r="N70" t="str">
            <v>MOLDED</v>
          </cell>
          <cell r="O70" t="str">
            <v>Sample</v>
          </cell>
          <cell r="P70">
            <v>46041</v>
          </cell>
          <cell r="Q70">
            <v>46064</v>
          </cell>
          <cell r="R70">
            <v>46061</v>
          </cell>
          <cell r="S70">
            <v>6</v>
          </cell>
          <cell r="T70">
            <v>23</v>
          </cell>
          <cell r="U70">
            <v>9.5</v>
          </cell>
          <cell r="V70">
            <v>7.1429999999999993E-2</v>
          </cell>
          <cell r="W70">
            <v>3</v>
          </cell>
        </row>
        <row r="71">
          <cell r="A71" t="str">
            <v>S-2026-01-68</v>
          </cell>
          <cell r="B71"/>
          <cell r="C71" t="str">
            <v>RPRO-260122-1567</v>
          </cell>
          <cell r="D71" t="str">
            <v>PUR260011900001S</v>
          </cell>
          <cell r="E71" t="str">
            <v>BDB-000221</v>
          </cell>
          <cell r="F71" t="str">
            <v>PVN-003702</v>
          </cell>
          <cell r="G71" t="str">
            <v>OrthoLite X-40-Hybrid-Nike SEEDPEARL/12-0703TPX Hybrid Flat Sheet 0.16D 25+/-4 Asker C 1.1M 1.7M 5.2mm</v>
          </cell>
          <cell r="H71">
            <v>30</v>
          </cell>
          <cell r="I71">
            <v>30</v>
          </cell>
          <cell r="J71">
            <v>30</v>
          </cell>
          <cell r="K71">
            <v>0</v>
          </cell>
          <cell r="L71" t="str">
            <v>NIKE</v>
          </cell>
          <cell r="M71" t="str">
            <v>Sample</v>
          </cell>
          <cell r="N71" t="str">
            <v>MOLDED</v>
          </cell>
          <cell r="O71" t="str">
            <v>Sample</v>
          </cell>
          <cell r="P71">
            <v>46041</v>
          </cell>
          <cell r="Q71">
            <v>46064</v>
          </cell>
          <cell r="R71">
            <v>46061</v>
          </cell>
          <cell r="S71">
            <v>6</v>
          </cell>
          <cell r="T71">
            <v>23</v>
          </cell>
          <cell r="U71">
            <v>5.2</v>
          </cell>
          <cell r="V71">
            <v>3.8460000000000001E-2</v>
          </cell>
          <cell r="W71">
            <v>2</v>
          </cell>
        </row>
        <row r="72">
          <cell r="A72" t="str">
            <v>S-2026-01-69</v>
          </cell>
          <cell r="B72"/>
          <cell r="C72" t="str">
            <v>RPRO-260122-1568</v>
          </cell>
          <cell r="D72" t="str">
            <v>PUR-202601190002S</v>
          </cell>
          <cell r="E72" t="str">
            <v>BDB-000179</v>
          </cell>
          <cell r="F72" t="str">
            <v>PVN-004059</v>
          </cell>
          <cell r="G72" t="str">
            <v>OrthoLite X-55 RED/19-1764TPX Flat Sheet 0.16D 25+/-4 Asker C 1.1M 1.7M 5.2mm</v>
          </cell>
          <cell r="H72">
            <v>20</v>
          </cell>
          <cell r="I72">
            <v>20</v>
          </cell>
          <cell r="J72">
            <v>20</v>
          </cell>
          <cell r="K72">
            <v>0</v>
          </cell>
          <cell r="L72" t="str">
            <v>NEW BALANCE</v>
          </cell>
          <cell r="M72" t="str">
            <v>Sample</v>
          </cell>
          <cell r="N72" t="str">
            <v>MOLDED</v>
          </cell>
          <cell r="O72" t="str">
            <v>Sample</v>
          </cell>
          <cell r="P72">
            <v>46041</v>
          </cell>
          <cell r="Q72">
            <v>46064</v>
          </cell>
          <cell r="R72">
            <v>46061</v>
          </cell>
          <cell r="S72">
            <v>6</v>
          </cell>
          <cell r="T72">
            <v>23</v>
          </cell>
          <cell r="U72">
            <v>5.2</v>
          </cell>
          <cell r="V72">
            <v>3.8460000000000001E-2</v>
          </cell>
          <cell r="W72">
            <v>1</v>
          </cell>
        </row>
        <row r="73">
          <cell r="A73" t="str">
            <v>S-2026-01-70</v>
          </cell>
          <cell r="B73"/>
          <cell r="C73" t="str">
            <v>RPRO-260122-1569</v>
          </cell>
          <cell r="D73" t="str">
            <v>PUR-202601190002S</v>
          </cell>
          <cell r="E73" t="str">
            <v>BDB-000123</v>
          </cell>
          <cell r="F73" t="str">
            <v>PVN-003298</v>
          </cell>
          <cell r="G73" t="str">
            <v>OrthoLite Ultra-Hybrid SEEDPEARL/12-0703TPX Hybrid 0.085D 25+/-4 Asker C 1.1M 2M 4mm</v>
          </cell>
          <cell r="H73">
            <v>200</v>
          </cell>
          <cell r="I73">
            <v>200</v>
          </cell>
          <cell r="J73">
            <v>200</v>
          </cell>
          <cell r="K73">
            <v>0</v>
          </cell>
          <cell r="L73" t="str">
            <v>SALOMON</v>
          </cell>
          <cell r="M73" t="str">
            <v>Sample</v>
          </cell>
          <cell r="N73" t="str">
            <v>FL SHEET</v>
          </cell>
          <cell r="O73" t="str">
            <v>Sample</v>
          </cell>
          <cell r="P73">
            <v>46041</v>
          </cell>
          <cell r="Q73">
            <v>46064</v>
          </cell>
          <cell r="R73">
            <v>46061</v>
          </cell>
          <cell r="S73">
            <v>6</v>
          </cell>
          <cell r="T73">
            <v>23</v>
          </cell>
          <cell r="U73">
            <v>4</v>
          </cell>
          <cell r="V73">
            <v>2.8570000000000002E-2</v>
          </cell>
          <cell r="W73">
            <v>6</v>
          </cell>
        </row>
        <row r="74">
          <cell r="A74" t="str">
            <v>S-2026-01-71</v>
          </cell>
          <cell r="B74"/>
          <cell r="C74" t="str">
            <v>RPRO-260122-1570</v>
          </cell>
          <cell r="D74" t="str">
            <v>PUR-202601190002S</v>
          </cell>
          <cell r="E74" t="str">
            <v>BDB-000011</v>
          </cell>
          <cell r="F74" t="str">
            <v>PVN-000258</v>
          </cell>
          <cell r="G74" t="str">
            <v>OrthoLite Regular AIR BLUE/16-4134TPX Flat Sheet 0.13D 35+/-4 Asker C 1.1M 2M 2.5mm</v>
          </cell>
          <cell r="H74">
            <v>30</v>
          </cell>
          <cell r="I74">
            <v>30</v>
          </cell>
          <cell r="J74">
            <v>30</v>
          </cell>
          <cell r="K74">
            <v>0</v>
          </cell>
          <cell r="L74" t="str">
            <v>ASICS</v>
          </cell>
          <cell r="M74" t="str">
            <v>Sample</v>
          </cell>
          <cell r="N74" t="str">
            <v>FL SHEET</v>
          </cell>
          <cell r="O74" t="str">
            <v>Sample</v>
          </cell>
          <cell r="P74">
            <v>46041</v>
          </cell>
          <cell r="Q74">
            <v>46064</v>
          </cell>
          <cell r="R74">
            <v>46061</v>
          </cell>
          <cell r="S74">
            <v>6</v>
          </cell>
          <cell r="T74">
            <v>23</v>
          </cell>
          <cell r="U74">
            <v>2.5</v>
          </cell>
          <cell r="V74">
            <v>1.7860000000000001E-2</v>
          </cell>
          <cell r="W74">
            <v>1</v>
          </cell>
        </row>
        <row r="75">
          <cell r="A75" t="str">
            <v>S-2026-01-72</v>
          </cell>
          <cell r="B75"/>
          <cell r="C75" t="str">
            <v>RPRO-260122-1571</v>
          </cell>
          <cell r="D75" t="str">
            <v>PUR2601190003S</v>
          </cell>
          <cell r="E75" t="str">
            <v>BDB-000083</v>
          </cell>
          <cell r="F75" t="str">
            <v>PVN-003969</v>
          </cell>
          <cell r="G75" t="str">
            <v>OrthoLite Eco LT 300C(ADIDAS BLUEBIRD) Flat Sheet 0.11D 25+/-4 Asker C 1.1M 2M 12mm</v>
          </cell>
          <cell r="H75">
            <v>70</v>
          </cell>
          <cell r="I75">
            <v>70</v>
          </cell>
          <cell r="J75">
            <v>70</v>
          </cell>
          <cell r="K75">
            <v>0</v>
          </cell>
          <cell r="L75" t="str">
            <v>ADIDAS</v>
          </cell>
          <cell r="M75" t="str">
            <v>Sample</v>
          </cell>
          <cell r="N75" t="str">
            <v>Molded</v>
          </cell>
          <cell r="O75" t="str">
            <v>Sample</v>
          </cell>
          <cell r="P75">
            <v>46041</v>
          </cell>
          <cell r="Q75">
            <v>46064</v>
          </cell>
          <cell r="R75">
            <v>46061</v>
          </cell>
          <cell r="S75">
            <v>6</v>
          </cell>
          <cell r="T75">
            <v>23</v>
          </cell>
          <cell r="U75">
            <v>12</v>
          </cell>
          <cell r="V75">
            <v>9.0910000000000005E-2</v>
          </cell>
          <cell r="W75">
            <v>7</v>
          </cell>
        </row>
        <row r="76">
          <cell r="A76" t="str">
            <v>S-2026-01-73</v>
          </cell>
          <cell r="B76" t="str">
            <v xml:space="preserve">gấp </v>
          </cell>
          <cell r="C76" t="str">
            <v>RPRO-260120-0363</v>
          </cell>
          <cell r="D76" t="str">
            <v>PUR2601190003S</v>
          </cell>
          <cell r="E76" t="str">
            <v>BDB-000021</v>
          </cell>
          <cell r="F76" t="str">
            <v>PVN-000337</v>
          </cell>
          <cell r="G76" t="str">
            <v>OrthoLite Regular GREY/17-1501TPX Flat Sheet 0.13D 25+/-4 Asker C 1.1M 2M 5mm</v>
          </cell>
          <cell r="H76">
            <v>10</v>
          </cell>
          <cell r="I76">
            <v>10</v>
          </cell>
          <cell r="J76">
            <v>10</v>
          </cell>
          <cell r="K76">
            <v>0</v>
          </cell>
          <cell r="L76" t="str">
            <v>CONVERSE</v>
          </cell>
          <cell r="M76" t="str">
            <v>SSO-2601-00663 (need PU on 1-28), Follow pantone</v>
          </cell>
          <cell r="N76" t="str">
            <v>Flat sheet</v>
          </cell>
          <cell r="O76" t="str">
            <v>Sample</v>
          </cell>
          <cell r="P76">
            <v>46041</v>
          </cell>
          <cell r="Q76">
            <v>46050</v>
          </cell>
          <cell r="R76">
            <v>46047</v>
          </cell>
          <cell r="S76">
            <v>6</v>
          </cell>
          <cell r="T76">
            <v>9</v>
          </cell>
          <cell r="U76">
            <v>5</v>
          </cell>
          <cell r="V76">
            <v>3.5709999999999999E-2</v>
          </cell>
          <cell r="W76">
            <v>1</v>
          </cell>
        </row>
        <row r="77">
          <cell r="A77" t="str">
            <v>S-2026-01-74</v>
          </cell>
          <cell r="B77" t="str">
            <v xml:space="preserve">gấp giao 29/1 - nay </v>
          </cell>
          <cell r="C77" t="str">
            <v>RPRO-260122-1572</v>
          </cell>
          <cell r="D77" t="str">
            <v>PUR2601190003S</v>
          </cell>
          <cell r="E77" t="str">
            <v>BDB-000123</v>
          </cell>
          <cell r="F77" t="str">
            <v>PVN-003298</v>
          </cell>
          <cell r="G77" t="str">
            <v>OrthoLite Ultra-Hybrid SEEDPEARL/12-0703TPX Hybrid Flat Sheet 0.085D 25+/-4 Asker C 1.1M 2M 4mm</v>
          </cell>
          <cell r="H77">
            <v>200</v>
          </cell>
          <cell r="I77">
            <v>200</v>
          </cell>
          <cell r="J77">
            <v>200</v>
          </cell>
          <cell r="K77">
            <v>0</v>
          </cell>
          <cell r="L77" t="str">
            <v>ADIDAS</v>
          </cell>
          <cell r="M77" t="str">
            <v>Sample</v>
          </cell>
          <cell r="N77" t="str">
            <v>Flat sheet</v>
          </cell>
          <cell r="O77" t="str">
            <v>Sample</v>
          </cell>
          <cell r="P77">
            <v>46041</v>
          </cell>
          <cell r="Q77">
            <v>46051</v>
          </cell>
          <cell r="R77">
            <v>46048</v>
          </cell>
          <cell r="S77">
            <v>6</v>
          </cell>
          <cell r="T77">
            <v>10</v>
          </cell>
          <cell r="U77">
            <v>4</v>
          </cell>
          <cell r="V77">
            <v>2.8570000000000002E-2</v>
          </cell>
          <cell r="W77">
            <v>6</v>
          </cell>
        </row>
        <row r="78">
          <cell r="A78" t="str">
            <v>S-2026-01-75</v>
          </cell>
          <cell r="B78" t="str">
            <v xml:space="preserve">gấp </v>
          </cell>
          <cell r="C78" t="str">
            <v>RPRO-260120-0364</v>
          </cell>
          <cell r="D78" t="str">
            <v>PUR2601190003S</v>
          </cell>
          <cell r="E78" t="str">
            <v>BDB-000369</v>
          </cell>
          <cell r="F78" t="str">
            <v>PVN-004291</v>
          </cell>
          <cell r="G78" t="str">
            <v>OrthoLite X-40 GREY/17-1501TPX Flat Sheet 0.16D 35+/-4 Asker C 1.1M 1.7M 3.2mm</v>
          </cell>
          <cell r="H78">
            <v>20</v>
          </cell>
          <cell r="I78">
            <v>20</v>
          </cell>
          <cell r="J78">
            <v>20</v>
          </cell>
          <cell r="K78">
            <v>0</v>
          </cell>
          <cell r="L78" t="str">
            <v>ADIDAS</v>
          </cell>
          <cell r="M78" t="str">
            <v>SSO-2601-00656 (need PU on 1-30)</v>
          </cell>
          <cell r="N78" t="str">
            <v>Molded</v>
          </cell>
          <cell r="O78" t="str">
            <v>Sample</v>
          </cell>
          <cell r="P78">
            <v>46041</v>
          </cell>
          <cell r="Q78">
            <v>46052</v>
          </cell>
          <cell r="R78">
            <v>46049</v>
          </cell>
          <cell r="S78">
            <v>6</v>
          </cell>
          <cell r="T78">
            <v>11</v>
          </cell>
          <cell r="U78">
            <v>3.2</v>
          </cell>
          <cell r="V78">
            <v>2.3259999999999999E-2</v>
          </cell>
          <cell r="W78">
            <v>1</v>
          </cell>
        </row>
        <row r="79">
          <cell r="A79" t="str">
            <v>S-2026-01-76</v>
          </cell>
          <cell r="B79"/>
          <cell r="C79" t="str">
            <v>RPRO-260122-1573</v>
          </cell>
          <cell r="D79" t="str">
            <v>PUR2601190003S</v>
          </cell>
          <cell r="E79" t="str">
            <v>BDB-000181</v>
          </cell>
          <cell r="F79" t="str">
            <v>PVN-003238</v>
          </cell>
          <cell r="G79" t="str">
            <v>OrthoLite Eco LT-Hybrid-Converse SEEDPEARL/12-0703TPX Hybrid Flat Sheet 0.11D 25+/-4 Asker C 1.1M 2M 5mm</v>
          </cell>
          <cell r="H79">
            <v>100</v>
          </cell>
          <cell r="I79">
            <v>100</v>
          </cell>
          <cell r="J79">
            <v>100</v>
          </cell>
          <cell r="K79">
            <v>0</v>
          </cell>
          <cell r="L79" t="str">
            <v>CONVERSE</v>
          </cell>
          <cell r="M79" t="str">
            <v>Sample</v>
          </cell>
          <cell r="N79" t="str">
            <v>Die cut</v>
          </cell>
          <cell r="O79" t="str">
            <v>Sample</v>
          </cell>
          <cell r="P79">
            <v>46041</v>
          </cell>
          <cell r="Q79">
            <v>46064</v>
          </cell>
          <cell r="R79">
            <v>46061</v>
          </cell>
          <cell r="S79">
            <v>6</v>
          </cell>
          <cell r="T79">
            <v>23</v>
          </cell>
          <cell r="U79">
            <v>5</v>
          </cell>
          <cell r="V79">
            <v>3.5709999999999999E-2</v>
          </cell>
          <cell r="W79">
            <v>4</v>
          </cell>
        </row>
        <row r="80">
          <cell r="A80" t="str">
            <v>S-2026-01-77</v>
          </cell>
          <cell r="B80"/>
          <cell r="C80" t="str">
            <v>RPRO-260122-1574</v>
          </cell>
          <cell r="D80" t="str">
            <v>PUR-202601210001S</v>
          </cell>
          <cell r="E80" t="str">
            <v>BDB-000123</v>
          </cell>
          <cell r="F80" t="str">
            <v>PVN-003298</v>
          </cell>
          <cell r="G80" t="str">
            <v>OrthoLite Ultra-Hybrid SEEDPEARL/12-0703TPX Hybrid 0.085D 25+/-4 Asker C 1.1M 2M 4mm</v>
          </cell>
          <cell r="H80">
            <v>300</v>
          </cell>
          <cell r="I80">
            <v>300</v>
          </cell>
          <cell r="J80">
            <v>300</v>
          </cell>
          <cell r="K80">
            <v>0</v>
          </cell>
          <cell r="L80" t="str">
            <v>SALOMON</v>
          </cell>
          <cell r="M80" t="str">
            <v>Sample</v>
          </cell>
          <cell r="N80" t="str">
            <v>FL SHEET</v>
          </cell>
          <cell r="O80" t="str">
            <v>Sample</v>
          </cell>
          <cell r="P80">
            <v>46043</v>
          </cell>
          <cell r="Q80">
            <v>46064</v>
          </cell>
          <cell r="R80">
            <v>46061</v>
          </cell>
          <cell r="S80">
            <v>6</v>
          </cell>
          <cell r="T80">
            <v>21</v>
          </cell>
          <cell r="U80">
            <v>4</v>
          </cell>
          <cell r="V80">
            <v>2.8570000000000002E-2</v>
          </cell>
          <cell r="W80">
            <v>9</v>
          </cell>
        </row>
        <row r="81">
          <cell r="A81" t="str">
            <v>S-2026-01-78</v>
          </cell>
          <cell r="B81"/>
          <cell r="C81" t="str">
            <v>RPRO-260122-1575</v>
          </cell>
          <cell r="D81" t="str">
            <v>PUR2601220001S</v>
          </cell>
          <cell r="E81" t="str">
            <v>BDB-000083</v>
          </cell>
          <cell r="F81" t="str">
            <v>PVN-000930</v>
          </cell>
          <cell r="G81" t="str">
            <v>OrthoLite Eco LT 300C(ADIDAS BLUEBIRD) Flat Sheet 0.11D 25+/-4 Asker C 1.1M 2M 3mm</v>
          </cell>
          <cell r="H81">
            <v>50</v>
          </cell>
          <cell r="I81">
            <v>50</v>
          </cell>
          <cell r="J81">
            <v>50</v>
          </cell>
          <cell r="K81">
            <v>0</v>
          </cell>
          <cell r="L81" t="str">
            <v>ADIDAS</v>
          </cell>
          <cell r="M81" t="str">
            <v>Sample</v>
          </cell>
          <cell r="N81" t="str">
            <v>Flat sheet</v>
          </cell>
          <cell r="O81" t="str">
            <v>Sample</v>
          </cell>
          <cell r="P81">
            <v>46044</v>
          </cell>
          <cell r="Q81">
            <v>46060</v>
          </cell>
          <cell r="R81">
            <v>46057</v>
          </cell>
          <cell r="S81">
            <v>6</v>
          </cell>
          <cell r="T81">
            <v>16</v>
          </cell>
          <cell r="U81">
            <v>3</v>
          </cell>
          <cell r="V81">
            <v>2.1739999999999999E-2</v>
          </cell>
          <cell r="W81">
            <v>2</v>
          </cell>
        </row>
        <row r="82">
          <cell r="A82" t="str">
            <v>S-2026-01-79</v>
          </cell>
          <cell r="B82"/>
          <cell r="C82" t="str">
            <v>RPRO-260122-1576</v>
          </cell>
          <cell r="D82" t="str">
            <v>PUR2601220001S</v>
          </cell>
          <cell r="E82" t="str">
            <v>BDB-000123</v>
          </cell>
          <cell r="F82" t="str">
            <v>PVN-002884</v>
          </cell>
          <cell r="G82" t="str">
            <v>OrthoLite Ultra-Hybrid SEEDPEARL/12-0703TPX Hybrid Flat Sheet 0.085D 25+/-4 Asker C 1.1M 2M 10mm</v>
          </cell>
          <cell r="H82">
            <v>70</v>
          </cell>
          <cell r="I82">
            <v>70</v>
          </cell>
          <cell r="J82">
            <v>70</v>
          </cell>
          <cell r="K82">
            <v>0</v>
          </cell>
          <cell r="L82" t="str">
            <v>ADIDAS</v>
          </cell>
          <cell r="M82" t="str">
            <v>Sample</v>
          </cell>
          <cell r="N82" t="str">
            <v>Molded</v>
          </cell>
          <cell r="O82" t="str">
            <v>Sample</v>
          </cell>
          <cell r="P82">
            <v>46044</v>
          </cell>
          <cell r="Q82">
            <v>46077</v>
          </cell>
          <cell r="R82">
            <v>46074</v>
          </cell>
          <cell r="S82">
            <v>6</v>
          </cell>
          <cell r="T82">
            <v>33</v>
          </cell>
          <cell r="U82">
            <v>10</v>
          </cell>
          <cell r="V82">
            <v>7.6920000000000002E-2</v>
          </cell>
          <cell r="W82">
            <v>6</v>
          </cell>
        </row>
        <row r="83">
          <cell r="A83" t="str">
            <v>S-2026-01-80</v>
          </cell>
          <cell r="B83"/>
          <cell r="C83" t="str">
            <v>RPRO-260122-1577</v>
          </cell>
          <cell r="D83" t="str">
            <v>PUR2601220001S</v>
          </cell>
          <cell r="E83" t="str">
            <v>BDB-000055</v>
          </cell>
          <cell r="F83" t="str">
            <v>PVN-003326</v>
          </cell>
          <cell r="G83" t="str">
            <v>OrthoLite X-40 TRUE BLUE/19-4057TPX Flat Sheet 0.16D 35+/-4 Asker C 1.1M 1.7M 14mm</v>
          </cell>
          <cell r="H83">
            <v>50</v>
          </cell>
          <cell r="I83">
            <v>50</v>
          </cell>
          <cell r="J83">
            <v>50</v>
          </cell>
          <cell r="K83">
            <v>0</v>
          </cell>
          <cell r="L83" t="str">
            <v>ADIDAS</v>
          </cell>
          <cell r="M83" t="str">
            <v>Sample</v>
          </cell>
          <cell r="N83" t="str">
            <v>Molded</v>
          </cell>
          <cell r="O83" t="str">
            <v>Sample</v>
          </cell>
          <cell r="P83">
            <v>46044</v>
          </cell>
          <cell r="Q83">
            <v>46077</v>
          </cell>
          <cell r="R83">
            <v>46074</v>
          </cell>
          <cell r="S83">
            <v>6</v>
          </cell>
          <cell r="T83">
            <v>33</v>
          </cell>
          <cell r="U83">
            <v>14</v>
          </cell>
          <cell r="V83">
            <v>0.11111</v>
          </cell>
          <cell r="W83">
            <v>6</v>
          </cell>
        </row>
        <row r="84">
          <cell r="A84" t="str">
            <v>S-2026-01-81</v>
          </cell>
          <cell r="B84"/>
          <cell r="C84" t="str">
            <v>RPRO-260122-1578</v>
          </cell>
          <cell r="D84" t="str">
            <v>PUR260012200002S</v>
          </cell>
          <cell r="E84" t="str">
            <v>BDB-000221</v>
          </cell>
          <cell r="F84" t="str">
            <v>PVN-004053</v>
          </cell>
          <cell r="G84" t="str">
            <v>OrthoLite X-40-Hybrid-Nike SEEDPEARL/12-0703TPX Hybrid Flat Sheet 0.16D 25+/-4 Asker C 1.1M 1.7M 6mm</v>
          </cell>
          <cell r="H84">
            <v>50</v>
          </cell>
          <cell r="I84">
            <v>50</v>
          </cell>
          <cell r="J84">
            <v>50</v>
          </cell>
          <cell r="K84">
            <v>0</v>
          </cell>
          <cell r="L84" t="str">
            <v>NIKE</v>
          </cell>
          <cell r="M84" t="str">
            <v>Sample</v>
          </cell>
          <cell r="N84" t="str">
            <v>MOLED</v>
          </cell>
          <cell r="O84" t="str">
            <v>Sample</v>
          </cell>
          <cell r="P84">
            <v>46044</v>
          </cell>
          <cell r="Q84">
            <v>46077</v>
          </cell>
          <cell r="R84">
            <v>46074</v>
          </cell>
          <cell r="S84">
            <v>6</v>
          </cell>
          <cell r="T84">
            <v>33</v>
          </cell>
          <cell r="U84">
            <v>6</v>
          </cell>
          <cell r="V84">
            <v>4.3479999999999998E-2</v>
          </cell>
          <cell r="W84">
            <v>3</v>
          </cell>
        </row>
        <row r="85">
          <cell r="A85" t="str">
            <v>S-2026-01-82</v>
          </cell>
          <cell r="B85"/>
          <cell r="C85" t="str">
            <v>RPRO-260122-1579</v>
          </cell>
          <cell r="D85" t="str">
            <v>PUR260012200002S</v>
          </cell>
          <cell r="E85" t="str">
            <v>BDB-000149</v>
          </cell>
          <cell r="F85" t="str">
            <v>PVN-002773</v>
          </cell>
          <cell r="G85" t="str">
            <v>OrthoLite Regular-Hybrid-Nike SEEDPEARL/12-0703TPX Hybrid 0.11D 25+/-4 Asker C 1.1M 2M 4mm</v>
          </cell>
          <cell r="H85">
            <v>30</v>
          </cell>
          <cell r="I85">
            <v>30</v>
          </cell>
          <cell r="J85">
            <v>30</v>
          </cell>
          <cell r="K85">
            <v>0</v>
          </cell>
          <cell r="L85" t="str">
            <v>NIKE</v>
          </cell>
          <cell r="M85" t="str">
            <v>Sample</v>
          </cell>
          <cell r="N85" t="str">
            <v>die cut</v>
          </cell>
          <cell r="O85" t="str">
            <v>Sample</v>
          </cell>
          <cell r="P85">
            <v>46044</v>
          </cell>
          <cell r="Q85">
            <v>46077</v>
          </cell>
          <cell r="R85">
            <v>46074</v>
          </cell>
          <cell r="S85">
            <v>6</v>
          </cell>
          <cell r="T85">
            <v>33</v>
          </cell>
          <cell r="U85">
            <v>4</v>
          </cell>
          <cell r="V85">
            <v>2.8570000000000002E-2</v>
          </cell>
          <cell r="W85">
            <v>1</v>
          </cell>
        </row>
        <row r="86">
          <cell r="A86" t="str">
            <v>S-2026-01-83</v>
          </cell>
          <cell r="B86"/>
          <cell r="C86" t="str">
            <v>RPRO-260122-1580</v>
          </cell>
          <cell r="D86" t="str">
            <v>PUR260012200002S</v>
          </cell>
          <cell r="E86" t="str">
            <v>BDB-000125</v>
          </cell>
          <cell r="F86" t="str">
            <v>PVN-001579</v>
          </cell>
          <cell r="G86" t="str">
            <v>OrthoLite Regular-Nike AIR BLUE/16-4134TPX Flat Sheet 0.11D 25+/-4 Asker C 1.1M 2M 4mm</v>
          </cell>
          <cell r="H86">
            <v>30</v>
          </cell>
          <cell r="I86">
            <v>30</v>
          </cell>
          <cell r="J86">
            <v>30</v>
          </cell>
          <cell r="K86">
            <v>0</v>
          </cell>
          <cell r="L86" t="str">
            <v>NIKE</v>
          </cell>
          <cell r="M86" t="str">
            <v>Sample</v>
          </cell>
          <cell r="N86" t="str">
            <v>die cut</v>
          </cell>
          <cell r="O86" t="str">
            <v>Sample</v>
          </cell>
          <cell r="P86">
            <v>46044</v>
          </cell>
          <cell r="Q86">
            <v>46077</v>
          </cell>
          <cell r="R86">
            <v>46074</v>
          </cell>
          <cell r="S86">
            <v>6</v>
          </cell>
          <cell r="T86">
            <v>33</v>
          </cell>
          <cell r="U86">
            <v>4</v>
          </cell>
          <cell r="V86">
            <v>2.8570000000000002E-2</v>
          </cell>
          <cell r="W86">
            <v>1</v>
          </cell>
        </row>
        <row r="87">
          <cell r="A87" t="str">
            <v>S-2026-01-84</v>
          </cell>
          <cell r="B87" t="str">
            <v>hủy</v>
          </cell>
          <cell r="C87"/>
          <cell r="D87" t="str">
            <v>OV-0385</v>
          </cell>
          <cell r="E87" t="str">
            <v>BDB-000371</v>
          </cell>
          <cell r="F87" t="str">
            <v>PVN-004297</v>
          </cell>
          <cell r="G87" t="str">
            <v>OrthoLite SloMo LIME GREEN/14-0452TPX Flat Sheet 0.085D 5-10 Asker C 1.1M 2M 12mm</v>
          </cell>
          <cell r="H87">
            <v>5</v>
          </cell>
          <cell r="I87">
            <v>5</v>
          </cell>
          <cell r="J87">
            <v>0</v>
          </cell>
          <cell r="K87">
            <v>5</v>
          </cell>
          <cell r="L87" t="str">
            <v>On running</v>
          </cell>
          <cell r="M87" t="str">
            <v>Sample</v>
          </cell>
          <cell r="N87" t="str">
            <v>INSOLE/ MOLDED/ FLAT SHEET or DIE CUT</v>
          </cell>
          <cell r="O87" t="str">
            <v>Sample</v>
          </cell>
          <cell r="P87">
            <v>46044</v>
          </cell>
          <cell r="Q87" t="str">
            <v>hủy</v>
          </cell>
          <cell r="R87" t="e">
            <v>#VALUE!</v>
          </cell>
          <cell r="S87">
            <v>6</v>
          </cell>
          <cell r="T87" t="e">
            <v>#VALUE!</v>
          </cell>
          <cell r="U87">
            <v>12</v>
          </cell>
          <cell r="V87">
            <v>9.0910000000000005E-2</v>
          </cell>
          <cell r="W87">
            <v>1</v>
          </cell>
        </row>
        <row r="88">
          <cell r="A88" t="str">
            <v>S-2026-01-85</v>
          </cell>
          <cell r="B88" t="str">
            <v>hủy</v>
          </cell>
          <cell r="C88"/>
          <cell r="D88" t="str">
            <v>OV-0385</v>
          </cell>
          <cell r="E88" t="str">
            <v>BDB-000371</v>
          </cell>
          <cell r="F88" t="str">
            <v>PVN-004298</v>
          </cell>
          <cell r="G88" t="str">
            <v>OrthoLite SloMo LIME GREEN/14-0452TPX Flat Sheet 0.085D 5-10 Asker C 1.1M 2M 8mm</v>
          </cell>
          <cell r="H88">
            <v>5</v>
          </cell>
          <cell r="I88">
            <v>5</v>
          </cell>
          <cell r="J88">
            <v>0</v>
          </cell>
          <cell r="K88">
            <v>5</v>
          </cell>
          <cell r="L88" t="str">
            <v>On running</v>
          </cell>
          <cell r="M88" t="str">
            <v>Sample</v>
          </cell>
          <cell r="N88" t="str">
            <v>INSOLE/ MOLDED/ FLAT SHEET or DIE CUT</v>
          </cell>
          <cell r="O88" t="str">
            <v>Sample</v>
          </cell>
          <cell r="P88">
            <v>46044</v>
          </cell>
          <cell r="Q88" t="str">
            <v>hủy</v>
          </cell>
          <cell r="R88" t="e">
            <v>#VALUE!</v>
          </cell>
          <cell r="S88">
            <v>6</v>
          </cell>
          <cell r="T88" t="e">
            <v>#VALUE!</v>
          </cell>
          <cell r="U88">
            <v>8</v>
          </cell>
          <cell r="V88">
            <v>5.8819999999999997E-2</v>
          </cell>
          <cell r="W88">
            <v>1</v>
          </cell>
        </row>
        <row r="89">
          <cell r="A89" t="str">
            <v>S-2026-01-86</v>
          </cell>
          <cell r="B89" t="str">
            <v>hủy</v>
          </cell>
          <cell r="C89"/>
          <cell r="D89" t="str">
            <v>OV-0385</v>
          </cell>
          <cell r="E89" t="str">
            <v>BDB-000371</v>
          </cell>
          <cell r="F89" t="str">
            <v>PVN-004299</v>
          </cell>
          <cell r="G89" t="str">
            <v>OrthoLite SloMo LIME GREEN/14-0452TPX Flat Sheet 0.085D 5-10 Asker C 1.1M 2M 6mm</v>
          </cell>
          <cell r="H89">
            <v>5</v>
          </cell>
          <cell r="I89">
            <v>5</v>
          </cell>
          <cell r="J89">
            <v>0</v>
          </cell>
          <cell r="K89">
            <v>5</v>
          </cell>
          <cell r="L89" t="str">
            <v>On running</v>
          </cell>
          <cell r="M89" t="str">
            <v>Sample</v>
          </cell>
          <cell r="N89" t="str">
            <v>INSOLE/ MOLDED/ FLAT SHEET or DIE CUT</v>
          </cell>
          <cell r="O89" t="str">
            <v>Sample</v>
          </cell>
          <cell r="P89">
            <v>46044</v>
          </cell>
          <cell r="Q89" t="str">
            <v>hủy</v>
          </cell>
          <cell r="R89" t="e">
            <v>#VALUE!</v>
          </cell>
          <cell r="S89">
            <v>6</v>
          </cell>
          <cell r="T89" t="e">
            <v>#VALUE!</v>
          </cell>
          <cell r="U89">
            <v>6</v>
          </cell>
          <cell r="V89">
            <v>4.3479999999999998E-2</v>
          </cell>
          <cell r="W89">
            <v>1</v>
          </cell>
        </row>
        <row r="90">
          <cell r="A90" t="str">
            <v>S-2026-01-87</v>
          </cell>
          <cell r="B90"/>
          <cell r="C90" t="str">
            <v>RPRO-260127-0875</v>
          </cell>
          <cell r="D90" t="str">
            <v>PUR2601250001S</v>
          </cell>
          <cell r="E90" t="str">
            <v>BDB-000016</v>
          </cell>
          <cell r="F90" t="str">
            <v>PVN-000338</v>
          </cell>
          <cell r="G90" t="str">
            <v>OrthoLite Regular GREEN/16-5932TPX Flat Sheet 0.13D 35+/-4 Asker C 1.1M 2M 4mm</v>
          </cell>
          <cell r="H90">
            <v>50</v>
          </cell>
          <cell r="I90">
            <v>50</v>
          </cell>
          <cell r="J90">
            <v>50</v>
          </cell>
          <cell r="K90">
            <v>0</v>
          </cell>
          <cell r="L90" t="str">
            <v>ADIDAS</v>
          </cell>
          <cell r="M90" t="str">
            <v>SSO-2601-00958 (need PU on 2-2)</v>
          </cell>
          <cell r="N90" t="str">
            <v>Flat sheet</v>
          </cell>
          <cell r="O90" t="str">
            <v>Sample</v>
          </cell>
          <cell r="P90">
            <v>46048</v>
          </cell>
          <cell r="Q90">
            <v>46055</v>
          </cell>
          <cell r="R90">
            <v>46052</v>
          </cell>
          <cell r="S90">
            <v>6</v>
          </cell>
          <cell r="T90">
            <v>7</v>
          </cell>
          <cell r="U90">
            <v>4</v>
          </cell>
          <cell r="V90">
            <v>2.8570000000000002E-2</v>
          </cell>
          <cell r="W90">
            <v>2</v>
          </cell>
        </row>
        <row r="91">
          <cell r="A91" t="str">
            <v>S-2026-01-88</v>
          </cell>
          <cell r="B91"/>
          <cell r="C91" t="str">
            <v>RPRO-260127-0877</v>
          </cell>
          <cell r="D91" t="str">
            <v>PUR2601250001S</v>
          </cell>
          <cell r="E91" t="str">
            <v>BDB-000016</v>
          </cell>
          <cell r="F91" t="str">
            <v>PVN-000458</v>
          </cell>
          <cell r="G91" t="str">
            <v>OrthoLite Regular GREEN/16-5932TPX Flat Sheet 0.13D 35+/-4 Asker C 1.1M 2M 3mm</v>
          </cell>
          <cell r="H91">
            <v>50</v>
          </cell>
          <cell r="I91">
            <v>50</v>
          </cell>
          <cell r="J91">
            <v>50</v>
          </cell>
          <cell r="K91">
            <v>0</v>
          </cell>
          <cell r="L91" t="str">
            <v>ADIDAS</v>
          </cell>
          <cell r="M91" t="str">
            <v>SSO-2601-00958 (need PU on 2-2)</v>
          </cell>
          <cell r="N91" t="str">
            <v>Flat sheet</v>
          </cell>
          <cell r="O91" t="str">
            <v>Sample</v>
          </cell>
          <cell r="P91">
            <v>46048</v>
          </cell>
          <cell r="Q91">
            <v>46055</v>
          </cell>
          <cell r="R91">
            <v>46052</v>
          </cell>
          <cell r="S91">
            <v>6</v>
          </cell>
          <cell r="T91">
            <v>7</v>
          </cell>
          <cell r="U91">
            <v>3</v>
          </cell>
          <cell r="V91">
            <v>2.1739999999999999E-2</v>
          </cell>
          <cell r="W91">
            <v>2</v>
          </cell>
        </row>
        <row r="92">
          <cell r="A92" t="str">
            <v>S-2026-01-89</v>
          </cell>
          <cell r="B92"/>
          <cell r="C92" t="str">
            <v>RPRO-260127-0879</v>
          </cell>
          <cell r="D92" t="str">
            <v xml:space="preserve">PUR2601260001S </v>
          </cell>
          <cell r="E92" t="str">
            <v>BDB-000209</v>
          </cell>
          <cell r="F92" t="str">
            <v>PVN-003537</v>
          </cell>
          <cell r="G92" t="str">
            <v>OrthoLite HybridPlus-Recycled MINT GREEN/11-4805TPX Hybrid 0.12D 25+/-4 Asker C 1.1M 2M 4.5mm</v>
          </cell>
          <cell r="H92">
            <v>100</v>
          </cell>
          <cell r="I92">
            <v>100</v>
          </cell>
          <cell r="J92">
            <v>100</v>
          </cell>
          <cell r="K92">
            <v>0</v>
          </cell>
          <cell r="L92" t="str">
            <v>ON RUNNING</v>
          </cell>
          <cell r="M92" t="str">
            <v>SAMPLE</v>
          </cell>
          <cell r="N92" t="str">
            <v>OV-0256 - URGENT</v>
          </cell>
          <cell r="O92" t="str">
            <v>Sample</v>
          </cell>
          <cell r="P92">
            <v>46048</v>
          </cell>
          <cell r="Q92">
            <v>46060</v>
          </cell>
          <cell r="R92">
            <v>46057</v>
          </cell>
          <cell r="S92">
            <v>6</v>
          </cell>
          <cell r="T92">
            <v>12</v>
          </cell>
          <cell r="U92">
            <v>4.5</v>
          </cell>
          <cell r="V92">
            <v>3.2259999999999997E-2</v>
          </cell>
          <cell r="W92">
            <v>4</v>
          </cell>
        </row>
        <row r="93">
          <cell r="A93" t="str">
            <v>S-2026-01-90</v>
          </cell>
          <cell r="B93"/>
          <cell r="C93" t="str">
            <v>RPRO-260128-1270</v>
          </cell>
          <cell r="D93" t="str">
            <v>PUR2601280001S</v>
          </cell>
          <cell r="E93" t="str">
            <v>BDB-000348</v>
          </cell>
          <cell r="F93" t="str">
            <v>PVN-004274</v>
          </cell>
          <cell r="G93" t="str">
            <v>OrthoLite IMPERIAL SEEDPEARL/12-0703TPX Flat Sheet 0.22D 25+/-4 Asker C 1.1M 1.47M 13mm</v>
          </cell>
          <cell r="H93">
            <v>50</v>
          </cell>
          <cell r="I93">
            <v>50</v>
          </cell>
          <cell r="J93">
            <v>50</v>
          </cell>
          <cell r="K93">
            <v>0</v>
          </cell>
          <cell r="L93" t="str">
            <v>ADIDAS</v>
          </cell>
          <cell r="M93" t="str">
            <v>Sample</v>
          </cell>
          <cell r="N93" t="str">
            <v>Molded</v>
          </cell>
          <cell r="O93" t="str">
            <v>Sample</v>
          </cell>
          <cell r="P93">
            <v>46050</v>
          </cell>
          <cell r="Q93">
            <v>46079</v>
          </cell>
          <cell r="R93">
            <v>46076</v>
          </cell>
          <cell r="S93">
            <v>6</v>
          </cell>
          <cell r="T93">
            <v>29</v>
          </cell>
          <cell r="U93">
            <v>13</v>
          </cell>
          <cell r="V93">
            <v>0.1</v>
          </cell>
          <cell r="W93">
            <v>5</v>
          </cell>
        </row>
        <row r="94">
          <cell r="A94" t="str">
            <v>S-2026-01-91</v>
          </cell>
          <cell r="B94"/>
          <cell r="C94" t="str">
            <v>RPRO-260128-1271</v>
          </cell>
          <cell r="D94" t="str">
            <v>PUR2601280001S</v>
          </cell>
          <cell r="E94" t="str">
            <v>BDB-000123</v>
          </cell>
          <cell r="F94" t="str">
            <v>PVN-003298</v>
          </cell>
          <cell r="G94" t="str">
            <v>OrthoLite Ultra-Hybrid SEEDPEARL/12-0703TPX Hybrid Flat Sheet 0.085D 25+/-4 Asker C 1.1M 2M 4mm</v>
          </cell>
          <cell r="H94">
            <v>300</v>
          </cell>
          <cell r="I94">
            <v>300</v>
          </cell>
          <cell r="J94">
            <v>300</v>
          </cell>
          <cell r="K94">
            <v>0</v>
          </cell>
          <cell r="L94" t="str">
            <v>ADIDAS</v>
          </cell>
          <cell r="M94" t="str">
            <v>SSO-2601-01122/SSO-2601-01130/SSO-2601-01132 (need PU on 2-7)</v>
          </cell>
          <cell r="N94" t="str">
            <v>Flat sheet</v>
          </cell>
          <cell r="O94" t="str">
            <v>Sample</v>
          </cell>
          <cell r="P94">
            <v>46050</v>
          </cell>
          <cell r="Q94">
            <v>46060</v>
          </cell>
          <cell r="R94">
            <v>46057</v>
          </cell>
          <cell r="S94">
            <v>6</v>
          </cell>
          <cell r="T94">
            <v>10</v>
          </cell>
          <cell r="U94">
            <v>4</v>
          </cell>
          <cell r="V94">
            <v>2.8570000000000002E-2</v>
          </cell>
          <cell r="W94">
            <v>9</v>
          </cell>
        </row>
        <row r="95">
          <cell r="A95" t="str">
            <v>S-2026-01-92</v>
          </cell>
          <cell r="B95"/>
          <cell r="C95" t="str">
            <v>RPRO-260128-1272</v>
          </cell>
          <cell r="D95" t="str">
            <v>PUR2601280001S</v>
          </cell>
          <cell r="E95" t="str">
            <v>BDB-000200</v>
          </cell>
          <cell r="F95" t="str">
            <v>PVN-003418</v>
          </cell>
          <cell r="G95" t="str">
            <v>OrthoLite Ultra SEEDPEARL/12-0703TPX Flat Sheet 0.085D 78-90 Asker F 1.1M 2M 5mm</v>
          </cell>
          <cell r="H95">
            <v>100</v>
          </cell>
          <cell r="I95">
            <v>100</v>
          </cell>
          <cell r="J95">
            <v>100</v>
          </cell>
          <cell r="K95">
            <v>0</v>
          </cell>
          <cell r="L95" t="str">
            <v>ADIDAS</v>
          </cell>
          <cell r="M95" t="str">
            <v>SSO-2601-01122  (need PU on 2-7)</v>
          </cell>
          <cell r="N95" t="str">
            <v>Flat sheet</v>
          </cell>
          <cell r="O95" t="str">
            <v>Sample</v>
          </cell>
          <cell r="P95">
            <v>46050</v>
          </cell>
          <cell r="Q95">
            <v>46060</v>
          </cell>
          <cell r="R95">
            <v>46057</v>
          </cell>
          <cell r="S95">
            <v>6</v>
          </cell>
          <cell r="T95">
            <v>10</v>
          </cell>
          <cell r="U95">
            <v>5</v>
          </cell>
          <cell r="V95">
            <v>3.5709999999999999E-2</v>
          </cell>
          <cell r="W95">
            <v>4</v>
          </cell>
        </row>
        <row r="96">
          <cell r="A96" t="str">
            <v>S-2026-01-93</v>
          </cell>
          <cell r="B96"/>
          <cell r="C96" t="str">
            <v>RPRO-260128-1273</v>
          </cell>
          <cell r="D96" t="str">
            <v>PUR2601280001S</v>
          </cell>
          <cell r="E96" t="str">
            <v>BDB-000123</v>
          </cell>
          <cell r="F96" t="str">
            <v>PVN-003299</v>
          </cell>
          <cell r="G96" t="str">
            <v>OrthoLite Ultra-Hybrid SEEDPEARL/12-0703TPX Hybrid Flat Sheet 0.085D 25+/-4 Asker C 1.1M 2M 3mm</v>
          </cell>
          <cell r="H96">
            <v>200</v>
          </cell>
          <cell r="I96">
            <v>200</v>
          </cell>
          <cell r="J96">
            <v>200</v>
          </cell>
          <cell r="K96">
            <v>0</v>
          </cell>
          <cell r="L96" t="str">
            <v>ADIDAS</v>
          </cell>
          <cell r="M96" t="str">
            <v>Sample</v>
          </cell>
          <cell r="N96" t="str">
            <v>Flat sheet</v>
          </cell>
          <cell r="O96" t="str">
            <v>Sample</v>
          </cell>
          <cell r="P96">
            <v>46050</v>
          </cell>
          <cell r="Q96">
            <v>46079</v>
          </cell>
          <cell r="R96">
            <v>46076</v>
          </cell>
          <cell r="S96">
            <v>6</v>
          </cell>
          <cell r="T96">
            <v>29</v>
          </cell>
          <cell r="U96">
            <v>3</v>
          </cell>
          <cell r="V96">
            <v>2.1739999999999999E-2</v>
          </cell>
          <cell r="W96">
            <v>5</v>
          </cell>
        </row>
        <row r="97">
          <cell r="A97" t="str">
            <v>S-2026-01-94</v>
          </cell>
          <cell r="B97"/>
          <cell r="C97" t="str">
            <v>RPRO-260128-1274</v>
          </cell>
          <cell r="D97" t="str">
            <v>PUR-202601280002S</v>
          </cell>
          <cell r="E97" t="str">
            <v>BDB-000011</v>
          </cell>
          <cell r="F97" t="str">
            <v>PVN-000258</v>
          </cell>
          <cell r="G97" t="str">
            <v>OrthoLite Regular AIR BLUE/16-4134TPX Flat Sheet 0.13D 35+/-4 Asker C 1.1M 2M 2.5mm</v>
          </cell>
          <cell r="H97">
            <v>40</v>
          </cell>
          <cell r="I97">
            <v>40</v>
          </cell>
          <cell r="J97">
            <v>40</v>
          </cell>
          <cell r="K97">
            <v>0</v>
          </cell>
          <cell r="L97" t="str">
            <v>ASICS</v>
          </cell>
          <cell r="M97" t="str">
            <v>Sample</v>
          </cell>
          <cell r="N97" t="str">
            <v>FL SHEET</v>
          </cell>
          <cell r="O97" t="str">
            <v>Sample</v>
          </cell>
          <cell r="P97">
            <v>46050</v>
          </cell>
          <cell r="Q97">
            <v>46079</v>
          </cell>
          <cell r="R97">
            <v>46076</v>
          </cell>
          <cell r="S97">
            <v>6</v>
          </cell>
          <cell r="T97">
            <v>29</v>
          </cell>
          <cell r="U97">
            <v>2.5</v>
          </cell>
          <cell r="V97">
            <v>1.7860000000000001E-2</v>
          </cell>
          <cell r="W97">
            <v>1</v>
          </cell>
        </row>
        <row r="98">
          <cell r="A98" t="str">
            <v>S-2026-01-95</v>
          </cell>
          <cell r="B98"/>
          <cell r="C98" t="str">
            <v>RPRO-260128-1275</v>
          </cell>
          <cell r="D98" t="str">
            <v>PUR-202601280002S</v>
          </cell>
          <cell r="E98" t="str">
            <v>BDB-000097</v>
          </cell>
          <cell r="F98" t="str">
            <v>PVN-003671</v>
          </cell>
          <cell r="G98" t="str">
            <v>OrthoLite Eco LT-Hybrid SEEDPEARL/12-0703TPX Hybrid Flat Sheet 0.11D 25+/-4 Asker C 1.1M 2M 13mm</v>
          </cell>
          <cell r="H98">
            <v>20</v>
          </cell>
          <cell r="I98">
            <v>20</v>
          </cell>
          <cell r="J98">
            <v>20</v>
          </cell>
          <cell r="K98">
            <v>0</v>
          </cell>
          <cell r="L98" t="str">
            <v>NEW BALANCE</v>
          </cell>
          <cell r="M98" t="str">
            <v>Sample</v>
          </cell>
          <cell r="N98" t="str">
            <v>MOLDED</v>
          </cell>
          <cell r="O98" t="str">
            <v>Sample</v>
          </cell>
          <cell r="P98">
            <v>46050</v>
          </cell>
          <cell r="Q98">
            <v>46079</v>
          </cell>
          <cell r="R98">
            <v>46076</v>
          </cell>
          <cell r="S98">
            <v>6</v>
          </cell>
          <cell r="T98">
            <v>29</v>
          </cell>
          <cell r="U98">
            <v>13</v>
          </cell>
          <cell r="V98">
            <v>0.1</v>
          </cell>
          <cell r="W98">
            <v>2</v>
          </cell>
        </row>
        <row r="99">
          <cell r="A99" t="str">
            <v>S-2026-01-96</v>
          </cell>
          <cell r="B99"/>
          <cell r="C99" t="str">
            <v>RPRO-260128-1276</v>
          </cell>
          <cell r="D99" t="str">
            <v>PUR-202601280002S</v>
          </cell>
          <cell r="E99" t="str">
            <v>BDB-000011</v>
          </cell>
          <cell r="F99" t="str">
            <v>PVN-000126</v>
          </cell>
          <cell r="G99" t="str">
            <v>OrthoLite Regular AIR BLUE/16-4134TPX Flat Sheet 0.13D 35+/-4 Asker C 1.1M 2M 4mm</v>
          </cell>
          <cell r="H99">
            <v>30</v>
          </cell>
          <cell r="I99">
            <v>30</v>
          </cell>
          <cell r="J99">
            <v>30</v>
          </cell>
          <cell r="K99">
            <v>0</v>
          </cell>
          <cell r="L99" t="str">
            <v>ASICS</v>
          </cell>
          <cell r="M99" t="str">
            <v>Sample</v>
          </cell>
          <cell r="N99" t="str">
            <v>FL SHEET</v>
          </cell>
          <cell r="O99" t="str">
            <v>Sample</v>
          </cell>
          <cell r="P99">
            <v>46050</v>
          </cell>
          <cell r="Q99">
            <v>46079</v>
          </cell>
          <cell r="R99">
            <v>46076</v>
          </cell>
          <cell r="S99">
            <v>6</v>
          </cell>
          <cell r="T99">
            <v>29</v>
          </cell>
          <cell r="U99">
            <v>4</v>
          </cell>
          <cell r="V99">
            <v>2.8570000000000002E-2</v>
          </cell>
          <cell r="W99">
            <v>1</v>
          </cell>
        </row>
        <row r="100">
          <cell r="A100" t="str">
            <v>S-2026-01-97</v>
          </cell>
          <cell r="B100"/>
          <cell r="C100" t="str">
            <v>RPRO-260128-1277</v>
          </cell>
          <cell r="D100" t="str">
            <v>PUR-202601280002S</v>
          </cell>
          <cell r="E100" t="str">
            <v>BDB-000011</v>
          </cell>
          <cell r="F100" t="str">
            <v>PVN-000242</v>
          </cell>
          <cell r="G100" t="str">
            <v>OrthoLite Regular AIR BLUE/16-4134TPX Flat Sheet 0.13D 35+/-4 Asker C 1.1M 2M 2mm</v>
          </cell>
          <cell r="H100">
            <v>40</v>
          </cell>
          <cell r="I100">
            <v>40</v>
          </cell>
          <cell r="J100">
            <v>40</v>
          </cell>
          <cell r="K100">
            <v>0</v>
          </cell>
          <cell r="L100" t="str">
            <v>ASICS</v>
          </cell>
          <cell r="M100" t="str">
            <v>Sample</v>
          </cell>
          <cell r="N100" t="str">
            <v>FL SHEET</v>
          </cell>
          <cell r="O100" t="str">
            <v>Sample</v>
          </cell>
          <cell r="P100">
            <v>46050</v>
          </cell>
          <cell r="Q100">
            <v>46079</v>
          </cell>
          <cell r="R100">
            <v>46076</v>
          </cell>
          <cell r="S100">
            <v>6</v>
          </cell>
          <cell r="T100">
            <v>29</v>
          </cell>
          <cell r="U100">
            <v>2</v>
          </cell>
          <cell r="V100">
            <v>1.4290000000000001E-2</v>
          </cell>
          <cell r="W100">
            <v>1</v>
          </cell>
        </row>
        <row r="101">
          <cell r="A101" t="str">
            <v>S-2026-01-98</v>
          </cell>
          <cell r="B101"/>
          <cell r="C101" t="str">
            <v>RPRO-260129-0656</v>
          </cell>
          <cell r="D101" t="str">
            <v>PUR2601290001S</v>
          </cell>
          <cell r="E101" t="str">
            <v>BDB-000348</v>
          </cell>
          <cell r="F101" t="str">
            <v>PVN-004195</v>
          </cell>
          <cell r="G101" t="str">
            <v>OrthoLite IMPERIAL SEEDPEARL/12-0703TPX Flat Sheet 0.22D 25+/-4 Asker C 1.1M 1.47M 4mm</v>
          </cell>
          <cell r="H101">
            <v>200</v>
          </cell>
          <cell r="I101">
            <v>200</v>
          </cell>
          <cell r="J101">
            <v>200</v>
          </cell>
          <cell r="K101">
            <v>0</v>
          </cell>
          <cell r="L101" t="str">
            <v>ADIDAS</v>
          </cell>
          <cell r="M101" t="str">
            <v>SSO-2601-01191 (need PU on 2-7)</v>
          </cell>
          <cell r="N101" t="str">
            <v>Flat sheet</v>
          </cell>
          <cell r="O101" t="str">
            <v>Sample</v>
          </cell>
          <cell r="P101">
            <v>46051</v>
          </cell>
          <cell r="Q101">
            <v>46060</v>
          </cell>
          <cell r="R101">
            <v>46057</v>
          </cell>
          <cell r="S101">
            <v>6</v>
          </cell>
          <cell r="T101">
            <v>9</v>
          </cell>
          <cell r="U101">
            <v>4</v>
          </cell>
          <cell r="V101">
            <v>2.8570000000000002E-2</v>
          </cell>
          <cell r="W101">
            <v>6</v>
          </cell>
        </row>
        <row r="102">
          <cell r="A102" t="str">
            <v>S-2026-02-01</v>
          </cell>
          <cell r="B102"/>
          <cell r="C102" t="str">
            <v>RPRO-260203-0021</v>
          </cell>
          <cell r="D102" t="str">
            <v>PUR2602010001S</v>
          </cell>
          <cell r="E102" t="str">
            <v>BDB-000016</v>
          </cell>
          <cell r="F102" t="str">
            <v>PVN-001814</v>
          </cell>
          <cell r="G102" t="str">
            <v>OrthoLite Regular GREEN/16-5932TPX Flat Sheet 0.13D 35+/-4 Asker C 1.1M 2M 3.5mm</v>
          </cell>
          <cell r="H102">
            <v>50</v>
          </cell>
          <cell r="I102">
            <v>50</v>
          </cell>
          <cell r="J102">
            <v>50</v>
          </cell>
          <cell r="K102">
            <v>0</v>
          </cell>
          <cell r="L102" t="str">
            <v>ADIDAS</v>
          </cell>
          <cell r="M102" t="str">
            <v>SSO-2601-01249/SSO-2601-01325 (need PU on 2-9)</v>
          </cell>
          <cell r="N102" t="str">
            <v>Flat sheet</v>
          </cell>
          <cell r="O102" t="str">
            <v>Sample</v>
          </cell>
          <cell r="P102">
            <v>46055</v>
          </cell>
          <cell r="Q102">
            <v>46062</v>
          </cell>
          <cell r="R102">
            <v>46059</v>
          </cell>
          <cell r="S102">
            <v>6</v>
          </cell>
          <cell r="T102">
            <v>7</v>
          </cell>
          <cell r="U102">
            <v>3.5</v>
          </cell>
          <cell r="V102">
            <v>2.5000000000000001E-2</v>
          </cell>
          <cell r="W102">
            <v>2</v>
          </cell>
        </row>
        <row r="103">
          <cell r="A103" t="str">
            <v>S-2026-02-02</v>
          </cell>
          <cell r="B103"/>
          <cell r="C103" t="str">
            <v>RPRO-260203-0022</v>
          </cell>
          <cell r="D103" t="str">
            <v>PUR2602010001S</v>
          </cell>
          <cell r="E103" t="str">
            <v>BDB-000123</v>
          </cell>
          <cell r="F103" t="str">
            <v>PVN-003299</v>
          </cell>
          <cell r="G103" t="str">
            <v>OrthoLite Ultra-Hybrid SEEDPEARL/12-0703TPX Hybrid Flat Sheet 0.085D 25+/-4 Asker C 1.1M 2M 3mm</v>
          </cell>
          <cell r="H103">
            <v>400</v>
          </cell>
          <cell r="I103">
            <v>400</v>
          </cell>
          <cell r="J103">
            <v>400</v>
          </cell>
          <cell r="K103">
            <v>0</v>
          </cell>
          <cell r="L103" t="str">
            <v>ADIDAS</v>
          </cell>
          <cell r="M103" t="str">
            <v>SSO-2601-01290/SSO-2601-01299/SSO-2601-01300/SSO-2601-01302 (need PU on 2-9)</v>
          </cell>
          <cell r="N103" t="str">
            <v>Flat sheet</v>
          </cell>
          <cell r="O103" t="str">
            <v>Sample</v>
          </cell>
          <cell r="P103">
            <v>46055</v>
          </cell>
          <cell r="Q103">
            <v>46062</v>
          </cell>
          <cell r="R103">
            <v>46059</v>
          </cell>
          <cell r="S103">
            <v>6</v>
          </cell>
          <cell r="T103">
            <v>7</v>
          </cell>
          <cell r="U103">
            <v>3</v>
          </cell>
          <cell r="V103">
            <v>2.1739999999999999E-2</v>
          </cell>
          <cell r="W103">
            <v>9</v>
          </cell>
        </row>
        <row r="104">
          <cell r="A104" t="str">
            <v>S-2026-02-03</v>
          </cell>
          <cell r="B104"/>
          <cell r="C104" t="str">
            <v>RPRO-260203-0770</v>
          </cell>
          <cell r="D104" t="str">
            <v>PUR260020200001S</v>
          </cell>
          <cell r="E104" t="str">
            <v>BDB-000149</v>
          </cell>
          <cell r="F104" t="str">
            <v>PVN-002773</v>
          </cell>
          <cell r="G104" t="str">
            <v>OrthoLite Regular-Hybrid-Nike SEEDPEARL/12-0703TPX Hybrid 0.11D 25+/-4 Asker C 1.1M 2M 4mm</v>
          </cell>
          <cell r="H104">
            <v>30</v>
          </cell>
          <cell r="I104">
            <v>30</v>
          </cell>
          <cell r="J104">
            <v>30</v>
          </cell>
          <cell r="K104">
            <v>0</v>
          </cell>
          <cell r="L104" t="str">
            <v>NIKE</v>
          </cell>
          <cell r="M104" t="str">
            <v xml:space="preserve"> Sample</v>
          </cell>
          <cell r="N104" t="str">
            <v>DIE CUT</v>
          </cell>
          <cell r="O104" t="str">
            <v>Sample</v>
          </cell>
          <cell r="P104">
            <v>46055</v>
          </cell>
          <cell r="Q104">
            <v>46085</v>
          </cell>
          <cell r="R104">
            <v>46082</v>
          </cell>
          <cell r="S104">
            <v>6</v>
          </cell>
          <cell r="T104">
            <v>30</v>
          </cell>
          <cell r="U104">
            <v>4</v>
          </cell>
          <cell r="V104">
            <v>2.8570000000000002E-2</v>
          </cell>
          <cell r="W104">
            <v>1</v>
          </cell>
        </row>
        <row r="105">
          <cell r="A105" t="str">
            <v>S-2026-02-04</v>
          </cell>
          <cell r="B105"/>
          <cell r="C105" t="str">
            <v>RPRO-260203-0771</v>
          </cell>
          <cell r="D105" t="str">
            <v>PUR260020200001S</v>
          </cell>
          <cell r="E105" t="str">
            <v>BDB-000162</v>
          </cell>
          <cell r="F105" t="str">
            <v>PVN-001566</v>
          </cell>
          <cell r="G105" t="str">
            <v>OrthoLite Ultra-Nike SEEDPEARL/12-0703TPX Flat Sheet 0.085D 25+/-4 Asker C 1.1M 2M 4mm</v>
          </cell>
          <cell r="H105">
            <v>50</v>
          </cell>
          <cell r="I105">
            <v>50</v>
          </cell>
          <cell r="J105">
            <v>50</v>
          </cell>
          <cell r="K105">
            <v>0</v>
          </cell>
          <cell r="L105" t="str">
            <v>NIKE</v>
          </cell>
          <cell r="M105" t="str">
            <v xml:space="preserve"> Sample</v>
          </cell>
          <cell r="N105" t="str">
            <v>DIE CUT</v>
          </cell>
          <cell r="O105" t="str">
            <v>Sample</v>
          </cell>
          <cell r="P105">
            <v>46055</v>
          </cell>
          <cell r="Q105">
            <v>46085</v>
          </cell>
          <cell r="R105">
            <v>46082</v>
          </cell>
          <cell r="S105">
            <v>6</v>
          </cell>
          <cell r="T105">
            <v>30</v>
          </cell>
          <cell r="U105">
            <v>4</v>
          </cell>
          <cell r="V105">
            <v>2.8570000000000002E-2</v>
          </cell>
          <cell r="W105">
            <v>2</v>
          </cell>
        </row>
        <row r="106">
          <cell r="A106" t="str">
            <v>S-2026-02-05</v>
          </cell>
          <cell r="B106"/>
          <cell r="C106" t="str">
            <v>RPRO-260203-0772</v>
          </cell>
          <cell r="D106" t="str">
            <v>PUR260020200001S</v>
          </cell>
          <cell r="E106" t="str">
            <v>BDB-000157</v>
          </cell>
          <cell r="F106" t="str">
            <v>PVN-003573</v>
          </cell>
          <cell r="G106" t="str">
            <v>OrthoLite X-35-Hybrid-Nike SEEDPEARL/12-0703TPX Hybrid Flat Sheet 0.145D 25+/-4 Asker C 1.1M 2M 4.2mm</v>
          </cell>
          <cell r="H106">
            <v>50</v>
          </cell>
          <cell r="I106">
            <v>50</v>
          </cell>
          <cell r="J106">
            <v>50</v>
          </cell>
          <cell r="K106">
            <v>0</v>
          </cell>
          <cell r="L106" t="str">
            <v>NIKE</v>
          </cell>
          <cell r="M106" t="str">
            <v xml:space="preserve"> Sample</v>
          </cell>
          <cell r="N106" t="str">
            <v>MOLDED</v>
          </cell>
          <cell r="O106" t="str">
            <v>Sample</v>
          </cell>
          <cell r="P106">
            <v>46055</v>
          </cell>
          <cell r="Q106">
            <v>46085</v>
          </cell>
          <cell r="R106">
            <v>46082</v>
          </cell>
          <cell r="S106">
            <v>6</v>
          </cell>
          <cell r="T106">
            <v>30</v>
          </cell>
          <cell r="U106">
            <v>4.2</v>
          </cell>
          <cell r="V106">
            <v>3.0300000000000001E-2</v>
          </cell>
          <cell r="W106">
            <v>2</v>
          </cell>
        </row>
        <row r="107">
          <cell r="A107" t="str">
            <v>S-2026-02-06</v>
          </cell>
          <cell r="B107"/>
          <cell r="C107" t="str">
            <v>RPRO-260203-0773</v>
          </cell>
          <cell r="D107" t="str">
            <v>PUR260020200001S</v>
          </cell>
          <cell r="E107" t="str">
            <v>BDB-000129</v>
          </cell>
          <cell r="F107" t="str">
            <v>PVN-004071</v>
          </cell>
          <cell r="G107" t="str">
            <v>OrthoLite Regular-Nike AIR BLUE/16-4134TPX 0.11D 25+/-4 Asker C 1.1M 1.7M 2.5mm</v>
          </cell>
          <cell r="H107">
            <v>30</v>
          </cell>
          <cell r="I107">
            <v>30</v>
          </cell>
          <cell r="J107">
            <v>30</v>
          </cell>
          <cell r="K107">
            <v>0</v>
          </cell>
          <cell r="L107" t="str">
            <v>NIKE</v>
          </cell>
          <cell r="M107" t="str">
            <v xml:space="preserve"> Sample</v>
          </cell>
          <cell r="N107" t="str">
            <v>MOLDED</v>
          </cell>
          <cell r="O107" t="str">
            <v>Sample</v>
          </cell>
          <cell r="P107">
            <v>46055</v>
          </cell>
          <cell r="Q107">
            <v>46085</v>
          </cell>
          <cell r="R107">
            <v>46082</v>
          </cell>
          <cell r="S107">
            <v>6</v>
          </cell>
          <cell r="T107">
            <v>30</v>
          </cell>
          <cell r="U107">
            <v>2.5</v>
          </cell>
          <cell r="V107">
            <v>1.7860000000000001E-2</v>
          </cell>
          <cell r="W107">
            <v>1</v>
          </cell>
        </row>
        <row r="108">
          <cell r="A108" t="str">
            <v>S-2026-02-07</v>
          </cell>
          <cell r="B108"/>
          <cell r="C108" t="str">
            <v>RPRO-260203-0774</v>
          </cell>
          <cell r="D108" t="str">
            <v>PUR260020200001S</v>
          </cell>
          <cell r="E108" t="str">
            <v>BDB-000076</v>
          </cell>
          <cell r="F108" t="str">
            <v>PVN-004056</v>
          </cell>
          <cell r="G108" t="str">
            <v>OrthoLite X-25 BILLIARD/16-5427TPX Flat Sheet 0.12D 20+/-4 Asker C 1.1M 2M 12mm</v>
          </cell>
          <cell r="H108">
            <v>30</v>
          </cell>
          <cell r="I108">
            <v>30</v>
          </cell>
          <cell r="J108">
            <v>30</v>
          </cell>
          <cell r="K108">
            <v>0</v>
          </cell>
          <cell r="L108" t="str">
            <v>FOOTJOY</v>
          </cell>
          <cell r="M108" t="str">
            <v xml:space="preserve"> Sample</v>
          </cell>
          <cell r="N108" t="str">
            <v>MOLDED</v>
          </cell>
          <cell r="O108" t="str">
            <v>Sample</v>
          </cell>
          <cell r="P108">
            <v>46055</v>
          </cell>
          <cell r="Q108">
            <v>46085</v>
          </cell>
          <cell r="R108">
            <v>46082</v>
          </cell>
          <cell r="S108">
            <v>6</v>
          </cell>
          <cell r="T108">
            <v>30</v>
          </cell>
          <cell r="U108">
            <v>12</v>
          </cell>
          <cell r="V108">
            <v>9.0910000000000005E-2</v>
          </cell>
          <cell r="W108">
            <v>3</v>
          </cell>
        </row>
        <row r="109">
          <cell r="A109" t="str">
            <v>S-2026-02-08</v>
          </cell>
          <cell r="B109"/>
          <cell r="C109" t="str">
            <v>RPRO-260203-0775</v>
          </cell>
          <cell r="D109" t="str">
            <v>PUR260020200001S</v>
          </cell>
          <cell r="E109" t="str">
            <v>BDB-000076</v>
          </cell>
          <cell r="F109" t="str">
            <v>PVN-004182</v>
          </cell>
          <cell r="G109" t="str">
            <v>OrthoLite X-25 BILLIARD/16-5427TPX Flat Sheet 0.12D 20+/-4 Asker C 1.1M 2M 9mm</v>
          </cell>
          <cell r="H109">
            <v>30</v>
          </cell>
          <cell r="I109">
            <v>30</v>
          </cell>
          <cell r="J109">
            <v>30</v>
          </cell>
          <cell r="K109">
            <v>0</v>
          </cell>
          <cell r="L109" t="str">
            <v>FOOTJOY</v>
          </cell>
          <cell r="M109" t="str">
            <v xml:space="preserve"> Sample</v>
          </cell>
          <cell r="N109" t="str">
            <v>MOLDED</v>
          </cell>
          <cell r="O109" t="str">
            <v>Sample</v>
          </cell>
          <cell r="P109">
            <v>46055</v>
          </cell>
          <cell r="Q109">
            <v>46085</v>
          </cell>
          <cell r="R109">
            <v>46082</v>
          </cell>
          <cell r="S109">
            <v>6</v>
          </cell>
          <cell r="T109">
            <v>30</v>
          </cell>
          <cell r="U109">
            <v>9</v>
          </cell>
          <cell r="V109">
            <v>6.6669999999999993E-2</v>
          </cell>
          <cell r="W109">
            <v>3</v>
          </cell>
        </row>
        <row r="110">
          <cell r="A110" t="str">
            <v>S-2026-02-09</v>
          </cell>
          <cell r="B110"/>
          <cell r="C110" t="str">
            <v>RPRO-260203-0776</v>
          </cell>
          <cell r="D110" t="str">
            <v>PUR260020200001S</v>
          </cell>
          <cell r="E110" t="str">
            <v>BDB-000129</v>
          </cell>
          <cell r="F110" t="str">
            <v>PVN-001550</v>
          </cell>
          <cell r="G110" t="str">
            <v>OrthoLite Regular-Nike AIR BLUE/16-4134TPX Flat Sheet 0.11D 25+/-4 Asker C 1.1M 1.7M 2mm</v>
          </cell>
          <cell r="H110">
            <v>50</v>
          </cell>
          <cell r="I110">
            <v>50</v>
          </cell>
          <cell r="J110">
            <v>50</v>
          </cell>
          <cell r="K110">
            <v>0</v>
          </cell>
          <cell r="L110" t="str">
            <v>NIKE</v>
          </cell>
          <cell r="M110" t="str">
            <v xml:space="preserve"> Sample</v>
          </cell>
          <cell r="N110" t="str">
            <v>DIE CUT</v>
          </cell>
          <cell r="O110" t="str">
            <v>Sample</v>
          </cell>
          <cell r="P110">
            <v>46055</v>
          </cell>
          <cell r="Q110">
            <v>46085</v>
          </cell>
          <cell r="R110">
            <v>46082</v>
          </cell>
          <cell r="S110">
            <v>6</v>
          </cell>
          <cell r="T110">
            <v>30</v>
          </cell>
          <cell r="U110">
            <v>2</v>
          </cell>
          <cell r="V110">
            <v>1.4290000000000001E-2</v>
          </cell>
          <cell r="W110">
            <v>1</v>
          </cell>
        </row>
        <row r="111">
          <cell r="A111" t="str">
            <v>S-2026-02-10</v>
          </cell>
          <cell r="B111"/>
          <cell r="C111" t="str">
            <v>RPRO-260203-0777</v>
          </cell>
          <cell r="D111" t="str">
            <v>PUR260020200001S</v>
          </cell>
          <cell r="E111" t="str">
            <v>BDB-000125</v>
          </cell>
          <cell r="F111" t="str">
            <v>PVN-002413</v>
          </cell>
          <cell r="G111" t="str">
            <v>OrthoLite Regular-Nike AIR BLUE/16-4134TPX Flat Sheet 0.11D 25+/-4 Asker C 1.1M 2M 4.2mm</v>
          </cell>
          <cell r="H111">
            <v>100</v>
          </cell>
          <cell r="I111">
            <v>100</v>
          </cell>
          <cell r="J111">
            <v>100</v>
          </cell>
          <cell r="K111">
            <v>0</v>
          </cell>
          <cell r="L111" t="str">
            <v>NIKE</v>
          </cell>
          <cell r="M111" t="str">
            <v xml:space="preserve"> Sample</v>
          </cell>
          <cell r="N111" t="str">
            <v>MOLDED</v>
          </cell>
          <cell r="O111" t="str">
            <v>Sample</v>
          </cell>
          <cell r="P111">
            <v>46055</v>
          </cell>
          <cell r="Q111">
            <v>46085</v>
          </cell>
          <cell r="R111">
            <v>46082</v>
          </cell>
          <cell r="S111">
            <v>6</v>
          </cell>
          <cell r="T111">
            <v>30</v>
          </cell>
          <cell r="U111">
            <v>4.2</v>
          </cell>
          <cell r="V111">
            <v>3.0300000000000001E-2</v>
          </cell>
          <cell r="W111">
            <v>4</v>
          </cell>
        </row>
        <row r="112">
          <cell r="A112" t="str">
            <v>S-2026-02-11</v>
          </cell>
          <cell r="B112"/>
          <cell r="C112" t="str">
            <v>RPRO-260203-0778</v>
          </cell>
          <cell r="D112" t="str">
            <v>PUR260020200001S</v>
          </cell>
          <cell r="E112" t="str">
            <v>BDB-000327</v>
          </cell>
          <cell r="F112" t="str">
            <v>PVN-004133</v>
          </cell>
          <cell r="G112" t="str">
            <v>OrthoLite X-35-Nike SEEDPEARL/12-0703TPX Flat Sheet 0.145D 25+/-4 Asker C 1.1M 2M 5mm</v>
          </cell>
          <cell r="H112">
            <v>30</v>
          </cell>
          <cell r="I112">
            <v>30</v>
          </cell>
          <cell r="J112">
            <v>30</v>
          </cell>
          <cell r="K112">
            <v>0</v>
          </cell>
          <cell r="L112" t="str">
            <v>NIKE</v>
          </cell>
          <cell r="M112" t="str">
            <v xml:space="preserve"> Sample</v>
          </cell>
          <cell r="N112" t="str">
            <v>MOLDED</v>
          </cell>
          <cell r="O112" t="str">
            <v>Sample</v>
          </cell>
          <cell r="P112">
            <v>46055</v>
          </cell>
          <cell r="Q112">
            <v>46085</v>
          </cell>
          <cell r="R112">
            <v>46082</v>
          </cell>
          <cell r="S112">
            <v>6</v>
          </cell>
          <cell r="T112">
            <v>30</v>
          </cell>
          <cell r="U112">
            <v>5</v>
          </cell>
          <cell r="V112">
            <v>3.5709999999999999E-2</v>
          </cell>
          <cell r="W112">
            <v>2</v>
          </cell>
        </row>
        <row r="113">
          <cell r="A113" t="str">
            <v>S-2026-02-12</v>
          </cell>
          <cell r="B113"/>
          <cell r="C113" t="str">
            <v>RPRO-260203-0779</v>
          </cell>
          <cell r="D113" t="str">
            <v>PUR260020200001S</v>
          </cell>
          <cell r="E113" t="str">
            <v>BDB-000186</v>
          </cell>
          <cell r="F113" t="str">
            <v>PVN-004025</v>
          </cell>
          <cell r="G113" t="str">
            <v>OrthoLite X-40-Nike SEEDPEARL/12-0703TPX Flat Sheet 0.16D 35+/-4 Asker C 1.1M 1.7M 4.5mm</v>
          </cell>
          <cell r="H113">
            <v>30</v>
          </cell>
          <cell r="I113">
            <v>30</v>
          </cell>
          <cell r="J113">
            <v>30</v>
          </cell>
          <cell r="K113">
            <v>0</v>
          </cell>
          <cell r="L113" t="str">
            <v>NIKE</v>
          </cell>
          <cell r="M113" t="str">
            <v xml:space="preserve"> Sample</v>
          </cell>
          <cell r="N113" t="str">
            <v>MOLDED</v>
          </cell>
          <cell r="O113" t="str">
            <v>Sample</v>
          </cell>
          <cell r="P113">
            <v>46055</v>
          </cell>
          <cell r="Q113">
            <v>46085</v>
          </cell>
          <cell r="R113">
            <v>46082</v>
          </cell>
          <cell r="S113">
            <v>6</v>
          </cell>
          <cell r="T113">
            <v>30</v>
          </cell>
          <cell r="U113">
            <v>4.5</v>
          </cell>
          <cell r="V113">
            <v>3.2259999999999997E-2</v>
          </cell>
          <cell r="W113">
            <v>1</v>
          </cell>
        </row>
        <row r="114">
          <cell r="A114" t="str">
            <v>S-2026-02-13</v>
          </cell>
          <cell r="B114"/>
          <cell r="C114" t="str">
            <v>RPRO-260203-0780</v>
          </cell>
          <cell r="D114" t="str">
            <v>PUR-202602020002S</v>
          </cell>
          <cell r="E114" t="str">
            <v>BDB-000117</v>
          </cell>
          <cell r="F114" t="str">
            <v>PVN-003234</v>
          </cell>
          <cell r="G114" t="str">
            <v>OrthoLite X-35-Hybrid SEEDPEARL/12-0703TPX Hybrid Flat Sheet 0.145D 25+/-4 Asker C 1.1M 2M 5.5mm</v>
          </cell>
          <cell r="H114">
            <v>30</v>
          </cell>
          <cell r="I114">
            <v>30</v>
          </cell>
          <cell r="J114">
            <v>30</v>
          </cell>
          <cell r="K114">
            <v>0</v>
          </cell>
          <cell r="L114" t="str">
            <v>PUMA</v>
          </cell>
          <cell r="M114" t="str">
            <v>Sample</v>
          </cell>
          <cell r="N114" t="str">
            <v>MOLDED</v>
          </cell>
          <cell r="O114" t="str">
            <v>Sample</v>
          </cell>
          <cell r="P114">
            <v>46055</v>
          </cell>
          <cell r="Q114">
            <v>46086</v>
          </cell>
          <cell r="R114">
            <v>46083</v>
          </cell>
          <cell r="S114">
            <v>6</v>
          </cell>
          <cell r="T114">
            <v>31</v>
          </cell>
          <cell r="U114">
            <v>5.5</v>
          </cell>
          <cell r="V114">
            <v>0.04</v>
          </cell>
          <cell r="W114">
            <v>2</v>
          </cell>
        </row>
        <row r="115">
          <cell r="A115" t="str">
            <v>S-2026-02-14</v>
          </cell>
          <cell r="B115"/>
          <cell r="C115" t="str">
            <v>RPRO-260203-0781</v>
          </cell>
          <cell r="D115" t="str">
            <v>PUR-202602020002S</v>
          </cell>
          <cell r="E115" t="str">
            <v>BDB-000123</v>
          </cell>
          <cell r="F115" t="str">
            <v>PVN-002973</v>
          </cell>
          <cell r="G115" t="str">
            <v>UltraLite-Hybrid OrthoLite SEEDPEARL/12-0703TPX Hybrid Flat Sheet 0.085D 25+/-4 Asker C 1.1M 2M 4.5mm</v>
          </cell>
          <cell r="H115">
            <v>30</v>
          </cell>
          <cell r="I115">
            <v>30</v>
          </cell>
          <cell r="J115">
            <v>30</v>
          </cell>
          <cell r="K115">
            <v>0</v>
          </cell>
          <cell r="L115" t="str">
            <v>SALOMON</v>
          </cell>
          <cell r="M115" t="str">
            <v>Sample</v>
          </cell>
          <cell r="N115" t="str">
            <v>MOLDED</v>
          </cell>
          <cell r="O115" t="str">
            <v>Sample</v>
          </cell>
          <cell r="P115">
            <v>46055</v>
          </cell>
          <cell r="Q115">
            <v>46086</v>
          </cell>
          <cell r="R115">
            <v>46083</v>
          </cell>
          <cell r="S115">
            <v>6</v>
          </cell>
          <cell r="T115">
            <v>31</v>
          </cell>
          <cell r="U115">
            <v>4.5</v>
          </cell>
          <cell r="V115">
            <v>3.2259999999999997E-2</v>
          </cell>
          <cell r="W115">
            <v>1</v>
          </cell>
        </row>
        <row r="116">
          <cell r="A116" t="str">
            <v>S-2026-02-15</v>
          </cell>
          <cell r="B116"/>
          <cell r="C116" t="str">
            <v>RPRO-260203-0782</v>
          </cell>
          <cell r="D116" t="str">
            <v>PUR-202602020002S</v>
          </cell>
          <cell r="E116" t="str">
            <v>BDB-000313</v>
          </cell>
          <cell r="F116" t="str">
            <v>PVN-004061</v>
          </cell>
          <cell r="G116" t="str">
            <v>OrthoLite X-55 RED/19-1764TPX Flat Sheet 0.16D 25+/-4 Asker C 1.1M 1.47M 18mm</v>
          </cell>
          <cell r="H116">
            <v>10</v>
          </cell>
          <cell r="I116">
            <v>10</v>
          </cell>
          <cell r="J116">
            <v>10</v>
          </cell>
          <cell r="K116">
            <v>0</v>
          </cell>
          <cell r="L116" t="str">
            <v>WILSON</v>
          </cell>
          <cell r="M116" t="str">
            <v>Sample</v>
          </cell>
          <cell r="N116" t="str">
            <v>FL SHEET</v>
          </cell>
          <cell r="O116" t="str">
            <v>Sample</v>
          </cell>
          <cell r="P116">
            <v>46055</v>
          </cell>
          <cell r="Q116">
            <v>46086</v>
          </cell>
          <cell r="R116">
            <v>46083</v>
          </cell>
          <cell r="S116">
            <v>6</v>
          </cell>
          <cell r="T116">
            <v>31</v>
          </cell>
          <cell r="U116">
            <v>18</v>
          </cell>
          <cell r="V116">
            <v>0.14285999999999999</v>
          </cell>
          <cell r="W116">
            <v>2</v>
          </cell>
        </row>
        <row r="117">
          <cell r="A117" t="str">
            <v>S-2026-02-16</v>
          </cell>
          <cell r="B117"/>
          <cell r="C117" t="str">
            <v>RPRO-260203-0783</v>
          </cell>
          <cell r="D117" t="str">
            <v>PUR-202602020002S</v>
          </cell>
          <cell r="E117" t="str">
            <v>BDB-000235</v>
          </cell>
          <cell r="F117" t="str">
            <v>PVN-003576</v>
          </cell>
          <cell r="G117" t="str">
            <v>OrthoLite X-55-Hybrid FOSSIL/17-0909TPX Hybrid 0.16D 25+/-4 Asker C 1.1M 1.7M 12mm</v>
          </cell>
          <cell r="H117">
            <v>100</v>
          </cell>
          <cell r="I117">
            <v>100</v>
          </cell>
          <cell r="J117">
            <v>100</v>
          </cell>
          <cell r="K117">
            <v>0</v>
          </cell>
          <cell r="L117" t="str">
            <v>ASICS</v>
          </cell>
          <cell r="M117" t="str">
            <v>Sample</v>
          </cell>
          <cell r="N117" t="str">
            <v>MOLDED</v>
          </cell>
          <cell r="O117" t="str">
            <v>Sample</v>
          </cell>
          <cell r="P117">
            <v>46055</v>
          </cell>
          <cell r="Q117">
            <v>46086</v>
          </cell>
          <cell r="R117">
            <v>46083</v>
          </cell>
          <cell r="S117">
            <v>6</v>
          </cell>
          <cell r="T117">
            <v>31</v>
          </cell>
          <cell r="U117">
            <v>12</v>
          </cell>
          <cell r="V117">
            <v>9.0909999999999991E-2</v>
          </cell>
          <cell r="W117">
            <v>10</v>
          </cell>
        </row>
        <row r="118">
          <cell r="A118" t="str">
            <v>S-2026-02-17</v>
          </cell>
          <cell r="B118"/>
          <cell r="C118" t="str">
            <v>RPRO-260203-0784</v>
          </cell>
          <cell r="D118" t="str">
            <v>PUR-202602020002S</v>
          </cell>
          <cell r="E118" t="str">
            <v>BDB-000113</v>
          </cell>
          <cell r="F118" t="str">
            <v>PVN-003414</v>
          </cell>
          <cell r="G118" t="str">
            <v>OrthoLite Regular-Hybrid SEEDPEARL/12-0703TPX Hybrid 0.11D 25+/-4 Asker C 1.1M 2M 12mm</v>
          </cell>
          <cell r="H118">
            <v>70</v>
          </cell>
          <cell r="I118">
            <v>70</v>
          </cell>
          <cell r="J118">
            <v>70</v>
          </cell>
          <cell r="K118">
            <v>0</v>
          </cell>
          <cell r="L118" t="str">
            <v>ASICS</v>
          </cell>
          <cell r="M118" t="str">
            <v>Sample</v>
          </cell>
          <cell r="N118" t="str">
            <v>MOLDED</v>
          </cell>
          <cell r="O118" t="str">
            <v>Sample</v>
          </cell>
          <cell r="P118">
            <v>46055</v>
          </cell>
          <cell r="Q118">
            <v>46080</v>
          </cell>
          <cell r="R118">
            <v>46077</v>
          </cell>
          <cell r="S118">
            <v>6</v>
          </cell>
          <cell r="T118">
            <v>25</v>
          </cell>
          <cell r="U118">
            <v>12</v>
          </cell>
          <cell r="V118">
            <v>9.0909999999999991E-2</v>
          </cell>
          <cell r="W118">
            <v>7</v>
          </cell>
        </row>
        <row r="119">
          <cell r="A119" t="str">
            <v>S-2026-02-18</v>
          </cell>
          <cell r="B119"/>
          <cell r="C119" t="str">
            <v>RPRO-260204-0399</v>
          </cell>
          <cell r="D119" t="str">
            <v xml:space="preserve">PUR2602030001S  </v>
          </cell>
          <cell r="E119" t="str">
            <v>BDB-000123</v>
          </cell>
          <cell r="F119" t="str">
            <v>PVN-002539</v>
          </cell>
          <cell r="G119" t="str">
            <v>OrthoLite Ultra-Hybrid SEEDPEARL/12-0703TPX Hybrid Flat Sheet 0.085D 25+/-4 Asker C 1.1M 2M 5mm</v>
          </cell>
          <cell r="H119">
            <v>100</v>
          </cell>
          <cell r="I119">
            <v>100</v>
          </cell>
          <cell r="J119">
            <v>100</v>
          </cell>
          <cell r="K119">
            <v>0</v>
          </cell>
          <cell r="L119" t="str">
            <v>ADIDAS</v>
          </cell>
          <cell r="M119" t="str">
            <v>Sample</v>
          </cell>
          <cell r="N119" t="str">
            <v>Flat sheet/Die cut</v>
          </cell>
          <cell r="O119" t="str">
            <v>Sample</v>
          </cell>
          <cell r="P119">
            <v>46056</v>
          </cell>
          <cell r="Q119">
            <v>46087</v>
          </cell>
          <cell r="R119">
            <v>46084</v>
          </cell>
          <cell r="S119">
            <v>6</v>
          </cell>
          <cell r="T119">
            <v>31</v>
          </cell>
          <cell r="U119">
            <v>5</v>
          </cell>
          <cell r="V119">
            <v>3.5709999999999999E-2</v>
          </cell>
          <cell r="W119">
            <v>4</v>
          </cell>
        </row>
        <row r="120">
          <cell r="A120" t="str">
            <v>S-2026-02-19</v>
          </cell>
          <cell r="B120"/>
          <cell r="C120" t="str">
            <v>RPRO-260204-0400</v>
          </cell>
          <cell r="D120" t="str">
            <v xml:space="preserve">PUR2602030001S  </v>
          </cell>
          <cell r="E120" t="str">
            <v>BDB-000347</v>
          </cell>
          <cell r="F120" t="str">
            <v>PVN-004192</v>
          </cell>
          <cell r="G120" t="str">
            <v>OrthoLite X-55-Hybrid SEEDPEARL/12-0703TPX Hybrid Flat Sheet 0.16D 25+/-4 Asker C 1.1M 2M 12mm</v>
          </cell>
          <cell r="H120">
            <v>100</v>
          </cell>
          <cell r="I120">
            <v>100</v>
          </cell>
          <cell r="J120">
            <v>100</v>
          </cell>
          <cell r="K120">
            <v>0</v>
          </cell>
          <cell r="L120" t="str">
            <v>BROOKS</v>
          </cell>
          <cell r="M120" t="str">
            <v>Sample</v>
          </cell>
          <cell r="N120" t="str">
            <v>Molded</v>
          </cell>
          <cell r="O120" t="str">
            <v>Sample</v>
          </cell>
          <cell r="P120">
            <v>46056</v>
          </cell>
          <cell r="Q120">
            <v>46087</v>
          </cell>
          <cell r="R120">
            <v>46084</v>
          </cell>
          <cell r="S120">
            <v>6</v>
          </cell>
          <cell r="T120">
            <v>31</v>
          </cell>
          <cell r="U120">
            <v>12</v>
          </cell>
          <cell r="V120">
            <v>9.0910000000000005E-2</v>
          </cell>
          <cell r="W120">
            <v>10</v>
          </cell>
        </row>
        <row r="121">
          <cell r="A121" t="str">
            <v>L-2026-02-20</v>
          </cell>
          <cell r="B121"/>
          <cell r="C121" t="str">
            <v>RPRO-260204-0401</v>
          </cell>
          <cell r="D121" t="str">
            <v>ngochuong.pham@ortholite.vn</v>
          </cell>
          <cell r="E121" t="str">
            <v>BDB-000097</v>
          </cell>
          <cell r="F121" t="str">
            <v>PVN-002893</v>
          </cell>
          <cell r="G121" t="str">
            <v>OrthoLite Eco LT-Hybrid SEEDPEARL/12-0703TPX Hybrid 0.11D 25+/-4 Asker C 1.1M 2M 12mm</v>
          </cell>
          <cell r="H121">
            <v>5</v>
          </cell>
          <cell r="I121">
            <v>5</v>
          </cell>
          <cell r="J121">
            <v>5</v>
          </cell>
          <cell r="K121">
            <v>0</v>
          </cell>
          <cell r="L121" t="str">
            <v>NEW BALANCE - ADIANA</v>
          </cell>
          <cell r="M121" t="str">
            <v>Lab test</v>
          </cell>
          <cell r="N121"/>
          <cell r="O121" t="str">
            <v>Lab test</v>
          </cell>
          <cell r="P121">
            <v>46056</v>
          </cell>
          <cell r="Q121">
            <v>46063</v>
          </cell>
          <cell r="R121">
            <v>46060</v>
          </cell>
          <cell r="S121">
            <v>6</v>
          </cell>
          <cell r="T121">
            <v>7</v>
          </cell>
          <cell r="U121">
            <v>12</v>
          </cell>
          <cell r="V121">
            <v>9.0910000000000005E-2</v>
          </cell>
          <cell r="W121">
            <v>1</v>
          </cell>
        </row>
        <row r="122">
          <cell r="A122" t="str">
            <v>L-2026-02-21</v>
          </cell>
          <cell r="B122"/>
          <cell r="C122" t="str">
            <v>RPRO-260204-0402</v>
          </cell>
          <cell r="D122" t="str">
            <v>ngochuong.pham@ortholite.vn</v>
          </cell>
          <cell r="E122" t="str">
            <v>BDB-000097</v>
          </cell>
          <cell r="F122" t="str">
            <v>PVN-002478</v>
          </cell>
          <cell r="G122" t="str">
            <v>OrthoLite Eco LT-Hybrid SEEDPEARL/12-0703TPX Hybrid Flat Sheet 0.11D 25+/-4 Asker C 1.1M 2M 4mm</v>
          </cell>
          <cell r="H122">
            <v>5</v>
          </cell>
          <cell r="I122">
            <v>5</v>
          </cell>
          <cell r="J122">
            <v>5</v>
          </cell>
          <cell r="K122">
            <v>0</v>
          </cell>
          <cell r="L122" t="str">
            <v>NEW BALANCE - ADIANA</v>
          </cell>
          <cell r="M122" t="str">
            <v>Lab test</v>
          </cell>
          <cell r="N122"/>
          <cell r="O122" t="str">
            <v>Lab test</v>
          </cell>
          <cell r="P122">
            <v>46056</v>
          </cell>
          <cell r="Q122">
            <v>46063</v>
          </cell>
          <cell r="R122">
            <v>46060</v>
          </cell>
          <cell r="S122">
            <v>6</v>
          </cell>
          <cell r="T122">
            <v>7</v>
          </cell>
          <cell r="U122">
            <v>4</v>
          </cell>
          <cell r="V122">
            <v>2.8570000000000002E-2</v>
          </cell>
          <cell r="W122">
            <v>1</v>
          </cell>
        </row>
        <row r="123">
          <cell r="A123" t="str">
            <v>S-2026-02-22</v>
          </cell>
          <cell r="B123" t="str">
            <v xml:space="preserve">gấp </v>
          </cell>
          <cell r="C123" t="str">
            <v>RPRO-260210-0002</v>
          </cell>
          <cell r="D123" t="str">
            <v>PUR-202602090001S</v>
          </cell>
          <cell r="E123" t="str">
            <v>BDB-000113</v>
          </cell>
          <cell r="F123" t="str">
            <v>PVN-002465</v>
          </cell>
          <cell r="G123" t="str">
            <v>OrthoLite Regular-Hybrid SEEDPEARL/12-0703TPX Hybrid Flat Sheet 0.11D 25+/-4 Asker C 1.1M 2M 5mm</v>
          </cell>
          <cell r="H123">
            <v>80</v>
          </cell>
          <cell r="I123">
            <v>80</v>
          </cell>
          <cell r="J123">
            <v>80</v>
          </cell>
          <cell r="K123">
            <v>0</v>
          </cell>
          <cell r="L123" t="str">
            <v>ASICS</v>
          </cell>
          <cell r="M123" t="str">
            <v>Sample</v>
          </cell>
          <cell r="N123" t="str">
            <v>DIE-CUT</v>
          </cell>
          <cell r="O123" t="str">
            <v>Sample</v>
          </cell>
          <cell r="P123">
            <v>46062</v>
          </cell>
          <cell r="Q123">
            <v>46091</v>
          </cell>
          <cell r="R123">
            <v>46088</v>
          </cell>
          <cell r="S123">
            <v>6</v>
          </cell>
          <cell r="T123">
            <v>29</v>
          </cell>
          <cell r="U123">
            <v>5</v>
          </cell>
          <cell r="V123">
            <v>3.5709999999999999E-2</v>
          </cell>
          <cell r="W123">
            <v>3</v>
          </cell>
        </row>
        <row r="124">
          <cell r="A124" t="str">
            <v>S-2026-02-23</v>
          </cell>
          <cell r="B124"/>
          <cell r="C124" t="str">
            <v>RPRO-260210-0003</v>
          </cell>
          <cell r="D124" t="str">
            <v>PUR-202602090001S</v>
          </cell>
          <cell r="E124" t="str">
            <v>BDB-000324</v>
          </cell>
          <cell r="F124" t="str">
            <v>PVN-004307</v>
          </cell>
          <cell r="G124" t="str">
            <v>OrthoLite X-40 TRUE BLUE/19-4057TPX Flat Sheet 0.16D 25+/-4 Asker C 1.1M 2M 5mm</v>
          </cell>
          <cell r="H124">
            <v>20</v>
          </cell>
          <cell r="I124">
            <v>20</v>
          </cell>
          <cell r="J124">
            <v>20</v>
          </cell>
          <cell r="K124">
            <v>0</v>
          </cell>
          <cell r="L124" t="str">
            <v>PAYNTR</v>
          </cell>
          <cell r="M124" t="str">
            <v>Sample</v>
          </cell>
          <cell r="N124" t="str">
            <v>MOLDED</v>
          </cell>
          <cell r="O124" t="str">
            <v>Sample</v>
          </cell>
          <cell r="P124">
            <v>46062</v>
          </cell>
          <cell r="Q124">
            <v>46091</v>
          </cell>
          <cell r="R124">
            <v>46088</v>
          </cell>
          <cell r="S124">
            <v>6</v>
          </cell>
          <cell r="T124">
            <v>29</v>
          </cell>
          <cell r="U124">
            <v>5</v>
          </cell>
          <cell r="V124">
            <v>3.5709999999999999E-2</v>
          </cell>
          <cell r="W124">
            <v>1</v>
          </cell>
        </row>
        <row r="125">
          <cell r="A125" t="str">
            <v>S-2026-02-24</v>
          </cell>
          <cell r="B125" t="str">
            <v xml:space="preserve">gấp </v>
          </cell>
          <cell r="C125" t="str">
            <v>RPRO-260210-0004</v>
          </cell>
          <cell r="D125" t="str">
            <v>PUR-202602090001S</v>
          </cell>
          <cell r="E125" t="str">
            <v>BDB-000097</v>
          </cell>
          <cell r="F125" t="str">
            <v>PVN-002478</v>
          </cell>
          <cell r="G125" t="str">
            <v>OrthoLite Eco LT-Hybrid SEEDPEARL/12-0703TPX Hybrid 0.11D 25+/-4 Asker C 1.1M 2M 4mm</v>
          </cell>
          <cell r="H125">
            <v>100</v>
          </cell>
          <cell r="I125">
            <v>100</v>
          </cell>
          <cell r="J125">
            <v>100</v>
          </cell>
          <cell r="K125">
            <v>0</v>
          </cell>
          <cell r="L125" t="str">
            <v>NEW BALANCE</v>
          </cell>
          <cell r="M125" t="str">
            <v>Sample</v>
          </cell>
          <cell r="N125" t="str">
            <v>DIE-CUT</v>
          </cell>
          <cell r="O125" t="str">
            <v>Sample</v>
          </cell>
          <cell r="P125">
            <v>46062</v>
          </cell>
          <cell r="Q125">
            <v>46091</v>
          </cell>
          <cell r="R125">
            <v>46088</v>
          </cell>
          <cell r="S125">
            <v>6</v>
          </cell>
          <cell r="T125">
            <v>29</v>
          </cell>
          <cell r="U125">
            <v>4</v>
          </cell>
          <cell r="V125">
            <v>2.8570000000000002E-2</v>
          </cell>
          <cell r="W125">
            <v>3</v>
          </cell>
        </row>
        <row r="126">
          <cell r="A126" t="str">
            <v>S-2026-02-25</v>
          </cell>
          <cell r="B126"/>
          <cell r="C126" t="str">
            <v>RPRO-260210-0005</v>
          </cell>
          <cell r="D126" t="str">
            <v>PUR-202602090001S</v>
          </cell>
          <cell r="E126" t="str">
            <v>BDB-000337</v>
          </cell>
          <cell r="F126" t="str">
            <v>PVN-004171</v>
          </cell>
          <cell r="G126" t="str">
            <v>OrthoLite X-55 SEEDPEARL/12-0703TPX Flat Sheet 0.16D 25+/-4 Asker C 1.1M 2M 5.2mm</v>
          </cell>
          <cell r="H126">
            <v>15</v>
          </cell>
          <cell r="I126">
            <v>15</v>
          </cell>
          <cell r="J126">
            <v>15</v>
          </cell>
          <cell r="K126">
            <v>0</v>
          </cell>
          <cell r="L126" t="str">
            <v>NEW BALANCE</v>
          </cell>
          <cell r="M126" t="str">
            <v>Sample</v>
          </cell>
          <cell r="N126" t="str">
            <v>MOLDED</v>
          </cell>
          <cell r="O126" t="str">
            <v>Sample</v>
          </cell>
          <cell r="P126">
            <v>46062</v>
          </cell>
          <cell r="Q126">
            <v>46091</v>
          </cell>
          <cell r="R126">
            <v>46088</v>
          </cell>
          <cell r="S126">
            <v>6</v>
          </cell>
          <cell r="T126">
            <v>29</v>
          </cell>
          <cell r="U126">
            <v>5.2</v>
          </cell>
          <cell r="V126">
            <v>3.8460000000000001E-2</v>
          </cell>
          <cell r="W126">
            <v>1</v>
          </cell>
        </row>
        <row r="127">
          <cell r="A127" t="str">
            <v>S-2026-02-26</v>
          </cell>
          <cell r="B127"/>
          <cell r="C127" t="str">
            <v>RPRO-260210-0006</v>
          </cell>
          <cell r="D127" t="str">
            <v>PUR-202602090001S</v>
          </cell>
          <cell r="E127" t="str">
            <v>BDB-000179</v>
          </cell>
          <cell r="F127" t="str">
            <v>PVN-004059</v>
          </cell>
          <cell r="G127" t="str">
            <v>OrthoLite X-55 RED/19-1764TPX Flat Sheet 0.16D 25+/-4 Asker C 1.1M 1.7M 5.2mm</v>
          </cell>
          <cell r="H127">
            <v>30</v>
          </cell>
          <cell r="I127">
            <v>30</v>
          </cell>
          <cell r="J127">
            <v>30</v>
          </cell>
          <cell r="K127">
            <v>0</v>
          </cell>
          <cell r="L127" t="str">
            <v>NEW BALANCE</v>
          </cell>
          <cell r="M127" t="str">
            <v>Sample</v>
          </cell>
          <cell r="N127" t="str">
            <v>MOLDED</v>
          </cell>
          <cell r="O127" t="str">
            <v>Sample</v>
          </cell>
          <cell r="P127">
            <v>46062</v>
          </cell>
          <cell r="Q127">
            <v>46091</v>
          </cell>
          <cell r="R127">
            <v>46088</v>
          </cell>
          <cell r="S127">
            <v>6</v>
          </cell>
          <cell r="T127">
            <v>29</v>
          </cell>
          <cell r="U127">
            <v>5.2</v>
          </cell>
          <cell r="V127">
            <v>3.8460000000000001E-2</v>
          </cell>
          <cell r="W127">
            <v>2</v>
          </cell>
        </row>
        <row r="128">
          <cell r="A128" t="str">
            <v>S-2026-02-27</v>
          </cell>
          <cell r="B128"/>
          <cell r="C128" t="str">
            <v>RPRO-260210-0007</v>
          </cell>
          <cell r="D128" t="str">
            <v>PUR-202602090001S</v>
          </cell>
          <cell r="E128" t="str">
            <v>BDB-000008</v>
          </cell>
          <cell r="F128" t="str">
            <v>PVN-000505</v>
          </cell>
          <cell r="G128" t="str">
            <v>OrthoLite Regular LIME GREEN/14-0452TPX 0.11D 25+/-4 Asker C 1.1M 2M 12mm</v>
          </cell>
          <cell r="H128">
            <v>30</v>
          </cell>
          <cell r="I128">
            <v>30</v>
          </cell>
          <cell r="J128">
            <v>30</v>
          </cell>
          <cell r="K128">
            <v>0</v>
          </cell>
          <cell r="L128" t="str">
            <v>ASICS</v>
          </cell>
          <cell r="M128" t="str">
            <v>Sample</v>
          </cell>
          <cell r="N128" t="str">
            <v>MOLDED</v>
          </cell>
          <cell r="O128" t="str">
            <v>Sample</v>
          </cell>
          <cell r="P128">
            <v>46062</v>
          </cell>
          <cell r="Q128">
            <v>46091</v>
          </cell>
          <cell r="R128">
            <v>46088</v>
          </cell>
          <cell r="S128">
            <v>6</v>
          </cell>
          <cell r="T128">
            <v>29</v>
          </cell>
          <cell r="U128">
            <v>12</v>
          </cell>
          <cell r="V128">
            <v>9.0909999999999991E-2</v>
          </cell>
          <cell r="W128">
            <v>3</v>
          </cell>
        </row>
        <row r="129">
          <cell r="A129" t="str">
            <v>S-2026-02-28</v>
          </cell>
          <cell r="B129"/>
          <cell r="C129" t="str">
            <v>RPRO-260210-0008</v>
          </cell>
          <cell r="D129" t="str">
            <v>PUR-202602090001S</v>
          </cell>
          <cell r="E129" t="str">
            <v>BDB-000113</v>
          </cell>
          <cell r="F129" t="str">
            <v>PVN-002688</v>
          </cell>
          <cell r="G129" t="str">
            <v>OrthoLite Regular-Hybrid SEEDPEARL/12-0703TPX Hybrid 0.11D 25+/-4 Asker C 1.1M 2M 6mm</v>
          </cell>
          <cell r="H129">
            <v>20</v>
          </cell>
          <cell r="I129">
            <v>20</v>
          </cell>
          <cell r="J129">
            <v>20</v>
          </cell>
          <cell r="K129">
            <v>0</v>
          </cell>
          <cell r="L129" t="str">
            <v>ASICS</v>
          </cell>
          <cell r="M129" t="str">
            <v>Sample</v>
          </cell>
          <cell r="N129" t="str">
            <v>MOLDED</v>
          </cell>
          <cell r="O129" t="str">
            <v>Sample</v>
          </cell>
          <cell r="P129">
            <v>46062</v>
          </cell>
          <cell r="Q129">
            <v>46091</v>
          </cell>
          <cell r="R129">
            <v>46088</v>
          </cell>
          <cell r="S129">
            <v>6</v>
          </cell>
          <cell r="T129">
            <v>29</v>
          </cell>
          <cell r="U129">
            <v>6</v>
          </cell>
          <cell r="V129">
            <v>4.3479999999999998E-2</v>
          </cell>
          <cell r="W129">
            <v>1</v>
          </cell>
        </row>
        <row r="130">
          <cell r="A130" t="str">
            <v>S-2026-02-29</v>
          </cell>
          <cell r="B130"/>
          <cell r="C130" t="str">
            <v>RPRO-260210-0009</v>
          </cell>
          <cell r="D130" t="str">
            <v>PUR-202602090001S</v>
          </cell>
          <cell r="E130" t="str">
            <v>BDB-000123</v>
          </cell>
          <cell r="F130" t="str">
            <v>PVN-003298</v>
          </cell>
          <cell r="G130" t="str">
            <v>OrthoLite Ultra-Hybrid SEEDPEARL/12-0703TPX Hybrid 0.085D 25+/-4 Asker C 1.1M 2M 4mm</v>
          </cell>
          <cell r="H130">
            <v>100</v>
          </cell>
          <cell r="I130">
            <v>100</v>
          </cell>
          <cell r="J130">
            <v>100</v>
          </cell>
          <cell r="K130">
            <v>0</v>
          </cell>
          <cell r="L130" t="str">
            <v>SALOMON</v>
          </cell>
          <cell r="M130" t="str">
            <v>Sample</v>
          </cell>
          <cell r="N130" t="str">
            <v>FL SHEET</v>
          </cell>
          <cell r="O130" t="str">
            <v>Sample</v>
          </cell>
          <cell r="P130">
            <v>46062</v>
          </cell>
          <cell r="Q130">
            <v>46092</v>
          </cell>
          <cell r="R130">
            <v>46089</v>
          </cell>
          <cell r="S130">
            <v>6</v>
          </cell>
          <cell r="T130">
            <v>30</v>
          </cell>
          <cell r="U130">
            <v>4</v>
          </cell>
          <cell r="V130">
            <v>2.8570000000000002E-2</v>
          </cell>
          <cell r="W130">
            <v>3</v>
          </cell>
        </row>
        <row r="131">
          <cell r="A131" t="str">
            <v>S-2026-02-30</v>
          </cell>
          <cell r="B131"/>
          <cell r="C131" t="str">
            <v>RPRO-260210-0010</v>
          </cell>
          <cell r="D131" t="str">
            <v>PUR-202602090001S</v>
          </cell>
          <cell r="E131" t="str">
            <v>BDB-000113</v>
          </cell>
          <cell r="F131" t="str">
            <v>PVN-003414</v>
          </cell>
          <cell r="G131" t="str">
            <v>OrthoLite Regular-Hybrid SEEDPEARL/12-0703TPX Hybrid 0.11D 25+/-4 Asker C 1.1M 2M 12mm</v>
          </cell>
          <cell r="H131">
            <v>50</v>
          </cell>
          <cell r="I131">
            <v>50</v>
          </cell>
          <cell r="J131">
            <v>50</v>
          </cell>
          <cell r="K131">
            <v>0</v>
          </cell>
          <cell r="L131" t="str">
            <v>ASICS</v>
          </cell>
          <cell r="M131" t="str">
            <v>Sample</v>
          </cell>
          <cell r="N131" t="str">
            <v>MOLDED</v>
          </cell>
          <cell r="O131" t="str">
            <v>Sample</v>
          </cell>
          <cell r="P131">
            <v>46062</v>
          </cell>
          <cell r="Q131">
            <v>46092</v>
          </cell>
          <cell r="R131">
            <v>46089</v>
          </cell>
          <cell r="S131">
            <v>6</v>
          </cell>
          <cell r="T131">
            <v>30</v>
          </cell>
          <cell r="U131">
            <v>12</v>
          </cell>
          <cell r="V131">
            <v>9.0909999999999991E-2</v>
          </cell>
          <cell r="W131">
            <v>5</v>
          </cell>
        </row>
        <row r="132">
          <cell r="A132" t="str">
            <v>S-2026-02-31</v>
          </cell>
          <cell r="B132"/>
          <cell r="C132" t="str">
            <v>RPRO-260210-0011</v>
          </cell>
          <cell r="D132" t="str">
            <v>PUR2602090002S</v>
          </cell>
          <cell r="E132" t="str">
            <v>BDB-000209</v>
          </cell>
          <cell r="F132" t="str">
            <v>PVN-003465</v>
          </cell>
          <cell r="G132" t="str">
            <v>OrthoLite HybridPlus-Recycled MINT GREEN/11-4805TPX Hybrid Flat Sheet 0.12D 25+/-4 Asker C 1.1M 2M 5.5mm</v>
          </cell>
          <cell r="H132">
            <v>20</v>
          </cell>
          <cell r="I132">
            <v>20</v>
          </cell>
          <cell r="J132">
            <v>20</v>
          </cell>
          <cell r="K132">
            <v>0</v>
          </cell>
          <cell r="L132" t="str">
            <v>ON RUNNING</v>
          </cell>
          <cell r="M132" t="str">
            <v>SAMPLE</v>
          </cell>
          <cell r="N132" t="str">
            <v xml:space="preserve">OV-0435
</v>
          </cell>
          <cell r="O132" t="str">
            <v>Sample</v>
          </cell>
          <cell r="P132">
            <v>46062</v>
          </cell>
          <cell r="Q132">
            <v>46092</v>
          </cell>
          <cell r="R132">
            <v>46089</v>
          </cell>
          <cell r="S132">
            <v>6</v>
          </cell>
          <cell r="T132">
            <v>30</v>
          </cell>
          <cell r="U132">
            <v>5.5</v>
          </cell>
          <cell r="V132">
            <v>0.04</v>
          </cell>
          <cell r="W132">
            <v>1</v>
          </cell>
        </row>
        <row r="133">
          <cell r="A133" t="str">
            <v>S-2026-02-32</v>
          </cell>
          <cell r="B133"/>
          <cell r="C133" t="str">
            <v>RPRO-260210-0012</v>
          </cell>
          <cell r="D133" t="str">
            <v>PUR2602090002S</v>
          </cell>
          <cell r="E133" t="str">
            <v>BDB-000179</v>
          </cell>
          <cell r="F133" t="str">
            <v>PVN-004107</v>
          </cell>
          <cell r="G133" t="str">
            <v>OrthoLite X-55 RED/19-1764TPX Flat Sheet 0.16D 25+/-4 Asker C 1.1M 1.7M 5.5mm</v>
          </cell>
          <cell r="H133">
            <v>20</v>
          </cell>
          <cell r="I133">
            <v>20</v>
          </cell>
          <cell r="J133">
            <v>20</v>
          </cell>
          <cell r="K133">
            <v>0</v>
          </cell>
          <cell r="L133" t="str">
            <v>LULULEMON</v>
          </cell>
          <cell r="M133" t="str">
            <v>SAMPLE</v>
          </cell>
          <cell r="N133" t="str">
            <v>OV-0452
URGENT</v>
          </cell>
          <cell r="O133" t="str">
            <v>Sample</v>
          </cell>
          <cell r="P133">
            <v>46062</v>
          </cell>
          <cell r="Q133">
            <v>46080</v>
          </cell>
          <cell r="R133">
            <v>46077</v>
          </cell>
          <cell r="S133">
            <v>6</v>
          </cell>
          <cell r="T133">
            <v>18</v>
          </cell>
          <cell r="U133">
            <v>5.5</v>
          </cell>
          <cell r="V133">
            <v>0.04</v>
          </cell>
          <cell r="W133">
            <v>1</v>
          </cell>
        </row>
        <row r="134">
          <cell r="A134" t="str">
            <v>S-2026-02-33</v>
          </cell>
          <cell r="B134"/>
          <cell r="C134" t="str">
            <v>RPRO-260210-0013</v>
          </cell>
          <cell r="D134" t="str">
            <v>PUR2602090002S</v>
          </cell>
          <cell r="E134" t="str">
            <v>BDB-000076</v>
          </cell>
          <cell r="F134" t="str">
            <v>PVN-003494</v>
          </cell>
          <cell r="G134" t="str">
            <v>OrthoLite X-25 BILLIARD/16-5427TPX Flat Sheet 0.12D 20+/-4 Asker C 1.1M 2M 5.5mm</v>
          </cell>
          <cell r="H134">
            <v>20</v>
          </cell>
          <cell r="I134">
            <v>20</v>
          </cell>
          <cell r="J134">
            <v>20</v>
          </cell>
          <cell r="K134">
            <v>0</v>
          </cell>
          <cell r="L134" t="str">
            <v>ONE8</v>
          </cell>
          <cell r="M134" t="str">
            <v>SAMPLE</v>
          </cell>
          <cell r="N134" t="str">
            <v>OV-0461</v>
          </cell>
          <cell r="O134" t="str">
            <v>Sample</v>
          </cell>
          <cell r="P134">
            <v>46062</v>
          </cell>
          <cell r="Q134">
            <v>46092</v>
          </cell>
          <cell r="R134">
            <v>46089</v>
          </cell>
          <cell r="S134">
            <v>6</v>
          </cell>
          <cell r="T134">
            <v>30</v>
          </cell>
          <cell r="U134">
            <v>5.5</v>
          </cell>
          <cell r="V134">
            <v>0.04</v>
          </cell>
          <cell r="W134">
            <v>1</v>
          </cell>
        </row>
        <row r="135">
          <cell r="A135" t="str">
            <v>S-2026-02-34</v>
          </cell>
          <cell r="B135"/>
          <cell r="C135" t="str">
            <v>RPRO-260211-0001</v>
          </cell>
          <cell r="D135" t="str">
            <v>PUR2602100001S</v>
          </cell>
          <cell r="E135" t="str">
            <v>BDB-000209</v>
          </cell>
          <cell r="F135" t="str">
            <v>PVN-003465</v>
          </cell>
          <cell r="G135" t="str">
            <v>OrthoLite HybridPlus-Recycled MINT GREEN/11-4805TPX Hybrid Flat Sheet 0.12D 25+/-4 Asker C 1.1M 2M 5.5mm</v>
          </cell>
          <cell r="H135">
            <v>30</v>
          </cell>
          <cell r="I135">
            <v>30</v>
          </cell>
          <cell r="J135">
            <v>30</v>
          </cell>
          <cell r="K135">
            <v>0</v>
          </cell>
          <cell r="L135" t="str">
            <v>ON RUNNING</v>
          </cell>
          <cell r="M135" t="str">
            <v>SAMPLE</v>
          </cell>
          <cell r="N135" t="str">
            <v xml:space="preserve">OV-0435
URGENT
</v>
          </cell>
          <cell r="O135" t="str">
            <v>Sample</v>
          </cell>
          <cell r="P135">
            <v>46063</v>
          </cell>
          <cell r="Q135">
            <v>46083</v>
          </cell>
          <cell r="R135">
            <v>46080</v>
          </cell>
          <cell r="S135">
            <v>6</v>
          </cell>
          <cell r="T135">
            <v>20</v>
          </cell>
          <cell r="U135">
            <v>5.5</v>
          </cell>
          <cell r="V135">
            <v>0.04</v>
          </cell>
          <cell r="W135">
            <v>2</v>
          </cell>
        </row>
        <row r="136">
          <cell r="A136" t="str">
            <v>S-2026-02-35</v>
          </cell>
          <cell r="B136"/>
          <cell r="C136" t="str">
            <v>RPRO-260227-0335</v>
          </cell>
          <cell r="D136" t="str">
            <v>PUR2602110001S</v>
          </cell>
          <cell r="E136" t="str">
            <v>BDB-000317</v>
          </cell>
          <cell r="F136" t="str">
            <v>PVN-004303</v>
          </cell>
          <cell r="G136" t="str">
            <v>OrthoLite Regular NEUTRAL GRAY/17-4402TPX Flat Sheet 0.13D 15+/-4 Asker C 1.1M 2M 17.5mm</v>
          </cell>
          <cell r="H136">
            <v>10</v>
          </cell>
          <cell r="I136">
            <v>10</v>
          </cell>
          <cell r="J136">
            <v>10</v>
          </cell>
          <cell r="K136">
            <v>0</v>
          </cell>
          <cell r="L136" t="str">
            <v>TRAVIS MATHEW</v>
          </cell>
          <cell r="M136" t="str">
            <v>SAMPLE</v>
          </cell>
          <cell r="N136" t="str">
            <v>OV-0272</v>
          </cell>
          <cell r="O136" t="str">
            <v>Sample</v>
          </cell>
          <cell r="P136">
            <v>46064</v>
          </cell>
          <cell r="Q136">
            <v>46094</v>
          </cell>
          <cell r="R136">
            <v>46091</v>
          </cell>
          <cell r="S136">
            <v>6</v>
          </cell>
          <cell r="T136">
            <v>30</v>
          </cell>
          <cell r="U136">
            <v>17.5</v>
          </cell>
          <cell r="V136">
            <v>0.14285999999999999</v>
          </cell>
          <cell r="W136">
            <v>2</v>
          </cell>
        </row>
        <row r="137">
          <cell r="A137" t="str">
            <v>S-2026-02-36</v>
          </cell>
          <cell r="B137"/>
          <cell r="C137" t="str">
            <v>RPRO-260227-0336</v>
          </cell>
          <cell r="D137" t="str">
            <v>PUR2602110001S</v>
          </cell>
          <cell r="E137" t="str">
            <v>BDB-000317</v>
          </cell>
          <cell r="F137" t="str">
            <v>PVN-004293</v>
          </cell>
          <cell r="G137" t="str">
            <v>OrthoLite Regular NEUTRAL GRAY/17-4402TPX Flat Sheet 0.13D 15+/-4 Asker C 1.1M 2M 22mm</v>
          </cell>
          <cell r="H137">
            <v>10</v>
          </cell>
          <cell r="I137">
            <v>10</v>
          </cell>
          <cell r="J137">
            <v>10</v>
          </cell>
          <cell r="K137">
            <v>0</v>
          </cell>
          <cell r="L137" t="str">
            <v>TRAVIS MATHEW</v>
          </cell>
          <cell r="M137" t="str">
            <v>SAMPLE</v>
          </cell>
          <cell r="N137" t="str">
            <v>OV-0450</v>
          </cell>
          <cell r="O137" t="str">
            <v>Sample</v>
          </cell>
          <cell r="P137">
            <v>46064</v>
          </cell>
          <cell r="Q137">
            <v>46094</v>
          </cell>
          <cell r="R137">
            <v>46091</v>
          </cell>
          <cell r="S137">
            <v>6</v>
          </cell>
          <cell r="T137">
            <v>30</v>
          </cell>
          <cell r="U137">
            <v>22</v>
          </cell>
          <cell r="V137">
            <v>0.16667000000000001</v>
          </cell>
          <cell r="W137">
            <v>2</v>
          </cell>
        </row>
        <row r="138">
          <cell r="A138" t="str">
            <v>S-2026-02-37</v>
          </cell>
          <cell r="B138"/>
          <cell r="C138" t="str">
            <v>RPRO-260227-0337</v>
          </cell>
          <cell r="D138" t="str">
            <v>PUR260021100002S</v>
          </cell>
          <cell r="E138" t="str">
            <v>BDB-000132</v>
          </cell>
          <cell r="F138" t="str">
            <v>PVN-001652</v>
          </cell>
          <cell r="G138" t="str">
            <v>OrthoLite Regular-Nike GREY/17-1501TPX 0.11D 25+/-4 Asker C 1.1M 2M 5mm</v>
          </cell>
          <cell r="H138">
            <v>30</v>
          </cell>
          <cell r="I138">
            <v>30</v>
          </cell>
          <cell r="J138">
            <v>30</v>
          </cell>
          <cell r="K138">
            <v>0</v>
          </cell>
          <cell r="L138" t="str">
            <v>NIKE</v>
          </cell>
          <cell r="M138" t="str">
            <v>Sample</v>
          </cell>
          <cell r="N138" t="str">
            <v>DIE CUT</v>
          </cell>
          <cell r="O138" t="str">
            <v>Sample</v>
          </cell>
          <cell r="P138">
            <v>46064</v>
          </cell>
          <cell r="Q138">
            <v>46094</v>
          </cell>
          <cell r="R138">
            <v>46091</v>
          </cell>
          <cell r="S138">
            <v>6</v>
          </cell>
          <cell r="T138">
            <v>30</v>
          </cell>
          <cell r="U138">
            <v>5</v>
          </cell>
          <cell r="V138">
            <v>3.5709999999999999E-2</v>
          </cell>
          <cell r="W138">
            <v>2</v>
          </cell>
        </row>
        <row r="139">
          <cell r="A139" t="str">
            <v>S-2026-02-38</v>
          </cell>
          <cell r="B139"/>
          <cell r="C139" t="str">
            <v>RPRO-260227-0338</v>
          </cell>
          <cell r="D139" t="str">
            <v>PUR2602240001S</v>
          </cell>
          <cell r="E139" t="str">
            <v>BDB-000372</v>
          </cell>
          <cell r="F139" t="str">
            <v>PVN-004311</v>
          </cell>
          <cell r="G139" t="str">
            <v>OrthoLite Float CASTLEROCK/18-0201TPX Flat Sheet 0.12D 21+/-4 Asker C 1.1M 2M 5.5mm</v>
          </cell>
          <cell r="H139">
            <v>20</v>
          </cell>
          <cell r="I139">
            <v>20</v>
          </cell>
          <cell r="J139">
            <v>20</v>
          </cell>
          <cell r="K139">
            <v>0</v>
          </cell>
          <cell r="L139" t="str">
            <v>ON RUNNING</v>
          </cell>
          <cell r="M139" t="str">
            <v>ĐẶT LIỆU TRƯỚC ANDY</v>
          </cell>
          <cell r="N139" t="str">
            <v>OV-0464</v>
          </cell>
          <cell r="O139" t="str">
            <v>Sample</v>
          </cell>
          <cell r="P139">
            <v>46077</v>
          </cell>
          <cell r="Q139">
            <v>46097</v>
          </cell>
          <cell r="R139">
            <v>46094</v>
          </cell>
          <cell r="S139">
            <v>6</v>
          </cell>
          <cell r="T139">
            <v>20</v>
          </cell>
          <cell r="U139">
            <v>5.5</v>
          </cell>
          <cell r="V139">
            <v>0.04</v>
          </cell>
          <cell r="W139">
            <v>1</v>
          </cell>
        </row>
        <row r="140">
          <cell r="A140" t="str">
            <v>S-2026-02-39</v>
          </cell>
          <cell r="B140"/>
          <cell r="C140" t="str">
            <v>RPRO-260227-0339</v>
          </cell>
          <cell r="D140" t="str">
            <v>PUR2602240002S</v>
          </cell>
          <cell r="E140" t="str">
            <v>BDB-000117</v>
          </cell>
          <cell r="F140" t="str">
            <v>PVN-002979</v>
          </cell>
          <cell r="G140" t="str">
            <v>OrthoLite X-35-Hybrid SEEDPEARL/12-0703TPX Hybrid Flat Sheet 0.145D 25+/-4 Asker C 1.1M 2M 11mm</v>
          </cell>
          <cell r="H140">
            <v>50</v>
          </cell>
          <cell r="I140">
            <v>50</v>
          </cell>
          <cell r="J140">
            <v>50</v>
          </cell>
          <cell r="K140">
            <v>0</v>
          </cell>
          <cell r="L140" t="str">
            <v>DESCENTE</v>
          </cell>
          <cell r="M140" t="str">
            <v>Sample</v>
          </cell>
          <cell r="N140" t="str">
            <v>Molded</v>
          </cell>
          <cell r="O140" t="str">
            <v>Sample</v>
          </cell>
          <cell r="P140">
            <v>46077</v>
          </cell>
          <cell r="Q140">
            <v>46097</v>
          </cell>
          <cell r="R140">
            <v>46094</v>
          </cell>
          <cell r="S140">
            <v>6</v>
          </cell>
          <cell r="T140">
            <v>20</v>
          </cell>
          <cell r="U140">
            <v>11</v>
          </cell>
          <cell r="V140">
            <v>8.3330000000000001E-2</v>
          </cell>
          <cell r="W140">
            <v>5</v>
          </cell>
        </row>
        <row r="141">
          <cell r="A141" t="str">
            <v>L-2026-02-40</v>
          </cell>
          <cell r="B141"/>
          <cell r="C141" t="str">
            <v>RPRO-260227-0340</v>
          </cell>
          <cell r="D141" t="str">
            <v>vivian.pham@ortholite.vn</v>
          </cell>
          <cell r="E141" t="str">
            <v>BDB-000162</v>
          </cell>
          <cell r="F141" t="str">
            <v>PVN-001735</v>
          </cell>
          <cell r="G141" t="str">
            <v>OrthoLite Ultra-Nike SEEDPEARL/12-0703TPX 0.085D 25+/-4 Asker C 1.1M 2M 10mm</v>
          </cell>
          <cell r="H141">
            <v>5</v>
          </cell>
          <cell r="I141">
            <v>5</v>
          </cell>
          <cell r="J141">
            <v>5</v>
          </cell>
          <cell r="K141">
            <v>0</v>
          </cell>
          <cell r="L141" t="str">
            <v xml:space="preserve">Mộc Bài </v>
          </cell>
          <cell r="M141" t="str">
            <v>Lab test</v>
          </cell>
          <cell r="N141"/>
          <cell r="O141" t="str">
            <v>Lab test</v>
          </cell>
          <cell r="P141">
            <v>46078</v>
          </cell>
          <cell r="Q141">
            <v>46091</v>
          </cell>
          <cell r="R141">
            <v>46088</v>
          </cell>
          <cell r="S141">
            <v>6</v>
          </cell>
          <cell r="T141">
            <v>13</v>
          </cell>
          <cell r="U141">
            <v>10</v>
          </cell>
          <cell r="V141">
            <v>7.6920000000000002E-2</v>
          </cell>
          <cell r="W141">
            <v>1</v>
          </cell>
        </row>
        <row r="142">
          <cell r="A142" t="str">
            <v>S-2026-02-41</v>
          </cell>
          <cell r="B142"/>
          <cell r="C142" t="str">
            <v>RPRO-260227-0341</v>
          </cell>
          <cell r="D142" t="str">
            <v>PUR-202602250001S</v>
          </cell>
          <cell r="E142" t="str">
            <v>BDB-000113</v>
          </cell>
          <cell r="F142" t="str">
            <v>PVN-002465</v>
          </cell>
          <cell r="G142" t="str">
            <v>OrthoLite Regular-Hybrid SEEDPEARL/12-0703TPX Hybrid Flat Sheet 0.11D 25+/-4 Asker C 1.1M 2M 5mm</v>
          </cell>
          <cell r="H142">
            <v>40</v>
          </cell>
          <cell r="I142">
            <v>40</v>
          </cell>
          <cell r="J142">
            <v>40</v>
          </cell>
          <cell r="K142">
            <v>0</v>
          </cell>
          <cell r="L142" t="str">
            <v>ASICS</v>
          </cell>
          <cell r="M142" t="str">
            <v>Sample</v>
          </cell>
          <cell r="N142" t="str">
            <v>DIE-CUT</v>
          </cell>
          <cell r="O142" t="str">
            <v>Sample</v>
          </cell>
          <cell r="P142">
            <v>46078</v>
          </cell>
          <cell r="Q142">
            <v>46098</v>
          </cell>
          <cell r="R142">
            <v>46095</v>
          </cell>
          <cell r="S142">
            <v>6</v>
          </cell>
          <cell r="T142">
            <v>20</v>
          </cell>
          <cell r="U142">
            <v>5</v>
          </cell>
          <cell r="V142">
            <v>3.5709999999999999E-2</v>
          </cell>
          <cell r="W142">
            <v>2</v>
          </cell>
        </row>
        <row r="143">
          <cell r="A143" t="str">
            <v>S-2026-02-42</v>
          </cell>
          <cell r="B143"/>
          <cell r="C143" t="str">
            <v>RPRO-260227-0342</v>
          </cell>
          <cell r="D143" t="str">
            <v>PUR-202602250001S</v>
          </cell>
          <cell r="E143" t="str">
            <v>BDB-000113</v>
          </cell>
          <cell r="F143" t="str">
            <v>PVN-003414</v>
          </cell>
          <cell r="G143" t="str">
            <v>OrthoLite Regular-Hybrid SEEDPEARL/12-0703TPX Hybrid 0.11D 25+/-4 Asker C 1.1M 2M 12mm</v>
          </cell>
          <cell r="H143">
            <v>80</v>
          </cell>
          <cell r="I143">
            <v>80</v>
          </cell>
          <cell r="J143">
            <v>80</v>
          </cell>
          <cell r="K143">
            <v>0</v>
          </cell>
          <cell r="L143" t="str">
            <v>ASICS</v>
          </cell>
          <cell r="M143" t="str">
            <v>Sample</v>
          </cell>
          <cell r="N143" t="str">
            <v>MOLDED</v>
          </cell>
          <cell r="O143" t="str">
            <v>Sample</v>
          </cell>
          <cell r="P143">
            <v>46078</v>
          </cell>
          <cell r="Q143">
            <v>46091</v>
          </cell>
          <cell r="R143">
            <v>46088</v>
          </cell>
          <cell r="S143">
            <v>6</v>
          </cell>
          <cell r="T143">
            <v>13</v>
          </cell>
          <cell r="U143">
            <v>12</v>
          </cell>
          <cell r="V143">
            <v>9.0909999999999991E-2</v>
          </cell>
          <cell r="W143">
            <v>8</v>
          </cell>
        </row>
        <row r="144">
          <cell r="A144" t="str">
            <v>S-2026-02-43</v>
          </cell>
          <cell r="B144"/>
          <cell r="C144" t="str">
            <v>RPRO-260227-0343</v>
          </cell>
          <cell r="D144" t="str">
            <v>PUR-202602250001S</v>
          </cell>
          <cell r="E144" t="str">
            <v>BDB-000113</v>
          </cell>
          <cell r="F144" t="str">
            <v>PVN-002699</v>
          </cell>
          <cell r="G144" t="str">
            <v>OrthoLite Regular-Hybrid SEEDPEARL/12-0703TPX Hybrid 0.11D 25+/-4 Asker C 1.1M 2M 4.5mm</v>
          </cell>
          <cell r="H144">
            <v>30</v>
          </cell>
          <cell r="I144">
            <v>30</v>
          </cell>
          <cell r="J144">
            <v>30</v>
          </cell>
          <cell r="K144">
            <v>0</v>
          </cell>
          <cell r="L144" t="str">
            <v>ASICS</v>
          </cell>
          <cell r="M144" t="str">
            <v>Sample</v>
          </cell>
          <cell r="N144" t="str">
            <v>DIE-CUT</v>
          </cell>
          <cell r="O144" t="str">
            <v>Sample</v>
          </cell>
          <cell r="P144">
            <v>46078</v>
          </cell>
          <cell r="Q144">
            <v>46098</v>
          </cell>
          <cell r="R144">
            <v>46095</v>
          </cell>
          <cell r="S144">
            <v>6</v>
          </cell>
          <cell r="T144">
            <v>20</v>
          </cell>
          <cell r="U144">
            <v>4.5</v>
          </cell>
          <cell r="V144">
            <v>3.2259999999999997E-2</v>
          </cell>
          <cell r="W144">
            <v>1</v>
          </cell>
        </row>
        <row r="145">
          <cell r="A145" t="str">
            <v>S-2026-02-44</v>
          </cell>
          <cell r="B145"/>
          <cell r="C145" t="str">
            <v>RPRO-260227-0344</v>
          </cell>
          <cell r="D145" t="str">
            <v>PUR-202602250001S</v>
          </cell>
          <cell r="E145" t="str">
            <v>BDB-000317</v>
          </cell>
          <cell r="F145" t="str">
            <v>PVN-004076</v>
          </cell>
          <cell r="G145" t="str">
            <v>OrthoLite Regular NEUTRAL GRAY/17-4402TPX Flat Sheet 0.13D 15+/-4 Asker C 1.1M 2M 24mm</v>
          </cell>
          <cell r="H145">
            <v>30</v>
          </cell>
          <cell r="I145">
            <v>30</v>
          </cell>
          <cell r="J145">
            <v>30</v>
          </cell>
          <cell r="K145">
            <v>0</v>
          </cell>
          <cell r="L145" t="str">
            <v>ASICS</v>
          </cell>
          <cell r="M145" t="str">
            <v>Sample</v>
          </cell>
          <cell r="N145" t="str">
            <v>MOLDED</v>
          </cell>
          <cell r="O145" t="str">
            <v>Sample</v>
          </cell>
          <cell r="P145">
            <v>46078</v>
          </cell>
          <cell r="Q145">
            <v>46098</v>
          </cell>
          <cell r="R145">
            <v>46095</v>
          </cell>
          <cell r="S145">
            <v>6</v>
          </cell>
          <cell r="T145">
            <v>20</v>
          </cell>
          <cell r="U145">
            <v>24</v>
          </cell>
          <cell r="V145">
            <v>0.2</v>
          </cell>
          <cell r="W145">
            <v>6</v>
          </cell>
        </row>
        <row r="146">
          <cell r="A146" t="str">
            <v>S-2026-02-45</v>
          </cell>
          <cell r="B146"/>
          <cell r="C146" t="str">
            <v>RPRO-260227-0345</v>
          </cell>
          <cell r="D146" t="str">
            <v>PUR-202602250001S</v>
          </cell>
          <cell r="E146" t="str">
            <v>BDB-000055</v>
          </cell>
          <cell r="F146" t="str">
            <v>PVN-003327</v>
          </cell>
          <cell r="G146" t="str">
            <v>OrthoLite X-40 TRUE BLUE/19-4057TPX 0.16D 35+/-4 Asker C 1.1M 1.7M 4mm</v>
          </cell>
          <cell r="H146">
            <v>40</v>
          </cell>
          <cell r="I146">
            <v>40</v>
          </cell>
          <cell r="J146">
            <v>40</v>
          </cell>
          <cell r="K146">
            <v>0</v>
          </cell>
          <cell r="L146" t="str">
            <v>ASICS</v>
          </cell>
          <cell r="M146" t="str">
            <v>Sample</v>
          </cell>
          <cell r="N146" t="str">
            <v>MOLDED</v>
          </cell>
          <cell r="O146" t="str">
            <v>Sample</v>
          </cell>
          <cell r="P146">
            <v>46078</v>
          </cell>
          <cell r="Q146">
            <v>46098</v>
          </cell>
          <cell r="R146">
            <v>46095</v>
          </cell>
          <cell r="S146">
            <v>6</v>
          </cell>
          <cell r="T146">
            <v>20</v>
          </cell>
          <cell r="U146">
            <v>4</v>
          </cell>
          <cell r="V146">
            <v>2.8570000000000002E-2</v>
          </cell>
          <cell r="W146">
            <v>2</v>
          </cell>
        </row>
        <row r="147">
          <cell r="A147" t="str">
            <v>S-2026-02-46</v>
          </cell>
          <cell r="B147" t="str">
            <v xml:space="preserve">gấp  mai </v>
          </cell>
          <cell r="C147" t="str">
            <v>RPRO-260227-0346</v>
          </cell>
          <cell r="D147" t="str">
            <v>PUR-202602250001S</v>
          </cell>
          <cell r="E147" t="str">
            <v>BDB-000097</v>
          </cell>
          <cell r="F147" t="str">
            <v>PVN-002478</v>
          </cell>
          <cell r="G147" t="str">
            <v>OrthoLite Eco LT-Hybrid SEEDPEARL/12-0703TPX Hybrid 0.11D 25+/-4 Asker C 1.1M 2M 4mm</v>
          </cell>
          <cell r="H147">
            <v>50</v>
          </cell>
          <cell r="I147">
            <v>50</v>
          </cell>
          <cell r="J147">
            <v>50</v>
          </cell>
          <cell r="K147">
            <v>0</v>
          </cell>
          <cell r="L147" t="str">
            <v>NEW BALANCE</v>
          </cell>
          <cell r="M147" t="str">
            <v>Sample</v>
          </cell>
          <cell r="N147" t="str">
            <v>DIE-CUT</v>
          </cell>
          <cell r="O147" t="str">
            <v>Sample</v>
          </cell>
          <cell r="P147">
            <v>46078</v>
          </cell>
          <cell r="Q147">
            <v>46098</v>
          </cell>
          <cell r="R147">
            <v>46095</v>
          </cell>
          <cell r="S147">
            <v>6</v>
          </cell>
          <cell r="T147">
            <v>20</v>
          </cell>
          <cell r="U147">
            <v>4</v>
          </cell>
          <cell r="V147">
            <v>2.8570000000000002E-2</v>
          </cell>
          <cell r="W147">
            <v>2</v>
          </cell>
        </row>
        <row r="148">
          <cell r="A148" t="str">
            <v>S-2026-02-47</v>
          </cell>
          <cell r="B148"/>
          <cell r="C148" t="str">
            <v>RPRO-260227-0347</v>
          </cell>
          <cell r="D148" t="str">
            <v>PUR-202602250001S</v>
          </cell>
          <cell r="E148" t="str">
            <v>BDB-000117</v>
          </cell>
          <cell r="F148" t="str">
            <v>PVN-003234</v>
          </cell>
          <cell r="G148" t="str">
            <v>OrthoLite X-35-Hybrid SEEDPEARL/12-0703TPX Hybrid Flat Sheet 0.145D 25+/-4 Asker C 1.1M 2M 5.5mm</v>
          </cell>
          <cell r="H148">
            <v>20</v>
          </cell>
          <cell r="I148">
            <v>20</v>
          </cell>
          <cell r="J148">
            <v>20</v>
          </cell>
          <cell r="K148">
            <v>0</v>
          </cell>
          <cell r="L148" t="str">
            <v>PUMA</v>
          </cell>
          <cell r="M148" t="str">
            <v>Sample</v>
          </cell>
          <cell r="N148" t="str">
            <v>MOLDED</v>
          </cell>
          <cell r="O148" t="str">
            <v>Sample</v>
          </cell>
          <cell r="P148">
            <v>46078</v>
          </cell>
          <cell r="Q148">
            <v>46098</v>
          </cell>
          <cell r="R148">
            <v>46095</v>
          </cell>
          <cell r="S148">
            <v>6</v>
          </cell>
          <cell r="T148">
            <v>20</v>
          </cell>
          <cell r="U148">
            <v>5.5</v>
          </cell>
          <cell r="V148">
            <v>0.04</v>
          </cell>
          <cell r="W148">
            <v>1</v>
          </cell>
        </row>
        <row r="149">
          <cell r="A149" t="str">
            <v>S-2026-02-48</v>
          </cell>
          <cell r="B149"/>
          <cell r="C149" t="str">
            <v>RPRO-260227-0348</v>
          </cell>
          <cell r="D149" t="str">
            <v>PUR-202602250001S</v>
          </cell>
          <cell r="E149" t="str">
            <v>BDB-000054</v>
          </cell>
          <cell r="F149" t="str">
            <v>PVN-003895</v>
          </cell>
          <cell r="G149" t="str">
            <v>OrthoLite X-40 RED/19-1764TPX Flat Sheet 0.16D 25+/-4 Asker C 1.1M 1.7M 5mm</v>
          </cell>
          <cell r="H149">
            <v>20</v>
          </cell>
          <cell r="I149">
            <v>20</v>
          </cell>
          <cell r="J149">
            <v>20</v>
          </cell>
          <cell r="K149">
            <v>0</v>
          </cell>
          <cell r="L149" t="str">
            <v>PAYNTR</v>
          </cell>
          <cell r="M149" t="str">
            <v>Sample</v>
          </cell>
          <cell r="N149" t="str">
            <v>MOLDED</v>
          </cell>
          <cell r="O149" t="str">
            <v>Sample</v>
          </cell>
          <cell r="P149">
            <v>46078</v>
          </cell>
          <cell r="Q149">
            <v>46098</v>
          </cell>
          <cell r="R149">
            <v>46095</v>
          </cell>
          <cell r="S149">
            <v>6</v>
          </cell>
          <cell r="T149">
            <v>20</v>
          </cell>
          <cell r="U149">
            <v>5</v>
          </cell>
          <cell r="V149">
            <v>3.5709999999999999E-2</v>
          </cell>
          <cell r="W149">
            <v>1</v>
          </cell>
        </row>
        <row r="150">
          <cell r="A150" t="str">
            <v>S-2026-02-49</v>
          </cell>
          <cell r="B150"/>
          <cell r="C150" t="str">
            <v>RPRO-260302-0004</v>
          </cell>
          <cell r="D150" t="str">
            <v>PUR2602260002S</v>
          </cell>
          <cell r="E150" t="str">
            <v>BDB-000355</v>
          </cell>
          <cell r="F150" t="str">
            <v>PVN-004313</v>
          </cell>
          <cell r="G150" t="str">
            <v>OrthoLite HybridPlus-Recycled CASTLEROCK/18-0201TPX Hybrid 0.12D 25+/-4 Asker C 1.1M 2M 6mm</v>
          </cell>
          <cell r="H150">
            <v>60</v>
          </cell>
          <cell r="I150">
            <v>60</v>
          </cell>
          <cell r="J150">
            <v>60</v>
          </cell>
          <cell r="K150">
            <v>0</v>
          </cell>
          <cell r="L150" t="str">
            <v>ON RUNNING</v>
          </cell>
          <cell r="M150" t="str">
            <v>ĐẶT LIỆU TRƯỚC ANNIE</v>
          </cell>
          <cell r="N150" t="str">
            <v>OV-0408URGENT</v>
          </cell>
          <cell r="O150" t="str">
            <v>Sample</v>
          </cell>
          <cell r="P150">
            <v>46079</v>
          </cell>
          <cell r="Q150">
            <v>46091</v>
          </cell>
          <cell r="R150">
            <v>46088</v>
          </cell>
          <cell r="S150">
            <v>6</v>
          </cell>
          <cell r="T150">
            <v>12</v>
          </cell>
          <cell r="U150">
            <v>6</v>
          </cell>
          <cell r="V150">
            <v>4.3479999999999998E-2</v>
          </cell>
          <cell r="W150">
            <v>3</v>
          </cell>
        </row>
        <row r="151">
          <cell r="A151" t="str">
            <v>S-2026-02-50</v>
          </cell>
          <cell r="B151"/>
          <cell r="C151" t="str">
            <v>RPRO-260227-0349</v>
          </cell>
          <cell r="D151" t="str">
            <v>PUR-202602260003S</v>
          </cell>
          <cell r="E151" t="str">
            <v>BDB-000113</v>
          </cell>
          <cell r="F151" t="str">
            <v>PVN-003414</v>
          </cell>
          <cell r="G151" t="str">
            <v>OrthoLite Regular-Hybrid SEEDPEARL/12-0703TPX Hybrid 0.11D 25+/-4 Asker C 1.1M 2M 12mm</v>
          </cell>
          <cell r="H151">
            <v>70</v>
          </cell>
          <cell r="I151">
            <v>70</v>
          </cell>
          <cell r="J151">
            <v>70</v>
          </cell>
          <cell r="K151">
            <v>0</v>
          </cell>
          <cell r="L151" t="str">
            <v>ASICS</v>
          </cell>
          <cell r="M151" t="str">
            <v>Sample</v>
          </cell>
          <cell r="N151" t="str">
            <v>MOLDED</v>
          </cell>
          <cell r="O151" t="str">
            <v>Sample</v>
          </cell>
          <cell r="P151">
            <v>46079</v>
          </cell>
          <cell r="Q151">
            <v>46099</v>
          </cell>
          <cell r="R151">
            <v>46096</v>
          </cell>
          <cell r="S151">
            <v>6</v>
          </cell>
          <cell r="T151">
            <v>20</v>
          </cell>
          <cell r="U151">
            <v>12</v>
          </cell>
          <cell r="V151">
            <v>9.0909999999999991E-2</v>
          </cell>
          <cell r="W151">
            <v>7</v>
          </cell>
        </row>
        <row r="152">
          <cell r="A152" t="str">
            <v>S-2026-02-51</v>
          </cell>
          <cell r="B152"/>
          <cell r="C152" t="str">
            <v>RPRO-260227-0350</v>
          </cell>
          <cell r="D152" t="str">
            <v>PUR-202602260003S</v>
          </cell>
          <cell r="E152" t="str">
            <v>BDB-000337</v>
          </cell>
          <cell r="F152" t="str">
            <v>PVN-004171</v>
          </cell>
          <cell r="G152" t="str">
            <v>OrthoLite X-55 SEEDPEARL/12-0703TPX Flat Sheet 0.16D 25+/-4 Asker C 1.1M 2M 5.2mm</v>
          </cell>
          <cell r="H152">
            <v>30</v>
          </cell>
          <cell r="I152">
            <v>30</v>
          </cell>
          <cell r="J152">
            <v>30</v>
          </cell>
          <cell r="K152">
            <v>0</v>
          </cell>
          <cell r="L152" t="str">
            <v>NEW BALANCE</v>
          </cell>
          <cell r="M152" t="str">
            <v>Sample</v>
          </cell>
          <cell r="N152" t="str">
            <v>MOLDED</v>
          </cell>
          <cell r="O152" t="str">
            <v>Sample</v>
          </cell>
          <cell r="P152">
            <v>46079</v>
          </cell>
          <cell r="Q152">
            <v>46099</v>
          </cell>
          <cell r="R152">
            <v>46096</v>
          </cell>
          <cell r="S152">
            <v>6</v>
          </cell>
          <cell r="T152">
            <v>20</v>
          </cell>
          <cell r="U152">
            <v>5.2</v>
          </cell>
          <cell r="V152">
            <v>3.8460000000000001E-2</v>
          </cell>
          <cell r="W152">
            <v>2</v>
          </cell>
        </row>
        <row r="153">
          <cell r="A153" t="str">
            <v>S-2026-02-52</v>
          </cell>
          <cell r="B153"/>
          <cell r="C153" t="str">
            <v>RPRO-260227-0351</v>
          </cell>
          <cell r="D153" t="str">
            <v>PUR-202602260003S</v>
          </cell>
          <cell r="E153" t="str">
            <v>BDB-000179</v>
          </cell>
          <cell r="F153" t="str">
            <v>PVN-004059</v>
          </cell>
          <cell r="G153" t="str">
            <v>OrthoLite X-55 RED/19-1764TPX Flat Sheet 0.16D 25+/-4 Asker C 1.1M 1.7M 5.2mm</v>
          </cell>
          <cell r="H153">
            <v>40</v>
          </cell>
          <cell r="I153">
            <v>40</v>
          </cell>
          <cell r="J153">
            <v>40</v>
          </cell>
          <cell r="K153">
            <v>0</v>
          </cell>
          <cell r="L153" t="str">
            <v>NEW BALANCE</v>
          </cell>
          <cell r="M153" t="str">
            <v>Sample</v>
          </cell>
          <cell r="N153" t="str">
            <v>MOLDED</v>
          </cell>
          <cell r="O153" t="str">
            <v>Sample</v>
          </cell>
          <cell r="P153">
            <v>46079</v>
          </cell>
          <cell r="Q153">
            <v>46099</v>
          </cell>
          <cell r="R153">
            <v>46096</v>
          </cell>
          <cell r="S153">
            <v>6</v>
          </cell>
          <cell r="T153">
            <v>20</v>
          </cell>
          <cell r="U153">
            <v>5.2</v>
          </cell>
          <cell r="V153">
            <v>3.8460000000000001E-2</v>
          </cell>
          <cell r="W153">
            <v>2</v>
          </cell>
        </row>
        <row r="154">
          <cell r="A154" t="str">
            <v>S-2026-02-53</v>
          </cell>
          <cell r="B154"/>
          <cell r="C154" t="str">
            <v>RPRO-260227-0352</v>
          </cell>
          <cell r="D154" t="str">
            <v>PUR-202602260003S</v>
          </cell>
          <cell r="E154" t="str">
            <v>BDB-000097</v>
          </cell>
          <cell r="F154" t="str">
            <v>PVN-002473</v>
          </cell>
          <cell r="G154" t="str">
            <v>OrthoLite Eco LT-Hybrid SEEDPEARL/12-0703TPX Hybrid 0.11D 25+/-4 Asker C 1.1M 2M 5mm</v>
          </cell>
          <cell r="H154">
            <v>30</v>
          </cell>
          <cell r="I154">
            <v>30</v>
          </cell>
          <cell r="J154">
            <v>30</v>
          </cell>
          <cell r="K154">
            <v>0</v>
          </cell>
          <cell r="L154" t="str">
            <v>NEW BALANCE</v>
          </cell>
          <cell r="M154" t="str">
            <v>Sample</v>
          </cell>
          <cell r="N154" t="str">
            <v>DIE-CUT</v>
          </cell>
          <cell r="O154" t="str">
            <v>Sample</v>
          </cell>
          <cell r="P154">
            <v>46079</v>
          </cell>
          <cell r="Q154">
            <v>46099</v>
          </cell>
          <cell r="R154">
            <v>46096</v>
          </cell>
          <cell r="S154">
            <v>6</v>
          </cell>
          <cell r="T154">
            <v>20</v>
          </cell>
          <cell r="U154">
            <v>5</v>
          </cell>
          <cell r="V154">
            <v>3.5709999999999999E-2</v>
          </cell>
          <cell r="W154">
            <v>2</v>
          </cell>
        </row>
        <row r="155">
          <cell r="A155" t="str">
            <v>L-2026-03-01</v>
          </cell>
          <cell r="B155"/>
          <cell r="C155" t="str">
            <v>RPRO-260303-0005</v>
          </cell>
          <cell r="D155" t="str">
            <v>diem.nn@ortholite.vn</v>
          </cell>
          <cell r="E155" t="str">
            <v>BDB-000117</v>
          </cell>
          <cell r="F155" t="str">
            <v>PVN-003596</v>
          </cell>
          <cell r="G155" t="str">
            <v>OrthoLite X-35-Hybrid SEEDPEARL/12-0703TPX Hybrid Flat Sheet 0.145D 25+/-4 Asker C 1.1M 2M 3mm</v>
          </cell>
          <cell r="H155">
            <v>2</v>
          </cell>
          <cell r="I155">
            <v>2</v>
          </cell>
          <cell r="J155">
            <v>2</v>
          </cell>
          <cell r="K155">
            <v>0</v>
          </cell>
          <cell r="L155" t="str">
            <v xml:space="preserve">HẰNG LỢI-LACOSTE </v>
          </cell>
          <cell r="M155" t="str">
            <v xml:space="preserve">Lab test </v>
          </cell>
          <cell r="N155"/>
          <cell r="O155" t="str">
            <v>Lab test</v>
          </cell>
          <cell r="P155">
            <v>46083</v>
          </cell>
          <cell r="Q155">
            <v>46086</v>
          </cell>
          <cell r="R155">
            <v>46083</v>
          </cell>
          <cell r="S155">
            <v>6</v>
          </cell>
          <cell r="T155">
            <v>3</v>
          </cell>
          <cell r="U155">
            <v>3</v>
          </cell>
          <cell r="V155">
            <v>2.1739999999999999E-2</v>
          </cell>
          <cell r="W155">
            <v>1</v>
          </cell>
        </row>
        <row r="156">
          <cell r="A156" t="str">
            <v>L-2026-03-02</v>
          </cell>
          <cell r="B156"/>
          <cell r="C156" t="str">
            <v>RPRO-260303-0006</v>
          </cell>
          <cell r="D156" t="str">
            <v>diem.nn@ortholite.vn</v>
          </cell>
          <cell r="E156" t="str">
            <v>BDB-000117</v>
          </cell>
          <cell r="F156" t="str">
            <v>PVN-002955</v>
          </cell>
          <cell r="G156" t="str">
            <v>OrthoLite X-35-Hybrid SEEDPEARL/12-0703TPX Hybrid Flat Sheet 0.145D 25+/-4 Asker C 1.1M 2M 6mm</v>
          </cell>
          <cell r="H156">
            <v>2</v>
          </cell>
          <cell r="I156">
            <v>2</v>
          </cell>
          <cell r="J156">
            <v>2</v>
          </cell>
          <cell r="K156">
            <v>0</v>
          </cell>
          <cell r="L156" t="str">
            <v xml:space="preserve">HẰNG LỢI-LACOSTE </v>
          </cell>
          <cell r="M156" t="str">
            <v xml:space="preserve">Lab test </v>
          </cell>
          <cell r="N156"/>
          <cell r="O156" t="str">
            <v>Lab test</v>
          </cell>
          <cell r="P156">
            <v>46083</v>
          </cell>
          <cell r="Q156">
            <v>46086</v>
          </cell>
          <cell r="R156">
            <v>46083</v>
          </cell>
          <cell r="S156">
            <v>6</v>
          </cell>
          <cell r="T156">
            <v>3</v>
          </cell>
          <cell r="U156">
            <v>6</v>
          </cell>
          <cell r="V156">
            <v>4.3479999999999998E-2</v>
          </cell>
          <cell r="W156">
            <v>1</v>
          </cell>
        </row>
        <row r="157">
          <cell r="A157" t="str">
            <v>S-2026-03-03</v>
          </cell>
          <cell r="B157" t="str">
            <v>r gấp giao 16.3</v>
          </cell>
          <cell r="C157" t="str">
            <v>RPRO-260303-0007</v>
          </cell>
          <cell r="D157" t="str">
            <v>PUR2603020001S</v>
          </cell>
          <cell r="E157" t="str">
            <v>BDB-000083</v>
          </cell>
          <cell r="F157" t="str">
            <v>PVN-000935</v>
          </cell>
          <cell r="G157" t="str">
            <v>OrthoLite Eco LT 300C(ADIDAS BLUEBIRD) Flat Sheet 0.11D 25+/-4 Asker C 1.1M 2M 4mm</v>
          </cell>
          <cell r="H157">
            <v>100</v>
          </cell>
          <cell r="I157">
            <v>100</v>
          </cell>
          <cell r="J157">
            <v>100</v>
          </cell>
          <cell r="K157">
            <v>0</v>
          </cell>
          <cell r="L157" t="str">
            <v>ADIDAS</v>
          </cell>
          <cell r="M157" t="str">
            <v>Sample</v>
          </cell>
          <cell r="N157" t="str">
            <v>Flat sheet</v>
          </cell>
          <cell r="O157" t="str">
            <v>Sample</v>
          </cell>
          <cell r="P157">
            <v>46083</v>
          </cell>
          <cell r="Q157">
            <v>46100</v>
          </cell>
          <cell r="R157">
            <v>46097</v>
          </cell>
          <cell r="S157">
            <v>6</v>
          </cell>
          <cell r="T157">
            <v>17</v>
          </cell>
          <cell r="U157">
            <v>4</v>
          </cell>
          <cell r="V157">
            <v>2.8570000000000002E-2</v>
          </cell>
          <cell r="W157">
            <v>3</v>
          </cell>
        </row>
        <row r="158">
          <cell r="A158" t="str">
            <v>S-2026-03-04</v>
          </cell>
          <cell r="B158" t="str">
            <v>gấp giao 16.3</v>
          </cell>
          <cell r="C158" t="str">
            <v>RPRO-260303-0008</v>
          </cell>
          <cell r="D158" t="str">
            <v>PUR2603020001S</v>
          </cell>
          <cell r="E158" t="str">
            <v>BDB-000348</v>
          </cell>
          <cell r="F158" t="str">
            <v>PVN-004210</v>
          </cell>
          <cell r="G158" t="str">
            <v>OrthoLite IMPERIAL SEEDPEARL/12-0703TPX Flat Sheet 0.22D 25+/-4 Asker C 1.1M 1.47M 5mm</v>
          </cell>
          <cell r="H158">
            <v>200</v>
          </cell>
          <cell r="I158">
            <v>200</v>
          </cell>
          <cell r="J158">
            <v>200</v>
          </cell>
          <cell r="K158">
            <v>0</v>
          </cell>
          <cell r="L158" t="str">
            <v>ADIDAS</v>
          </cell>
          <cell r="M158" t="str">
            <v>Sample</v>
          </cell>
          <cell r="N158" t="str">
            <v>Molded/Flat sheet</v>
          </cell>
          <cell r="O158" t="str">
            <v>Sample</v>
          </cell>
          <cell r="P158">
            <v>46083</v>
          </cell>
          <cell r="Q158">
            <v>46097</v>
          </cell>
          <cell r="R158">
            <v>46094</v>
          </cell>
          <cell r="S158">
            <v>6</v>
          </cell>
          <cell r="T158">
            <v>14</v>
          </cell>
          <cell r="U158">
            <v>5</v>
          </cell>
          <cell r="V158">
            <v>3.5709999999999999E-2</v>
          </cell>
          <cell r="W158">
            <v>8</v>
          </cell>
        </row>
        <row r="159">
          <cell r="A159" t="str">
            <v>S-2026-03-05</v>
          </cell>
          <cell r="B159" t="str">
            <v>gấp giao 16.3</v>
          </cell>
          <cell r="C159" t="str">
            <v>RPRO-260303-0009</v>
          </cell>
          <cell r="D159" t="str">
            <v>PUR2603020001S</v>
          </cell>
          <cell r="E159" t="str">
            <v>BDB-000348</v>
          </cell>
          <cell r="F159" t="str">
            <v>PVN-004195</v>
          </cell>
          <cell r="G159" t="str">
            <v>OrthoLite IMPERIAL SEEDPEARL/12-0703TPX Flat Sheet 0.22D 25+/-4 Asker C 1.1M 1.47M 4mm</v>
          </cell>
          <cell r="H159">
            <v>200</v>
          </cell>
          <cell r="I159">
            <v>200</v>
          </cell>
          <cell r="J159">
            <v>200</v>
          </cell>
          <cell r="K159">
            <v>0</v>
          </cell>
          <cell r="L159" t="str">
            <v>ADIDAS</v>
          </cell>
          <cell r="M159" t="str">
            <v>Sample</v>
          </cell>
          <cell r="N159" t="str">
            <v>Flat sheet</v>
          </cell>
          <cell r="O159" t="str">
            <v>Sample</v>
          </cell>
          <cell r="P159">
            <v>46083</v>
          </cell>
          <cell r="Q159">
            <v>46097</v>
          </cell>
          <cell r="R159">
            <v>46094</v>
          </cell>
          <cell r="S159">
            <v>6</v>
          </cell>
          <cell r="T159">
            <v>14</v>
          </cell>
          <cell r="U159">
            <v>4</v>
          </cell>
          <cell r="V159">
            <v>2.8570000000000002E-2</v>
          </cell>
          <cell r="W159">
            <v>6</v>
          </cell>
        </row>
        <row r="160">
          <cell r="A160" t="str">
            <v>S-2026-03-06</v>
          </cell>
          <cell r="B160" t="str">
            <v>gấp cang sớm càng tốt</v>
          </cell>
          <cell r="C160" t="str">
            <v>RPRO-260303-0010</v>
          </cell>
          <cell r="D160" t="str">
            <v>PUR2603020001S</v>
          </cell>
          <cell r="E160" t="str">
            <v>BDB-000180</v>
          </cell>
          <cell r="F160" t="str">
            <v>PVN-003236</v>
          </cell>
          <cell r="G160" t="str">
            <v>OrthoLite Eco LT-Hybrid-Converse SEEDPEARL/12-0703TPX Hybrid Flat Sheet 0.13D 25+/-4 Asker C 1.1M 2M 5mm</v>
          </cell>
          <cell r="H160">
            <v>150</v>
          </cell>
          <cell r="I160">
            <v>150</v>
          </cell>
          <cell r="J160">
            <v>150</v>
          </cell>
          <cell r="K160">
            <v>0</v>
          </cell>
          <cell r="L160" t="str">
            <v>CONVERSE</v>
          </cell>
          <cell r="M160" t="str">
            <v>Sample - URGENT (3-10)</v>
          </cell>
          <cell r="N160" t="str">
            <v>Flat sheet</v>
          </cell>
          <cell r="O160" t="str">
            <v>Sample</v>
          </cell>
          <cell r="P160">
            <v>46083</v>
          </cell>
          <cell r="Q160">
            <v>46091</v>
          </cell>
          <cell r="R160">
            <v>46088</v>
          </cell>
          <cell r="S160">
            <v>6</v>
          </cell>
          <cell r="T160">
            <v>8</v>
          </cell>
          <cell r="U160">
            <v>5</v>
          </cell>
          <cell r="V160">
            <v>3.5709999999999999E-2</v>
          </cell>
          <cell r="W160">
            <v>6</v>
          </cell>
        </row>
        <row r="161">
          <cell r="A161" t="str">
            <v>S-2026-03-07</v>
          </cell>
          <cell r="B161"/>
          <cell r="C161" t="str">
            <v>RPRO-260303-0011</v>
          </cell>
          <cell r="D161" t="str">
            <v>PUR2603020002S</v>
          </cell>
          <cell r="E161" t="str">
            <v>BDB-000242</v>
          </cell>
          <cell r="F161" t="str">
            <v>PVN-003614</v>
          </cell>
          <cell r="G161" t="str">
            <v>OrthoLite Regular GREY/17-1501TPX Flat Sheet 0.11D 5-10 Asker C 1.1M 2M 3.5mm</v>
          </cell>
          <cell r="H161">
            <v>50</v>
          </cell>
          <cell r="I161">
            <v>50</v>
          </cell>
          <cell r="J161">
            <v>50</v>
          </cell>
          <cell r="K161">
            <v>0</v>
          </cell>
          <cell r="L161" t="str">
            <v>TRAVIS MATHEW</v>
          </cell>
          <cell r="M161" t="str">
            <v>SSO-2603-00050</v>
          </cell>
          <cell r="N161" t="str">
            <v>OV-0272</v>
          </cell>
          <cell r="O161" t="str">
            <v>Sample</v>
          </cell>
          <cell r="P161">
            <v>46083</v>
          </cell>
          <cell r="Q161">
            <v>46101</v>
          </cell>
          <cell r="R161">
            <v>46098</v>
          </cell>
          <cell r="S161">
            <v>6</v>
          </cell>
          <cell r="T161">
            <v>18</v>
          </cell>
          <cell r="U161">
            <v>3.5</v>
          </cell>
          <cell r="V161">
            <v>2.5000000000000001E-2</v>
          </cell>
          <cell r="W161">
            <v>2</v>
          </cell>
        </row>
        <row r="162">
          <cell r="A162" t="str">
            <v>S-2026-03-08</v>
          </cell>
          <cell r="B162"/>
          <cell r="C162" t="str">
            <v>RPRO-260303-0012</v>
          </cell>
          <cell r="D162" t="str">
            <v>PUR2603020002S</v>
          </cell>
          <cell r="E162" t="str">
            <v>BDB-000010</v>
          </cell>
          <cell r="F162" t="str">
            <v>PVN-003437</v>
          </cell>
          <cell r="G162" t="str">
            <v>OrthoLite Regular AIR BLUE/16-4134TPX 0.11D 25+/-4 Asker C 1.1M 2M 10.5mm</v>
          </cell>
          <cell r="H162">
            <v>30</v>
          </cell>
          <cell r="I162">
            <v>30</v>
          </cell>
          <cell r="J162">
            <v>30</v>
          </cell>
          <cell r="K162">
            <v>0</v>
          </cell>
          <cell r="L162" t="str">
            <v>TRAVIS MATHEW</v>
          </cell>
          <cell r="M162" t="str">
            <v>SSO-2603-00050</v>
          </cell>
          <cell r="N162" t="str">
            <v>OV-0272</v>
          </cell>
          <cell r="O162" t="str">
            <v>Sample</v>
          </cell>
          <cell r="P162">
            <v>46083</v>
          </cell>
          <cell r="Q162">
            <v>46101</v>
          </cell>
          <cell r="R162">
            <v>46098</v>
          </cell>
          <cell r="S162">
            <v>6</v>
          </cell>
          <cell r="T162">
            <v>18</v>
          </cell>
          <cell r="U162">
            <v>10.5</v>
          </cell>
          <cell r="V162">
            <v>8.3330000000000001E-2</v>
          </cell>
          <cell r="W162">
            <v>3</v>
          </cell>
        </row>
        <row r="163">
          <cell r="A163" t="str">
            <v>S-2026-03-09</v>
          </cell>
          <cell r="B163"/>
          <cell r="C163" t="str">
            <v>RPRO-260303-0013</v>
          </cell>
          <cell r="D163" t="str">
            <v>PUR2603020002S</v>
          </cell>
          <cell r="E163" t="str">
            <v>BDB-000317</v>
          </cell>
          <cell r="F163" t="str">
            <v>PVN-004293</v>
          </cell>
          <cell r="G163" t="str">
            <v>OrthoLite Regular NEUTRAL GRAY/17-4402TPX Flat Sheet 0.13D 15+/-4 Asker C 1.1M 2M 22mm</v>
          </cell>
          <cell r="H163">
            <v>20</v>
          </cell>
          <cell r="I163">
            <v>20</v>
          </cell>
          <cell r="J163">
            <v>20</v>
          </cell>
          <cell r="K163">
            <v>0</v>
          </cell>
          <cell r="L163" t="str">
            <v>TRAVIS MATHEW</v>
          </cell>
          <cell r="M163" t="str">
            <v>SAMPLE</v>
          </cell>
          <cell r="N163" t="str">
            <v>OV-0450</v>
          </cell>
          <cell r="O163" t="str">
            <v>Sample</v>
          </cell>
          <cell r="P163">
            <v>46083</v>
          </cell>
          <cell r="Q163">
            <v>46101</v>
          </cell>
          <cell r="R163">
            <v>46098</v>
          </cell>
          <cell r="S163">
            <v>6</v>
          </cell>
          <cell r="T163">
            <v>18</v>
          </cell>
          <cell r="U163">
            <v>22</v>
          </cell>
          <cell r="V163">
            <v>0.16667000000000001</v>
          </cell>
          <cell r="W163">
            <v>4</v>
          </cell>
        </row>
        <row r="164">
          <cell r="A164" t="str">
            <v>S-2026-03-10</v>
          </cell>
          <cell r="B164"/>
          <cell r="C164" t="str">
            <v>RPRO-260303-0014</v>
          </cell>
          <cell r="D164" t="str">
            <v>PUR2603020002S</v>
          </cell>
          <cell r="E164" t="str">
            <v>BDB-000004</v>
          </cell>
          <cell r="F164" t="str">
            <v>PVN-004316</v>
          </cell>
          <cell r="G164" t="str">
            <v>OrthoLite Regular GREY/17-1501TPX 0.11D 25+/-4 Asker C 1.1M 2M 22mm</v>
          </cell>
          <cell r="H164">
            <v>20</v>
          </cell>
          <cell r="I164">
            <v>20</v>
          </cell>
          <cell r="J164">
            <v>20</v>
          </cell>
          <cell r="K164">
            <v>0</v>
          </cell>
          <cell r="L164" t="str">
            <v>TRAVIS MATHEW</v>
          </cell>
          <cell r="M164" t="str">
            <v>SAMPLE</v>
          </cell>
          <cell r="N164" t="str">
            <v>OV-0450</v>
          </cell>
          <cell r="O164" t="str">
            <v>Sample</v>
          </cell>
          <cell r="P164">
            <v>46083</v>
          </cell>
          <cell r="Q164">
            <v>46101</v>
          </cell>
          <cell r="R164">
            <v>46098</v>
          </cell>
          <cell r="S164">
            <v>6</v>
          </cell>
          <cell r="T164">
            <v>18</v>
          </cell>
          <cell r="U164">
            <v>22</v>
          </cell>
          <cell r="V164">
            <v>0.16667000000000001</v>
          </cell>
          <cell r="W164">
            <v>4</v>
          </cell>
        </row>
        <row r="165">
          <cell r="A165" t="str">
            <v>S-2026-03-11</v>
          </cell>
          <cell r="B165"/>
          <cell r="C165" t="str">
            <v>RPRO-260313-0139</v>
          </cell>
          <cell r="D165" t="str">
            <v>thuy.tao@ortholite.vn</v>
          </cell>
          <cell r="E165" t="str">
            <v>BDB-000371</v>
          </cell>
          <cell r="F165" t="str">
            <v>PVN-004297</v>
          </cell>
          <cell r="G165" t="str">
            <v>OrthoLite SloMo LIME GREEN/14-0452TPX Flat Sheet 0.085D 5-10 Asker C 1.1M 2M 12mm</v>
          </cell>
          <cell r="H165">
            <v>5</v>
          </cell>
          <cell r="I165">
            <v>5</v>
          </cell>
          <cell r="J165">
            <v>5</v>
          </cell>
          <cell r="K165">
            <v>0</v>
          </cell>
          <cell r="L165" t="str">
            <v>On running</v>
          </cell>
          <cell r="M165" t="str">
            <v>INSOLE/ MOLDED/ FLAT SHEET or DIE CUT</v>
          </cell>
          <cell r="N165"/>
          <cell r="O165" t="str">
            <v>Sample</v>
          </cell>
          <cell r="P165">
            <v>46083</v>
          </cell>
          <cell r="Q165">
            <v>46104</v>
          </cell>
          <cell r="R165">
            <v>46101</v>
          </cell>
          <cell r="S165">
            <v>6</v>
          </cell>
          <cell r="T165">
            <v>21</v>
          </cell>
          <cell r="U165">
            <v>12</v>
          </cell>
          <cell r="V165">
            <v>9.0910000000000005E-2</v>
          </cell>
          <cell r="W165">
            <v>1</v>
          </cell>
        </row>
        <row r="166">
          <cell r="A166" t="str">
            <v>S-2026-03-12</v>
          </cell>
          <cell r="B166"/>
          <cell r="C166" t="str">
            <v>RPRO-260313-0140</v>
          </cell>
          <cell r="D166" t="str">
            <v>thuy.tao@ortholite.vn</v>
          </cell>
          <cell r="E166" t="str">
            <v>BDB-000371</v>
          </cell>
          <cell r="F166" t="str">
            <v>PVN-004298</v>
          </cell>
          <cell r="G166" t="str">
            <v>OrthoLite SloMo LIME GREEN/14-0452TPX Flat Sheet 0.085D 5-10 Asker C 1.1M 2M 8mm</v>
          </cell>
          <cell r="H166">
            <v>5</v>
          </cell>
          <cell r="I166">
            <v>5</v>
          </cell>
          <cell r="J166">
            <v>5</v>
          </cell>
          <cell r="K166">
            <v>0</v>
          </cell>
          <cell r="L166" t="str">
            <v>On running</v>
          </cell>
          <cell r="M166" t="str">
            <v>INSOLE/ MOLDED/ FLAT SHEET or DIE CUT</v>
          </cell>
          <cell r="N166"/>
          <cell r="O166" t="str">
            <v>Sample</v>
          </cell>
          <cell r="P166">
            <v>46083</v>
          </cell>
          <cell r="Q166">
            <v>46104</v>
          </cell>
          <cell r="R166">
            <v>46101</v>
          </cell>
          <cell r="S166">
            <v>6</v>
          </cell>
          <cell r="T166">
            <v>21</v>
          </cell>
          <cell r="U166">
            <v>8</v>
          </cell>
          <cell r="V166">
            <v>5.8819999999999997E-2</v>
          </cell>
          <cell r="W166">
            <v>1</v>
          </cell>
        </row>
        <row r="167">
          <cell r="A167" t="str">
            <v>S-2026-03-13</v>
          </cell>
          <cell r="B167"/>
          <cell r="C167" t="str">
            <v>RPRO-260313-0141</v>
          </cell>
          <cell r="D167" t="str">
            <v>thuy.tao@ortholite.vn</v>
          </cell>
          <cell r="E167" t="str">
            <v>BDB-000371</v>
          </cell>
          <cell r="F167" t="str">
            <v>PVN-004299</v>
          </cell>
          <cell r="G167" t="str">
            <v>OrthoLite SloMo LIME GREEN/14-0452TPX Flat Sheet 0.085D 5-10 Asker C 1.1M 2M 6mm</v>
          </cell>
          <cell r="H167">
            <v>5</v>
          </cell>
          <cell r="I167">
            <v>5</v>
          </cell>
          <cell r="J167">
            <v>5</v>
          </cell>
          <cell r="K167">
            <v>0</v>
          </cell>
          <cell r="L167" t="str">
            <v>On running</v>
          </cell>
          <cell r="M167" t="str">
            <v>INSOLE/ MOLDED/ FLAT SHEET or DIE CUT</v>
          </cell>
          <cell r="N167"/>
          <cell r="O167" t="str">
            <v>Sample</v>
          </cell>
          <cell r="P167">
            <v>46083</v>
          </cell>
          <cell r="Q167">
            <v>46104</v>
          </cell>
          <cell r="R167">
            <v>46101</v>
          </cell>
          <cell r="S167">
            <v>6</v>
          </cell>
          <cell r="T167">
            <v>21</v>
          </cell>
          <cell r="U167">
            <v>6</v>
          </cell>
          <cell r="V167">
            <v>4.3479999999999998E-2</v>
          </cell>
          <cell r="W167">
            <v>1</v>
          </cell>
        </row>
        <row r="168">
          <cell r="A168" t="str">
            <v>S-2026-03-14</v>
          </cell>
          <cell r="B168" t="str">
            <v>gấp 11/3</v>
          </cell>
          <cell r="C168" t="str">
            <v>RPRO-260306-1546</v>
          </cell>
          <cell r="D168" t="str">
            <v>PUR-202603030002S</v>
          </cell>
          <cell r="E168" t="str">
            <v>BDB-000113</v>
          </cell>
          <cell r="F168" t="str">
            <v>PVN-002887</v>
          </cell>
          <cell r="G168" t="str">
            <v>OrthoLite Regular-Hybrid SEEDPEARL/12-0703TPX Hybrid Flat Sheet 0.11D 25+/-4 Asker C 1.1M 2M 5.5mm</v>
          </cell>
          <cell r="H168">
            <v>40</v>
          </cell>
          <cell r="I168">
            <v>40</v>
          </cell>
          <cell r="J168">
            <v>40</v>
          </cell>
          <cell r="K168">
            <v>0</v>
          </cell>
          <cell r="L168" t="str">
            <v>ASICS</v>
          </cell>
          <cell r="M168" t="str">
            <v>Sample</v>
          </cell>
          <cell r="N168" t="str">
            <v>DIE-CUT</v>
          </cell>
          <cell r="O168" t="str">
            <v>Sample</v>
          </cell>
          <cell r="P168">
            <v>46084</v>
          </cell>
          <cell r="Q168">
            <v>46092</v>
          </cell>
          <cell r="R168">
            <v>46089</v>
          </cell>
          <cell r="S168">
            <v>6</v>
          </cell>
          <cell r="T168">
            <v>8</v>
          </cell>
          <cell r="U168">
            <v>5.5</v>
          </cell>
          <cell r="V168">
            <v>0.04</v>
          </cell>
          <cell r="W168">
            <v>2</v>
          </cell>
        </row>
        <row r="169">
          <cell r="A169" t="str">
            <v>S-2026-03-15</v>
          </cell>
          <cell r="B169"/>
          <cell r="C169" t="str">
            <v>RPRO-260306-1547</v>
          </cell>
          <cell r="D169" t="str">
            <v>PUR260030400001S</v>
          </cell>
          <cell r="E169" t="str">
            <v>BDB-000129</v>
          </cell>
          <cell r="F169" t="str">
            <v>PVN-001550</v>
          </cell>
          <cell r="G169" t="str">
            <v>OrthoLite Regular-Nike AIR BLUE/16-4134TPX Flat Sheet 0.11D 25+/-4 Asker C 1.1M 1.7M 2mm</v>
          </cell>
          <cell r="H169">
            <v>50</v>
          </cell>
          <cell r="I169">
            <v>50</v>
          </cell>
          <cell r="J169">
            <v>50</v>
          </cell>
          <cell r="K169">
            <v>0</v>
          </cell>
          <cell r="L169" t="str">
            <v>NIKE</v>
          </cell>
          <cell r="M169" t="str">
            <v>Sample</v>
          </cell>
          <cell r="N169" t="str">
            <v>DIE CUT</v>
          </cell>
          <cell r="O169" t="str">
            <v>Sample</v>
          </cell>
          <cell r="P169">
            <v>46085</v>
          </cell>
          <cell r="Q169">
            <v>46102</v>
          </cell>
          <cell r="R169">
            <v>46099</v>
          </cell>
          <cell r="S169">
            <v>6</v>
          </cell>
          <cell r="T169">
            <v>17</v>
          </cell>
          <cell r="U169">
            <v>2</v>
          </cell>
          <cell r="V169">
            <v>1.4290000000000001E-2</v>
          </cell>
          <cell r="W169">
            <v>1</v>
          </cell>
        </row>
        <row r="170">
          <cell r="A170" t="str">
            <v>S-2026-03-16</v>
          </cell>
          <cell r="B170"/>
          <cell r="C170" t="str">
            <v>RPRO-260306-1548</v>
          </cell>
          <cell r="D170" t="str">
            <v>PUR260030400001S</v>
          </cell>
          <cell r="E170" t="str">
            <v>BDB-000162</v>
          </cell>
          <cell r="F170" t="str">
            <v>PVN-001566</v>
          </cell>
          <cell r="G170" t="str">
            <v>OrthoLite Ultra-Nike SEEDPEARL/12-0703TPX Flat Sheet 0.085D 25+/-4 Asker C 1.1M 2M 4mm</v>
          </cell>
          <cell r="H170">
            <v>50</v>
          </cell>
          <cell r="I170">
            <v>50</v>
          </cell>
          <cell r="J170">
            <v>50</v>
          </cell>
          <cell r="K170">
            <v>0</v>
          </cell>
          <cell r="L170" t="str">
            <v>NIKE</v>
          </cell>
          <cell r="M170" t="str">
            <v>Sample</v>
          </cell>
          <cell r="N170" t="str">
            <v>DIE CUT</v>
          </cell>
          <cell r="O170" t="str">
            <v>Sample</v>
          </cell>
          <cell r="P170">
            <v>46085</v>
          </cell>
          <cell r="Q170">
            <v>46102</v>
          </cell>
          <cell r="R170">
            <v>46099</v>
          </cell>
          <cell r="S170">
            <v>6</v>
          </cell>
          <cell r="T170">
            <v>17</v>
          </cell>
          <cell r="U170">
            <v>4</v>
          </cell>
          <cell r="V170">
            <v>2.8570000000000002E-2</v>
          </cell>
          <cell r="W170">
            <v>2</v>
          </cell>
        </row>
        <row r="171">
          <cell r="A171" t="str">
            <v>S-2026-03-17</v>
          </cell>
          <cell r="B171"/>
          <cell r="C171" t="str">
            <v>RPRO-260306-1549</v>
          </cell>
          <cell r="D171" t="str">
            <v>PUR260030400001S</v>
          </cell>
          <cell r="E171" t="str">
            <v>BDB-000157</v>
          </cell>
          <cell r="F171" t="str">
            <v>PVN-003573</v>
          </cell>
          <cell r="G171" t="str">
            <v>OrthoLite X-35-Hybrid-Nike SEEDPEARL/12-0703TPX Hybrid Flat Sheet 0.145D 25+/-4 Asker C 1.1M 2M 4.2mm</v>
          </cell>
          <cell r="H171">
            <v>50</v>
          </cell>
          <cell r="I171">
            <v>50</v>
          </cell>
          <cell r="J171">
            <v>50</v>
          </cell>
          <cell r="K171">
            <v>0</v>
          </cell>
          <cell r="L171" t="str">
            <v>NIKE</v>
          </cell>
          <cell r="M171" t="str">
            <v>Sample</v>
          </cell>
          <cell r="N171" t="str">
            <v>MOLDED</v>
          </cell>
          <cell r="O171" t="str">
            <v>Sample</v>
          </cell>
          <cell r="P171">
            <v>46085</v>
          </cell>
          <cell r="Q171">
            <v>46102</v>
          </cell>
          <cell r="R171">
            <v>46099</v>
          </cell>
          <cell r="S171">
            <v>6</v>
          </cell>
          <cell r="T171">
            <v>17</v>
          </cell>
          <cell r="U171">
            <v>4.2</v>
          </cell>
          <cell r="V171">
            <v>3.0300000000000001E-2</v>
          </cell>
          <cell r="W171">
            <v>2</v>
          </cell>
        </row>
        <row r="172">
          <cell r="A172" t="str">
            <v>S-2026-03-18</v>
          </cell>
          <cell r="B172"/>
          <cell r="C172" t="str">
            <v>RPRO-260306-1550</v>
          </cell>
          <cell r="D172" t="str">
            <v>PUR260030400001S</v>
          </cell>
          <cell r="E172" t="str">
            <v>BDB-000131</v>
          </cell>
          <cell r="F172" t="str">
            <v>PVN-001565</v>
          </cell>
          <cell r="G172" t="str">
            <v>OrthoLite Regular-Nike AIR BLUE/16-4134TPX Flat Sheet 0.11D 15+/-4 Asker C 1.1M 2M 4mm</v>
          </cell>
          <cell r="H172">
            <v>50</v>
          </cell>
          <cell r="I172">
            <v>50</v>
          </cell>
          <cell r="J172">
            <v>50</v>
          </cell>
          <cell r="K172">
            <v>0</v>
          </cell>
          <cell r="L172" t="str">
            <v>NIKE</v>
          </cell>
          <cell r="M172" t="str">
            <v>Sample</v>
          </cell>
          <cell r="N172" t="str">
            <v>DIE CUT</v>
          </cell>
          <cell r="O172" t="str">
            <v>Sample</v>
          </cell>
          <cell r="P172">
            <v>46085</v>
          </cell>
          <cell r="Q172">
            <v>46102</v>
          </cell>
          <cell r="R172">
            <v>46099</v>
          </cell>
          <cell r="S172">
            <v>6</v>
          </cell>
          <cell r="T172">
            <v>17</v>
          </cell>
          <cell r="U172">
            <v>4</v>
          </cell>
          <cell r="V172">
            <v>2.8570000000000002E-2</v>
          </cell>
          <cell r="W172">
            <v>2</v>
          </cell>
        </row>
        <row r="173">
          <cell r="A173" t="str">
            <v>S-2026-03-19</v>
          </cell>
          <cell r="B173"/>
          <cell r="C173" t="str">
            <v>RPRO-260306-1551</v>
          </cell>
          <cell r="D173" t="str">
            <v>PUR260030400001S</v>
          </cell>
          <cell r="E173" t="str">
            <v>BDB-000175</v>
          </cell>
          <cell r="F173" t="str">
            <v>PVN-002966</v>
          </cell>
          <cell r="G173" t="str">
            <v>OrthoLite Ultra-Hybrid-Nike SEEDPEARL/12-0703TPX Hybrid Flat Sheet 0.085D 25+/-4 Asker C 1.1M 2M 4mm</v>
          </cell>
          <cell r="H173">
            <v>40</v>
          </cell>
          <cell r="I173">
            <v>40</v>
          </cell>
          <cell r="J173">
            <v>40</v>
          </cell>
          <cell r="K173">
            <v>0</v>
          </cell>
          <cell r="L173" t="str">
            <v>NIKE</v>
          </cell>
          <cell r="M173" t="str">
            <v>Sample</v>
          </cell>
          <cell r="N173" t="str">
            <v>DIE CUT</v>
          </cell>
          <cell r="O173" t="str">
            <v>Sample</v>
          </cell>
          <cell r="P173">
            <v>46085</v>
          </cell>
          <cell r="Q173">
            <v>46102</v>
          </cell>
          <cell r="R173">
            <v>46099</v>
          </cell>
          <cell r="S173">
            <v>6</v>
          </cell>
          <cell r="T173">
            <v>17</v>
          </cell>
          <cell r="U173">
            <v>4</v>
          </cell>
          <cell r="V173">
            <v>2.8570000000000002E-2</v>
          </cell>
          <cell r="W173">
            <v>2</v>
          </cell>
        </row>
        <row r="174">
          <cell r="A174" t="str">
            <v>S-2026-03-20</v>
          </cell>
          <cell r="B174"/>
          <cell r="C174" t="str">
            <v>RPRO-260306-1552</v>
          </cell>
          <cell r="D174" t="str">
            <v>PUR260030400001S</v>
          </cell>
          <cell r="E174" t="str">
            <v>BDB-000125</v>
          </cell>
          <cell r="F174" t="str">
            <v>PVN-002413</v>
          </cell>
          <cell r="G174" t="str">
            <v>OrthoLite Regular-Nike AIR BLUE/16-4134TPX Flat Sheet 0.11D 25+/-4 Asker C 1.1M 2M 4.2mm</v>
          </cell>
          <cell r="H174">
            <v>50</v>
          </cell>
          <cell r="I174">
            <v>50</v>
          </cell>
          <cell r="J174">
            <v>50</v>
          </cell>
          <cell r="K174">
            <v>0</v>
          </cell>
          <cell r="L174" t="str">
            <v>NIKE</v>
          </cell>
          <cell r="M174" t="str">
            <v>Sample</v>
          </cell>
          <cell r="N174" t="str">
            <v>MOLDED</v>
          </cell>
          <cell r="O174" t="str">
            <v>Sample</v>
          </cell>
          <cell r="P174">
            <v>46085</v>
          </cell>
          <cell r="Q174">
            <v>46102</v>
          </cell>
          <cell r="R174">
            <v>46099</v>
          </cell>
          <cell r="S174">
            <v>6</v>
          </cell>
          <cell r="T174">
            <v>17</v>
          </cell>
          <cell r="U174">
            <v>4.2</v>
          </cell>
          <cell r="V174">
            <v>3.0300000000000001E-2</v>
          </cell>
          <cell r="W174">
            <v>2</v>
          </cell>
        </row>
        <row r="175">
          <cell r="A175" t="str">
            <v>S-2026-03-21</v>
          </cell>
          <cell r="B175"/>
          <cell r="C175" t="str">
            <v>RPRO-260306-1553</v>
          </cell>
          <cell r="D175" t="str">
            <v>PUR260030400001S</v>
          </cell>
          <cell r="E175" t="str">
            <v>BDB-000259</v>
          </cell>
          <cell r="F175" t="str">
            <v>PVN-003684</v>
          </cell>
          <cell r="G175" t="str">
            <v>OrthoLite Nike PP002 GLACIER GRAY/14-4102TPX Flat Sheet 0.145D 25+/-4 asker C 1.1M 2M 4.2mm</v>
          </cell>
          <cell r="H175">
            <v>40</v>
          </cell>
          <cell r="I175">
            <v>40</v>
          </cell>
          <cell r="J175">
            <v>40</v>
          </cell>
          <cell r="K175">
            <v>0</v>
          </cell>
          <cell r="L175" t="str">
            <v>NIKE</v>
          </cell>
          <cell r="M175" t="str">
            <v>Sample</v>
          </cell>
          <cell r="N175" t="str">
            <v>MOLDED</v>
          </cell>
          <cell r="O175" t="str">
            <v>Sample</v>
          </cell>
          <cell r="P175">
            <v>46085</v>
          </cell>
          <cell r="Q175">
            <v>46102</v>
          </cell>
          <cell r="R175">
            <v>46099</v>
          </cell>
          <cell r="S175">
            <v>6</v>
          </cell>
          <cell r="T175">
            <v>17</v>
          </cell>
          <cell r="U175">
            <v>4.2</v>
          </cell>
          <cell r="V175">
            <v>3.0300000000000001E-2</v>
          </cell>
          <cell r="W175">
            <v>2</v>
          </cell>
        </row>
        <row r="176">
          <cell r="A176" t="str">
            <v>S-2026-03-22</v>
          </cell>
          <cell r="B176"/>
          <cell r="C176" t="str">
            <v>RPRO-260306-1554</v>
          </cell>
          <cell r="D176" t="str">
            <v>PUR260030400001S</v>
          </cell>
          <cell r="E176" t="str">
            <v>BDB-000221</v>
          </cell>
          <cell r="F176" t="str">
            <v>PVN-004053</v>
          </cell>
          <cell r="G176" t="str">
            <v>OrthoLite X-40-Hybrid-Nike SEEDPEARL/12-0703TPX Hybrid Flat Sheet 0.16D 25+/-4 Asker C 1.1M 1.7M 6mm</v>
          </cell>
          <cell r="H176">
            <v>30</v>
          </cell>
          <cell r="I176">
            <v>30</v>
          </cell>
          <cell r="J176">
            <v>30</v>
          </cell>
          <cell r="K176">
            <v>0</v>
          </cell>
          <cell r="L176" t="str">
            <v>NIKE</v>
          </cell>
          <cell r="M176" t="str">
            <v>Sample</v>
          </cell>
          <cell r="N176" t="str">
            <v>MOLDED</v>
          </cell>
          <cell r="O176" t="str">
            <v>Sample</v>
          </cell>
          <cell r="P176">
            <v>46085</v>
          </cell>
          <cell r="Q176">
            <v>46102</v>
          </cell>
          <cell r="R176">
            <v>46099</v>
          </cell>
          <cell r="S176">
            <v>6</v>
          </cell>
          <cell r="T176">
            <v>17</v>
          </cell>
          <cell r="U176">
            <v>6</v>
          </cell>
          <cell r="V176">
            <v>4.3479999999999998E-2</v>
          </cell>
          <cell r="W176">
            <v>2</v>
          </cell>
        </row>
        <row r="177">
          <cell r="A177" t="str">
            <v>S-2026-03-23</v>
          </cell>
          <cell r="B177"/>
          <cell r="C177" t="str">
            <v>RPRO-260306-1555</v>
          </cell>
          <cell r="D177" t="str">
            <v>PUR260030400001S</v>
          </cell>
          <cell r="E177" t="str">
            <v>BDB-000143</v>
          </cell>
          <cell r="F177" t="str">
            <v>PVN-002066</v>
          </cell>
          <cell r="G177" t="str">
            <v>OrthoLite Regular-Nike SEEDPEARL/12-0703TPX Flat Sheet 0.11D 25+/-4 Asker C 1.1M 1.7M 2mm</v>
          </cell>
          <cell r="H177">
            <v>30</v>
          </cell>
          <cell r="I177">
            <v>30</v>
          </cell>
          <cell r="J177">
            <v>30</v>
          </cell>
          <cell r="K177">
            <v>0</v>
          </cell>
          <cell r="L177" t="str">
            <v>NIKE</v>
          </cell>
          <cell r="M177" t="str">
            <v>Sample</v>
          </cell>
          <cell r="N177" t="str">
            <v>MOLDED</v>
          </cell>
          <cell r="O177" t="str">
            <v>Sample</v>
          </cell>
          <cell r="P177">
            <v>46085</v>
          </cell>
          <cell r="Q177">
            <v>46103</v>
          </cell>
          <cell r="R177">
            <v>46100</v>
          </cell>
          <cell r="S177">
            <v>6</v>
          </cell>
          <cell r="T177">
            <v>18</v>
          </cell>
          <cell r="U177">
            <v>2</v>
          </cell>
          <cell r="V177">
            <v>1.4290000000000001E-2</v>
          </cell>
          <cell r="W177">
            <v>1</v>
          </cell>
        </row>
        <row r="178">
          <cell r="A178" t="str">
            <v>S-2026-03-24</v>
          </cell>
          <cell r="B178"/>
          <cell r="C178" t="str">
            <v>RPRO-260306-1556</v>
          </cell>
          <cell r="D178" t="str">
            <v>PUR260030400001S</v>
          </cell>
          <cell r="E178" t="str">
            <v>BDB-000373</v>
          </cell>
          <cell r="F178" t="str">
            <v>PVN-004315</v>
          </cell>
          <cell r="G178" t="str">
            <v>OrthoLite X-25-Nike BILLIARD/16-5427TPX Flat Sheet 0.12D 20+/-4 Asker C 1.1M 2M 5mm</v>
          </cell>
          <cell r="H178">
            <v>30</v>
          </cell>
          <cell r="I178">
            <v>30</v>
          </cell>
          <cell r="J178">
            <v>30</v>
          </cell>
          <cell r="K178">
            <v>0</v>
          </cell>
          <cell r="L178" t="str">
            <v>NIKE</v>
          </cell>
          <cell r="M178" t="str">
            <v>Sample</v>
          </cell>
          <cell r="N178" t="str">
            <v>DIE CUT</v>
          </cell>
          <cell r="O178" t="str">
            <v>Sample</v>
          </cell>
          <cell r="P178">
            <v>46085</v>
          </cell>
          <cell r="Q178">
            <v>46103</v>
          </cell>
          <cell r="R178">
            <v>46100</v>
          </cell>
          <cell r="S178">
            <v>6</v>
          </cell>
          <cell r="T178">
            <v>18</v>
          </cell>
          <cell r="U178">
            <v>5</v>
          </cell>
          <cell r="V178">
            <v>3.5709999999999999E-2</v>
          </cell>
          <cell r="W178">
            <v>2</v>
          </cell>
        </row>
        <row r="179">
          <cell r="A179" t="str">
            <v>S-2026-03-25</v>
          </cell>
          <cell r="B179" t="str">
            <v xml:space="preserve">gấp đôn ETD càng sớm càng tốt </v>
          </cell>
          <cell r="C179" t="str">
            <v>RPRO-260306-1557</v>
          </cell>
          <cell r="D179" t="str">
            <v>PUR260030400001S</v>
          </cell>
          <cell r="E179" t="str">
            <v>BDB-000375</v>
          </cell>
          <cell r="F179" t="str">
            <v>PVN-004319</v>
          </cell>
          <cell r="G179" t="str">
            <v>OrthoLite X-25-Nike SEEDPEARL/12-0703TPX Flat Sheet 0.12D 20+/-4 Asker C 1.1M 2M 4mm</v>
          </cell>
          <cell r="H179">
            <v>30</v>
          </cell>
          <cell r="I179">
            <v>30</v>
          </cell>
          <cell r="J179">
            <v>30</v>
          </cell>
          <cell r="K179">
            <v>0</v>
          </cell>
          <cell r="L179" t="str">
            <v>NIKE</v>
          </cell>
          <cell r="M179" t="str">
            <v>Sample</v>
          </cell>
          <cell r="N179" t="str">
            <v>DIE CUT</v>
          </cell>
          <cell r="O179" t="str">
            <v>Sample</v>
          </cell>
          <cell r="P179">
            <v>46085</v>
          </cell>
          <cell r="Q179">
            <v>46101</v>
          </cell>
          <cell r="R179">
            <v>46098</v>
          </cell>
          <cell r="S179">
            <v>6</v>
          </cell>
          <cell r="T179">
            <v>16</v>
          </cell>
          <cell r="U179">
            <v>4</v>
          </cell>
          <cell r="V179">
            <v>2.7779999999999999E-2</v>
          </cell>
          <cell r="W179">
            <v>1</v>
          </cell>
        </row>
        <row r="180">
          <cell r="A180" t="str">
            <v>L-2026-03-26</v>
          </cell>
          <cell r="B180"/>
          <cell r="C180" t="str">
            <v>RPRO-260305-1288</v>
          </cell>
          <cell r="D180" t="str">
            <v>anne.tran@ortholite.vn</v>
          </cell>
          <cell r="E180" t="str">
            <v>BDB-000113</v>
          </cell>
          <cell r="F180" t="str">
            <v>PVN-002699</v>
          </cell>
          <cell r="G180" t="str">
            <v>OrthoLite Regular-Hybrid SEEDPEARL/12-0703TPX Hybrid Flat Sheet 0.11D 25+/-4 Asker C 1.1M 2M 4.5mm</v>
          </cell>
          <cell r="H180">
            <v>2</v>
          </cell>
          <cell r="I180">
            <v>2</v>
          </cell>
          <cell r="J180">
            <v>2</v>
          </cell>
          <cell r="K180">
            <v>0</v>
          </cell>
          <cell r="L180" t="str">
            <v>PT. SHYANG HUNG TAH</v>
          </cell>
          <cell r="M180" t="str">
            <v xml:space="preserve">Lab test </v>
          </cell>
          <cell r="N180"/>
          <cell r="O180" t="str">
            <v>Lab test</v>
          </cell>
          <cell r="P180">
            <v>46086</v>
          </cell>
          <cell r="Q180">
            <v>46091</v>
          </cell>
          <cell r="R180">
            <v>46088</v>
          </cell>
          <cell r="S180">
            <v>6</v>
          </cell>
          <cell r="T180">
            <v>5</v>
          </cell>
          <cell r="U180">
            <v>4.5</v>
          </cell>
          <cell r="V180">
            <v>3.2259999999999997E-2</v>
          </cell>
          <cell r="W180">
            <v>1</v>
          </cell>
        </row>
        <row r="181">
          <cell r="A181" t="str">
            <v>S-2026-03-27</v>
          </cell>
          <cell r="B181" t="str">
            <v>đôn ETD 17/3</v>
          </cell>
          <cell r="C181" t="str">
            <v>RPRO-260306-1558</v>
          </cell>
          <cell r="D181" t="str">
            <v>PUR260030500001S</v>
          </cell>
          <cell r="E181" t="str">
            <v>BDB-000141</v>
          </cell>
          <cell r="F181" t="str">
            <v>PVN-001851</v>
          </cell>
          <cell r="G181" t="str">
            <v>OrthoLite Regular-Nike NEUTRAL GRAY/17-4402TPX 0.11D 25+/-4 Asker C 1.1M 2M 5mm</v>
          </cell>
          <cell r="H181">
            <v>50</v>
          </cell>
          <cell r="I181">
            <v>50</v>
          </cell>
          <cell r="J181">
            <v>50</v>
          </cell>
          <cell r="K181">
            <v>0</v>
          </cell>
          <cell r="L181" t="str">
            <v>NIKE</v>
          </cell>
          <cell r="M181" t="str">
            <v>Sample</v>
          </cell>
          <cell r="N181" t="str">
            <v>DIE CUT</v>
          </cell>
          <cell r="O181" t="str">
            <v>Sample</v>
          </cell>
          <cell r="P181">
            <v>46086</v>
          </cell>
          <cell r="Q181">
            <v>46098</v>
          </cell>
          <cell r="R181">
            <v>46095</v>
          </cell>
          <cell r="S181">
            <v>6</v>
          </cell>
          <cell r="T181">
            <v>12</v>
          </cell>
          <cell r="U181">
            <v>5</v>
          </cell>
          <cell r="V181">
            <v>3.5709999999999999E-2</v>
          </cell>
          <cell r="W181">
            <v>2</v>
          </cell>
        </row>
        <row r="182">
          <cell r="A182" t="str">
            <v>S-2026-03-28</v>
          </cell>
          <cell r="B182"/>
          <cell r="C182" t="str">
            <v>RPRO-260306-1559</v>
          </cell>
          <cell r="D182" t="str">
            <v>PUR-202603060001S</v>
          </cell>
          <cell r="E182" t="str">
            <v>BDB-000321</v>
          </cell>
          <cell r="F182" t="str">
            <v>PVN-004239</v>
          </cell>
          <cell r="G182" t="str">
            <v>OrthoLite Float BLUE ATOLL/16-4535TPX Flat Sheet 0.12D 21+/-4 Asker C 1.1M 2M 9.5mm</v>
          </cell>
          <cell r="H182">
            <v>20</v>
          </cell>
          <cell r="I182">
            <v>20</v>
          </cell>
          <cell r="J182">
            <v>20</v>
          </cell>
          <cell r="K182">
            <v>0</v>
          </cell>
          <cell r="L182" t="str">
            <v>GARMONT</v>
          </cell>
          <cell r="M182" t="str">
            <v>Sample</v>
          </cell>
          <cell r="N182" t="str">
            <v>DIE-CUT</v>
          </cell>
          <cell r="O182" t="str">
            <v>Sample</v>
          </cell>
          <cell r="P182">
            <v>46087</v>
          </cell>
          <cell r="Q182">
            <v>46104</v>
          </cell>
          <cell r="R182">
            <v>46101</v>
          </cell>
          <cell r="S182">
            <v>6</v>
          </cell>
          <cell r="T182">
            <v>17</v>
          </cell>
          <cell r="U182">
            <v>9.5</v>
          </cell>
          <cell r="V182">
            <v>7.1429999999999993E-2</v>
          </cell>
          <cell r="W182">
            <v>2</v>
          </cell>
        </row>
        <row r="183">
          <cell r="A183" t="str">
            <v>S-2026-03-29</v>
          </cell>
          <cell r="B183"/>
          <cell r="C183" t="str">
            <v>RPRO-260306-1560</v>
          </cell>
          <cell r="D183" t="str">
            <v>PUR-202603060001S</v>
          </cell>
          <cell r="E183" t="str">
            <v>BDB-000026</v>
          </cell>
          <cell r="F183" t="str">
            <v>PVN-000369</v>
          </cell>
          <cell r="G183" t="str">
            <v>OrthoLite Regular YELLOW/13-0858TPX 0.13D 35+/-4 Asker C 1.1M 2M 2mm</v>
          </cell>
          <cell r="H183">
            <v>20</v>
          </cell>
          <cell r="I183">
            <v>20</v>
          </cell>
          <cell r="J183">
            <v>20</v>
          </cell>
          <cell r="K183">
            <v>0</v>
          </cell>
          <cell r="L183" t="str">
            <v>SALOMON</v>
          </cell>
          <cell r="M183" t="str">
            <v>Sample</v>
          </cell>
          <cell r="N183" t="str">
            <v>MOLDED</v>
          </cell>
          <cell r="O183" t="str">
            <v>Sample</v>
          </cell>
          <cell r="P183">
            <v>46087</v>
          </cell>
          <cell r="Q183">
            <v>46104</v>
          </cell>
          <cell r="R183">
            <v>46101</v>
          </cell>
          <cell r="S183">
            <v>6</v>
          </cell>
          <cell r="T183">
            <v>17</v>
          </cell>
          <cell r="U183">
            <v>2</v>
          </cell>
          <cell r="V183">
            <v>1.4290000000000001E-2</v>
          </cell>
          <cell r="W183">
            <v>1</v>
          </cell>
        </row>
        <row r="184">
          <cell r="A184" t="str">
            <v>S-2026-03-30</v>
          </cell>
          <cell r="B184"/>
          <cell r="C184" t="str">
            <v>RPRO-260306-1561</v>
          </cell>
          <cell r="D184" t="str">
            <v>PUR-202603060001S</v>
          </cell>
          <cell r="E184" t="str">
            <v>BDB-000123</v>
          </cell>
          <cell r="F184" t="str">
            <v>PVN-002973</v>
          </cell>
          <cell r="G184" t="str">
            <v>UltraLite-Hybrid OrthoLite SEEDPEARL/12-0703TPX Hybrid Flat Sheet 0.085D 25+/-4 Asker C 1.1M 2M 4.5mm</v>
          </cell>
          <cell r="H184">
            <v>30</v>
          </cell>
          <cell r="I184">
            <v>30</v>
          </cell>
          <cell r="J184">
            <v>30</v>
          </cell>
          <cell r="K184">
            <v>0</v>
          </cell>
          <cell r="L184" t="str">
            <v>SALOMON</v>
          </cell>
          <cell r="M184" t="str">
            <v>Sample</v>
          </cell>
          <cell r="N184" t="str">
            <v>MOLDED</v>
          </cell>
          <cell r="O184" t="str">
            <v>Sample</v>
          </cell>
          <cell r="P184">
            <v>46087</v>
          </cell>
          <cell r="Q184">
            <v>46104</v>
          </cell>
          <cell r="R184">
            <v>46101</v>
          </cell>
          <cell r="S184">
            <v>6</v>
          </cell>
          <cell r="T184">
            <v>17</v>
          </cell>
          <cell r="U184">
            <v>4.5</v>
          </cell>
          <cell r="V184">
            <v>3.2259999999999997E-2</v>
          </cell>
          <cell r="W184">
            <v>1</v>
          </cell>
        </row>
        <row r="185">
          <cell r="A185" t="str">
            <v>S-2026-03-31</v>
          </cell>
          <cell r="B185"/>
          <cell r="C185" t="str">
            <v>RPRO-260306-1562</v>
          </cell>
          <cell r="D185" t="str">
            <v>PUR-202603060001S</v>
          </cell>
          <cell r="E185" t="str">
            <v>BDB-000117</v>
          </cell>
          <cell r="F185" t="str">
            <v>PVN-003234</v>
          </cell>
          <cell r="G185" t="str">
            <v>OrthoLite X-35-Hybrid SEEDPEARL/12-0703TPX Hybrid Flat Sheet 0.145D 25+/-4 Asker C 1.1M 2M 5.5mm</v>
          </cell>
          <cell r="H185">
            <v>20</v>
          </cell>
          <cell r="I185">
            <v>20</v>
          </cell>
          <cell r="J185">
            <v>20</v>
          </cell>
          <cell r="K185">
            <v>0</v>
          </cell>
          <cell r="L185" t="str">
            <v>PUMA</v>
          </cell>
          <cell r="M185" t="str">
            <v>Sample</v>
          </cell>
          <cell r="N185" t="str">
            <v>MOLDED</v>
          </cell>
          <cell r="O185" t="str">
            <v>Sample</v>
          </cell>
          <cell r="P185">
            <v>46087</v>
          </cell>
          <cell r="Q185">
            <v>46104</v>
          </cell>
          <cell r="R185">
            <v>46101</v>
          </cell>
          <cell r="S185">
            <v>6</v>
          </cell>
          <cell r="T185">
            <v>17</v>
          </cell>
          <cell r="U185">
            <v>5.5</v>
          </cell>
          <cell r="V185">
            <v>0.04</v>
          </cell>
          <cell r="W185">
            <v>1</v>
          </cell>
        </row>
        <row r="186">
          <cell r="A186" t="str">
            <v>S-2026-03-32</v>
          </cell>
          <cell r="B186"/>
          <cell r="C186" t="str">
            <v>RPRO-260306-1563</v>
          </cell>
          <cell r="D186" t="str">
            <v>PUR-202603060001S</v>
          </cell>
          <cell r="E186" t="str">
            <v>BDB-000097</v>
          </cell>
          <cell r="F186" t="str">
            <v>PVN-002478</v>
          </cell>
          <cell r="G186" t="str">
            <v>OrthoLite Eco LT-Hybrid SEEDPEARL/12-0703TPX Hybrid 0.11D 25+/-4 Asker C 1.1M 2M 4mm</v>
          </cell>
          <cell r="H186">
            <v>30</v>
          </cell>
          <cell r="I186">
            <v>30</v>
          </cell>
          <cell r="J186">
            <v>30</v>
          </cell>
          <cell r="K186">
            <v>0</v>
          </cell>
          <cell r="L186" t="str">
            <v>NEW BALANCE</v>
          </cell>
          <cell r="M186" t="str">
            <v>Sample</v>
          </cell>
          <cell r="N186" t="str">
            <v>DIE-CUT</v>
          </cell>
          <cell r="O186" t="str">
            <v>Sample</v>
          </cell>
          <cell r="P186">
            <v>46087</v>
          </cell>
          <cell r="Q186">
            <v>46104</v>
          </cell>
          <cell r="R186">
            <v>46101</v>
          </cell>
          <cell r="S186">
            <v>6</v>
          </cell>
          <cell r="T186">
            <v>17</v>
          </cell>
          <cell r="U186">
            <v>4</v>
          </cell>
          <cell r="V186">
            <v>2.8570000000000002E-2</v>
          </cell>
          <cell r="W186">
            <v>1</v>
          </cell>
        </row>
        <row r="187">
          <cell r="A187" t="str">
            <v>S-2026-03-33</v>
          </cell>
          <cell r="B187"/>
          <cell r="C187" t="str">
            <v>RPRO-260306-1564</v>
          </cell>
          <cell r="D187" t="str">
            <v>PUR2603060002S</v>
          </cell>
          <cell r="E187" t="str">
            <v>BDB-000058</v>
          </cell>
          <cell r="F187" t="str">
            <v>PVN-003894</v>
          </cell>
          <cell r="G187" t="str">
            <v>OrthoLite Ultra GREEN/16-5932TPX Flat Sheet 0.085D 25+/-4 Asker C 1.1M 2M 11mm</v>
          </cell>
          <cell r="H187">
            <v>20</v>
          </cell>
          <cell r="I187">
            <v>20</v>
          </cell>
          <cell r="J187">
            <v>20</v>
          </cell>
          <cell r="K187">
            <v>0</v>
          </cell>
          <cell r="L187" t="str">
            <v>BLACKYAK</v>
          </cell>
          <cell r="M187" t="str">
            <v>Sample</v>
          </cell>
          <cell r="N187" t="str">
            <v>Molded</v>
          </cell>
          <cell r="O187" t="str">
            <v>Sample</v>
          </cell>
          <cell r="P187">
            <v>46087</v>
          </cell>
          <cell r="Q187">
            <v>46104</v>
          </cell>
          <cell r="R187">
            <v>46101</v>
          </cell>
          <cell r="S187">
            <v>6</v>
          </cell>
          <cell r="T187">
            <v>17</v>
          </cell>
          <cell r="U187">
            <v>11</v>
          </cell>
          <cell r="V187">
            <v>8.3330000000000001E-2</v>
          </cell>
          <cell r="W187">
            <v>2</v>
          </cell>
        </row>
        <row r="188">
          <cell r="A188" t="str">
            <v>S-2026-03-34</v>
          </cell>
          <cell r="B188"/>
          <cell r="C188" t="str">
            <v>RPRO-260306-1565</v>
          </cell>
          <cell r="D188" t="str">
            <v>PUR2603060002S</v>
          </cell>
          <cell r="E188" t="str">
            <v>BDB-000321</v>
          </cell>
          <cell r="F188" t="str">
            <v>PVN-004179</v>
          </cell>
          <cell r="G188" t="str">
            <v>OrthoLite Float BLUE ATOLL/16-4535TPX Flat Sheet 0.12D 21+/-4 Asker C 1.1M 2M 10mm</v>
          </cell>
          <cell r="H188">
            <v>50</v>
          </cell>
          <cell r="I188">
            <v>50</v>
          </cell>
          <cell r="J188">
            <v>50</v>
          </cell>
          <cell r="K188">
            <v>0</v>
          </cell>
          <cell r="L188" t="str">
            <v>DESCENTE</v>
          </cell>
          <cell r="M188" t="str">
            <v>Sample</v>
          </cell>
          <cell r="N188" t="str">
            <v>Die cut</v>
          </cell>
          <cell r="O188" t="str">
            <v>Sample</v>
          </cell>
          <cell r="P188">
            <v>46087</v>
          </cell>
          <cell r="Q188">
            <v>46104</v>
          </cell>
          <cell r="R188">
            <v>46101</v>
          </cell>
          <cell r="S188">
            <v>6</v>
          </cell>
          <cell r="T188">
            <v>17</v>
          </cell>
          <cell r="U188">
            <v>10</v>
          </cell>
          <cell r="V188">
            <v>7.6920000000000002E-2</v>
          </cell>
          <cell r="W188">
            <v>4</v>
          </cell>
        </row>
        <row r="189">
          <cell r="A189" t="str">
            <v>S-2026-03-35</v>
          </cell>
          <cell r="B189"/>
          <cell r="C189" t="str">
            <v>RPRO-260306-1566</v>
          </cell>
          <cell r="D189" t="str">
            <v>PUR2603060002S</v>
          </cell>
          <cell r="E189" t="str">
            <v>BDB-000056</v>
          </cell>
          <cell r="F189" t="str">
            <v>PVN-003954</v>
          </cell>
          <cell r="G189" t="str">
            <v>OrthoLite X-40 SEEDPEARL/12-0703TPX Flat Sheet 0.16D 25+/-4 Asker C 1.1M 1.7M 4mm</v>
          </cell>
          <cell r="H189">
            <v>50</v>
          </cell>
          <cell r="I189">
            <v>50</v>
          </cell>
          <cell r="J189">
            <v>50</v>
          </cell>
          <cell r="K189">
            <v>0</v>
          </cell>
          <cell r="L189" t="str">
            <v>ADIDAS</v>
          </cell>
          <cell r="M189" t="str">
            <v>SSO-2603-00384 - URGENGT (3-12)</v>
          </cell>
          <cell r="N189" t="str">
            <v>Flat sheet</v>
          </cell>
          <cell r="O189" t="str">
            <v>Sample</v>
          </cell>
          <cell r="P189">
            <v>46087</v>
          </cell>
          <cell r="Q189">
            <v>46093</v>
          </cell>
          <cell r="R189">
            <v>46090</v>
          </cell>
          <cell r="S189">
            <v>6</v>
          </cell>
          <cell r="T189">
            <v>6</v>
          </cell>
          <cell r="U189">
            <v>4</v>
          </cell>
          <cell r="V189">
            <v>2.8570000000000002E-2</v>
          </cell>
          <cell r="W189">
            <v>2</v>
          </cell>
        </row>
        <row r="190">
          <cell r="A190" t="str">
            <v>S-2026-03-36</v>
          </cell>
          <cell r="B190"/>
          <cell r="C190" t="str">
            <v>RPRO-260307-0080</v>
          </cell>
          <cell r="D190" t="str">
            <v>PUR2603060002S</v>
          </cell>
          <cell r="E190" t="str">
            <v>BDB-000376</v>
          </cell>
          <cell r="F190" t="str">
            <v>PVN-004323</v>
          </cell>
          <cell r="G190" t="str">
            <v>OrthoLite Regular BLACK/19-4007TPX Flat Sheet 0.11D 25+/-4 Asker C 1.1M 2M 13mm</v>
          </cell>
          <cell r="H190">
            <v>5</v>
          </cell>
          <cell r="I190">
            <v>5</v>
          </cell>
          <cell r="J190">
            <v>5</v>
          </cell>
          <cell r="K190">
            <v>0</v>
          </cell>
          <cell r="L190" t="str">
            <v>ADIDAS</v>
          </cell>
          <cell r="M190" t="str">
            <v>SSO-2603-00374 - URGENGT (3-15)</v>
          </cell>
          <cell r="N190" t="str">
            <v>Flat sheet</v>
          </cell>
          <cell r="O190" t="str">
            <v>Sample</v>
          </cell>
          <cell r="P190">
            <v>46087</v>
          </cell>
          <cell r="Q190">
            <v>46097</v>
          </cell>
          <cell r="R190">
            <v>46094</v>
          </cell>
          <cell r="S190">
            <v>6</v>
          </cell>
          <cell r="T190">
            <v>10</v>
          </cell>
          <cell r="U190">
            <v>13</v>
          </cell>
          <cell r="V190">
            <v>0.1</v>
          </cell>
          <cell r="W190">
            <v>1</v>
          </cell>
        </row>
        <row r="191">
          <cell r="A191" t="str">
            <v>S-2026-03-37</v>
          </cell>
          <cell r="B191"/>
          <cell r="C191" t="str">
            <v>RPRO-260306-1736</v>
          </cell>
          <cell r="D191" t="str">
            <v>PUR2603060003S</v>
          </cell>
          <cell r="E191" t="str">
            <v>BDB-000123</v>
          </cell>
          <cell r="F191" t="str">
            <v>PVN-002973</v>
          </cell>
          <cell r="G191" t="str">
            <v>OrthoLite Ultra-Hybrid SEEDPEARL/12-0703TPX Hybrid Flat Sheet 0.085D 25+/-4 Asker C 1.1M 2M 4.5mm</v>
          </cell>
          <cell r="H191">
            <v>100</v>
          </cell>
          <cell r="I191">
            <v>100</v>
          </cell>
          <cell r="J191">
            <v>100</v>
          </cell>
          <cell r="K191">
            <v>0</v>
          </cell>
          <cell r="L191" t="str">
            <v>ADIDAS</v>
          </cell>
          <cell r="M191" t="str">
            <v>SSO-2603-00388- URGENGT (3-16)</v>
          </cell>
          <cell r="N191" t="str">
            <v>Molded</v>
          </cell>
          <cell r="O191" t="str">
            <v>Sample</v>
          </cell>
          <cell r="P191">
            <v>46087</v>
          </cell>
          <cell r="Q191">
            <v>46097</v>
          </cell>
          <cell r="R191">
            <v>46094</v>
          </cell>
          <cell r="S191">
            <v>6</v>
          </cell>
          <cell r="T191">
            <v>10</v>
          </cell>
          <cell r="U191">
            <v>4.5</v>
          </cell>
          <cell r="V191">
            <v>3.2259999999999997E-2</v>
          </cell>
          <cell r="W191">
            <v>4</v>
          </cell>
        </row>
        <row r="192">
          <cell r="A192" t="str">
            <v>S-2026-03-38</v>
          </cell>
          <cell r="B192"/>
          <cell r="C192" t="str">
            <v>RPRO-260306-1737</v>
          </cell>
          <cell r="D192" t="str">
            <v>PUR2603060003S</v>
          </cell>
          <cell r="E192" t="str">
            <v>BDB-000123</v>
          </cell>
          <cell r="F192" t="str">
            <v>PVN-002539</v>
          </cell>
          <cell r="G192" t="str">
            <v>OrthoLite Ultra-Hybrid SEEDPEARL/12-0703TPX Hybrid Flat Sheet 0.085D 25+/-4 Asker C 1.1M 2M 5mm</v>
          </cell>
          <cell r="H192">
            <v>400</v>
          </cell>
          <cell r="I192">
            <v>400</v>
          </cell>
          <cell r="J192">
            <v>400</v>
          </cell>
          <cell r="K192">
            <v>0</v>
          </cell>
          <cell r="L192" t="str">
            <v>ADIDAS</v>
          </cell>
          <cell r="M192" t="str">
            <v>SSO-2603-00414 - URGENGT (3-16)</v>
          </cell>
          <cell r="N192" t="str">
            <v>Die cut</v>
          </cell>
          <cell r="O192" t="str">
            <v>Sample</v>
          </cell>
          <cell r="P192">
            <v>46087</v>
          </cell>
          <cell r="Q192">
            <v>46097</v>
          </cell>
          <cell r="R192">
            <v>46094</v>
          </cell>
          <cell r="S192">
            <v>6</v>
          </cell>
          <cell r="T192">
            <v>10</v>
          </cell>
          <cell r="U192">
            <v>5</v>
          </cell>
          <cell r="V192">
            <v>3.5709999999999999E-2</v>
          </cell>
          <cell r="W192">
            <v>15</v>
          </cell>
        </row>
        <row r="193">
          <cell r="A193" t="str">
            <v>S-2026-03-39</v>
          </cell>
          <cell r="B193"/>
          <cell r="C193" t="str">
            <v>RPRO-260306-1738</v>
          </cell>
          <cell r="D193" t="str">
            <v>PUR2603060003S</v>
          </cell>
          <cell r="E193" t="str">
            <v>BDB-000123</v>
          </cell>
          <cell r="F193" t="str">
            <v>PVN-003300</v>
          </cell>
          <cell r="G193" t="str">
            <v>OrthoLite Ultra-Hybrid SEEDPEARL/12-0703TPX Hybrid Flat Sheet 0.085D 25+/-4 Asker C 1.1M 2M 2mm</v>
          </cell>
          <cell r="H193">
            <v>150</v>
          </cell>
          <cell r="I193">
            <v>150</v>
          </cell>
          <cell r="J193">
            <v>150</v>
          </cell>
          <cell r="K193">
            <v>0</v>
          </cell>
          <cell r="L193" t="str">
            <v>ADIDAS</v>
          </cell>
          <cell r="M193" t="str">
            <v>SSO-2603-00414 - URGENGT (3-16)</v>
          </cell>
          <cell r="N193" t="str">
            <v>Flat sheet</v>
          </cell>
          <cell r="O193" t="str">
            <v>Sample</v>
          </cell>
          <cell r="P193">
            <v>46087</v>
          </cell>
          <cell r="Q193">
            <v>46097</v>
          </cell>
          <cell r="R193">
            <v>46094</v>
          </cell>
          <cell r="S193">
            <v>6</v>
          </cell>
          <cell r="T193">
            <v>10</v>
          </cell>
          <cell r="U193">
            <v>2</v>
          </cell>
          <cell r="V193">
            <v>1.4290000000000001E-2</v>
          </cell>
          <cell r="W193">
            <v>3</v>
          </cell>
        </row>
        <row r="194">
          <cell r="A194" t="str">
            <v>S-2026-03-40</v>
          </cell>
          <cell r="B194"/>
          <cell r="C194" t="str">
            <v>RPRO-260306-1739</v>
          </cell>
          <cell r="D194" t="str">
            <v>PUR2603060003S</v>
          </cell>
          <cell r="E194" t="str">
            <v>BDB-000348</v>
          </cell>
          <cell r="F194" t="str">
            <v>PVN-004195</v>
          </cell>
          <cell r="G194" t="str">
            <v>OrthoLite IMPERIAL SEEDPEARL/12-0703TPX Flat Sheet 0.22D 25+/-4 Asker C 1.1M 1.47M 4mm</v>
          </cell>
          <cell r="H194">
            <v>200</v>
          </cell>
          <cell r="I194">
            <v>200</v>
          </cell>
          <cell r="J194">
            <v>200</v>
          </cell>
          <cell r="K194">
            <v>0</v>
          </cell>
          <cell r="L194" t="str">
            <v>ADIDAS</v>
          </cell>
          <cell r="M194" t="str">
            <v>SSO-2603-00457-URGENGT (3-13)</v>
          </cell>
          <cell r="N194" t="str">
            <v>Die cut</v>
          </cell>
          <cell r="O194" t="str">
            <v>Sample</v>
          </cell>
          <cell r="P194">
            <v>46087</v>
          </cell>
          <cell r="Q194">
            <v>46094</v>
          </cell>
          <cell r="R194">
            <v>46091</v>
          </cell>
          <cell r="S194">
            <v>6</v>
          </cell>
          <cell r="T194">
            <v>7</v>
          </cell>
          <cell r="U194">
            <v>4</v>
          </cell>
          <cell r="V194">
            <v>2.8570000000000002E-2</v>
          </cell>
          <cell r="W194">
            <v>6</v>
          </cell>
        </row>
        <row r="195">
          <cell r="A195" t="str">
            <v>S-2026-03-41</v>
          </cell>
          <cell r="B195"/>
          <cell r="C195" t="str">
            <v>RPRO-260306-1740</v>
          </cell>
          <cell r="D195" t="str">
            <v>PUR2603060003S</v>
          </cell>
          <cell r="E195" t="str">
            <v>BDB-000348</v>
          </cell>
          <cell r="F195" t="str">
            <v>PVN-004210</v>
          </cell>
          <cell r="G195" t="str">
            <v>OrthoLite IMPERIAL SEEDPEARL/12-0703TPX Flat Sheet 0.22D 25+/-4 Asker C 1.1M 1.47M 5mm</v>
          </cell>
          <cell r="H195">
            <v>100</v>
          </cell>
          <cell r="I195">
            <v>100</v>
          </cell>
          <cell r="J195">
            <v>100</v>
          </cell>
          <cell r="K195">
            <v>0</v>
          </cell>
          <cell r="L195" t="str">
            <v>ADIDAS</v>
          </cell>
          <cell r="M195" t="str">
            <v>Sample</v>
          </cell>
          <cell r="N195" t="str">
            <v>Flat sheet</v>
          </cell>
          <cell r="O195" t="str">
            <v>Sample</v>
          </cell>
          <cell r="P195">
            <v>46087</v>
          </cell>
          <cell r="Q195">
            <v>46104</v>
          </cell>
          <cell r="R195">
            <v>46101</v>
          </cell>
          <cell r="S195">
            <v>6</v>
          </cell>
          <cell r="T195">
            <v>17</v>
          </cell>
          <cell r="U195">
            <v>5</v>
          </cell>
          <cell r="V195">
            <v>3.5709999999999999E-2</v>
          </cell>
          <cell r="W195">
            <v>4</v>
          </cell>
        </row>
        <row r="196">
          <cell r="A196" t="str">
            <v>S-2026-03-42</v>
          </cell>
          <cell r="B196"/>
          <cell r="C196" t="str">
            <v>RPRO-260307-0081</v>
          </cell>
          <cell r="D196" t="str">
            <v>PUR2603070001S</v>
          </cell>
          <cell r="E196" t="str">
            <v>BDB-000355</v>
          </cell>
          <cell r="F196" t="str">
            <v>PVN-004320</v>
          </cell>
          <cell r="G196" t="str">
            <v>OrthoLite HybridPlus-Recycled CASTLEROCK/18-0201TPX Hybrid Flat Sheet 0.12D 25+/-4 Asker C 1.1M 2M 5.5mm</v>
          </cell>
          <cell r="H196">
            <v>30</v>
          </cell>
          <cell r="I196">
            <v>30</v>
          </cell>
          <cell r="J196">
            <v>30</v>
          </cell>
          <cell r="K196">
            <v>0</v>
          </cell>
          <cell r="L196" t="str">
            <v>ON RUNNING</v>
          </cell>
          <cell r="M196" t="str">
            <v>SAMPLE</v>
          </cell>
          <cell r="N196" t="str">
            <v>OV-0435 - top urrgent</v>
          </cell>
          <cell r="O196" t="str">
            <v>Sample</v>
          </cell>
          <cell r="P196">
            <v>46088</v>
          </cell>
          <cell r="Q196">
            <v>46094</v>
          </cell>
          <cell r="R196">
            <v>46091</v>
          </cell>
          <cell r="S196">
            <v>6</v>
          </cell>
          <cell r="T196">
            <v>6</v>
          </cell>
          <cell r="U196">
            <v>5.5</v>
          </cell>
          <cell r="V196">
            <v>0.04</v>
          </cell>
          <cell r="W196">
            <v>2</v>
          </cell>
        </row>
        <row r="197">
          <cell r="A197" t="str">
            <v>S-2026-03-43</v>
          </cell>
          <cell r="B197"/>
          <cell r="C197" t="str">
            <v>RPRO-260307-0082</v>
          </cell>
          <cell r="D197" t="str">
            <v>PUR2603070001S</v>
          </cell>
          <cell r="E197" t="str">
            <v>BDB-000010</v>
          </cell>
          <cell r="F197" t="str">
            <v>PVN-000099</v>
          </cell>
          <cell r="G197" t="str">
            <v>OrthoLite Regular AIR BLUE/16-4134TPX Flat Sheet 0.11D 25+/-4 Asker C 1.1M 2M 2mm</v>
          </cell>
          <cell r="H197">
            <v>100</v>
          </cell>
          <cell r="I197">
            <v>100</v>
          </cell>
          <cell r="J197">
            <v>100</v>
          </cell>
          <cell r="K197">
            <v>0</v>
          </cell>
          <cell r="L197" t="str">
            <v>UNDER ARMOUR</v>
          </cell>
          <cell r="M197" t="str">
            <v>SSO-2603-00464 - URGENT (3-12)</v>
          </cell>
          <cell r="N197" t="str">
            <v>Flat sheet</v>
          </cell>
          <cell r="O197" t="str">
            <v>Sample</v>
          </cell>
          <cell r="P197">
            <v>46088</v>
          </cell>
          <cell r="Q197">
            <v>46094</v>
          </cell>
          <cell r="R197">
            <v>46091</v>
          </cell>
          <cell r="S197">
            <v>6</v>
          </cell>
          <cell r="T197">
            <v>6</v>
          </cell>
          <cell r="U197">
            <v>2</v>
          </cell>
          <cell r="V197">
            <v>1.4290000000000001E-2</v>
          </cell>
          <cell r="W197">
            <v>2</v>
          </cell>
        </row>
        <row r="198">
          <cell r="A198" t="str">
            <v>S-2026-03-44</v>
          </cell>
          <cell r="B198"/>
          <cell r="C198" t="str">
            <v>RPRO-260307-0083</v>
          </cell>
          <cell r="D198" t="str">
            <v>PUR2603070001S</v>
          </cell>
          <cell r="E198" t="str">
            <v>BDB-000040</v>
          </cell>
          <cell r="F198" t="str">
            <v>PVN-000761</v>
          </cell>
          <cell r="G198" t="str">
            <v>OrthoLite Regular AIR BLUE/16-4134TPX Flat Sheet 0.13D 35+/-4 Asker C 1.1M 1.7M 2mm</v>
          </cell>
          <cell r="H198">
            <v>100</v>
          </cell>
          <cell r="I198">
            <v>100</v>
          </cell>
          <cell r="J198">
            <v>100</v>
          </cell>
          <cell r="K198">
            <v>0</v>
          </cell>
          <cell r="L198" t="str">
            <v>ADIDAS</v>
          </cell>
          <cell r="M198" t="str">
            <v>SSO-2603-00467</v>
          </cell>
          <cell r="N198" t="str">
            <v>Flat sheet</v>
          </cell>
          <cell r="O198" t="str">
            <v>Sample</v>
          </cell>
          <cell r="P198">
            <v>46088</v>
          </cell>
          <cell r="Q198">
            <v>46105</v>
          </cell>
          <cell r="R198">
            <v>46102</v>
          </cell>
          <cell r="S198">
            <v>6</v>
          </cell>
          <cell r="T198">
            <v>17</v>
          </cell>
          <cell r="U198">
            <v>2</v>
          </cell>
          <cell r="V198">
            <v>1.4290000000000001E-2</v>
          </cell>
          <cell r="W198">
            <v>2</v>
          </cell>
        </row>
        <row r="199">
          <cell r="A199" t="str">
            <v>S-2026-03-45</v>
          </cell>
          <cell r="B199"/>
          <cell r="C199" t="str">
            <v>RPRO-260307-0084</v>
          </cell>
          <cell r="D199" t="str">
            <v>PUR2603070001S</v>
          </cell>
          <cell r="E199" t="str">
            <v>BDB-000369</v>
          </cell>
          <cell r="F199" t="str">
            <v>PVN-004291</v>
          </cell>
          <cell r="G199" t="str">
            <v>OrthoLite X-40 GREY/17-1501TPX Flat Sheet 0.16D 35+/-4 Asker C 1.1M 1.7M 3.2mm</v>
          </cell>
          <cell r="H199">
            <v>50</v>
          </cell>
          <cell r="I199">
            <v>50</v>
          </cell>
          <cell r="J199">
            <v>50</v>
          </cell>
          <cell r="K199">
            <v>0</v>
          </cell>
          <cell r="L199" t="str">
            <v>ADIDAS</v>
          </cell>
          <cell r="M199" t="str">
            <v>Sample</v>
          </cell>
          <cell r="N199" t="str">
            <v>Molded</v>
          </cell>
          <cell r="O199" t="str">
            <v>Sample</v>
          </cell>
          <cell r="P199">
            <v>46088</v>
          </cell>
          <cell r="Q199">
            <v>46105</v>
          </cell>
          <cell r="R199">
            <v>46102</v>
          </cell>
          <cell r="S199">
            <v>6</v>
          </cell>
          <cell r="T199">
            <v>17</v>
          </cell>
          <cell r="U199">
            <v>3.2</v>
          </cell>
          <cell r="V199">
            <v>2.3259999999999999E-2</v>
          </cell>
          <cell r="W199">
            <v>2</v>
          </cell>
        </row>
        <row r="200">
          <cell r="A200" t="str">
            <v>S-2026-03-46</v>
          </cell>
          <cell r="B200"/>
          <cell r="C200" t="str">
            <v>RPRO-260307-0085</v>
          </cell>
          <cell r="D200" t="str">
            <v>PUR2603070001S</v>
          </cell>
          <cell r="E200" t="str">
            <v>BDB-000083</v>
          </cell>
          <cell r="F200" t="str">
            <v>PVN-000930</v>
          </cell>
          <cell r="G200" t="str">
            <v>OrthoLite Eco LT 300C(ADIDAS BLUEBIRD) Flat Sheet 0.11D 25+/-4 Asker C 1.1M 2M 3mm</v>
          </cell>
          <cell r="H200">
            <v>50</v>
          </cell>
          <cell r="I200">
            <v>50</v>
          </cell>
          <cell r="J200">
            <v>50</v>
          </cell>
          <cell r="K200">
            <v>0</v>
          </cell>
          <cell r="L200" t="str">
            <v>ADIDAS</v>
          </cell>
          <cell r="M200" t="str">
            <v>SSO-2603-00491 - URGENT (3-19)</v>
          </cell>
          <cell r="N200" t="str">
            <v>Flat sheet</v>
          </cell>
          <cell r="O200" t="str">
            <v>Sample</v>
          </cell>
          <cell r="P200">
            <v>46088</v>
          </cell>
          <cell r="Q200">
            <v>46100</v>
          </cell>
          <cell r="R200">
            <v>46097</v>
          </cell>
          <cell r="S200">
            <v>6</v>
          </cell>
          <cell r="T200">
            <v>12</v>
          </cell>
          <cell r="U200">
            <v>3</v>
          </cell>
          <cell r="V200">
            <v>2.1739999999999999E-2</v>
          </cell>
          <cell r="W200">
            <v>2</v>
          </cell>
        </row>
        <row r="201">
          <cell r="A201" t="str">
            <v>S-2026-03-47</v>
          </cell>
          <cell r="B201"/>
          <cell r="C201" t="str">
            <v>RPRO-260310-0362</v>
          </cell>
          <cell r="D201" t="str">
            <v>PUR2603090001S</v>
          </cell>
          <cell r="E201" t="str">
            <v>BDB-000226</v>
          </cell>
          <cell r="F201" t="str">
            <v>PVN-003517</v>
          </cell>
          <cell r="G201" t="str">
            <v>OrthoLite Regular GREY/17-1501TPX Flat Sheet 0.16D 51+/-4 Asker C 1.1M 1.7M 12mm</v>
          </cell>
          <cell r="H201">
            <v>50</v>
          </cell>
          <cell r="I201">
            <v>50</v>
          </cell>
          <cell r="J201">
            <v>50</v>
          </cell>
          <cell r="K201">
            <v>0</v>
          </cell>
          <cell r="L201" t="str">
            <v>CONVERSE</v>
          </cell>
          <cell r="M201" t="str">
            <v>Sample</v>
          </cell>
          <cell r="N201" t="str">
            <v>Die cut</v>
          </cell>
          <cell r="O201" t="str">
            <v>Sample</v>
          </cell>
          <cell r="P201">
            <v>46090</v>
          </cell>
          <cell r="Q201">
            <v>46107</v>
          </cell>
          <cell r="R201">
            <v>46104</v>
          </cell>
          <cell r="S201">
            <v>6</v>
          </cell>
          <cell r="T201">
            <v>17</v>
          </cell>
          <cell r="U201">
            <v>12</v>
          </cell>
          <cell r="V201">
            <v>9.0910000000000005E-2</v>
          </cell>
          <cell r="W201">
            <v>5</v>
          </cell>
        </row>
        <row r="202">
          <cell r="A202" t="str">
            <v>S-2026-03-48</v>
          </cell>
          <cell r="B202" t="str">
            <v>đôn ETD 19/3</v>
          </cell>
          <cell r="C202" t="str">
            <v>RPRO-260310-0363</v>
          </cell>
          <cell r="D202" t="str">
            <v>PUR2603090001S</v>
          </cell>
          <cell r="E202" t="str">
            <v>BDB-000181</v>
          </cell>
          <cell r="F202" t="str">
            <v>PVN-003238</v>
          </cell>
          <cell r="G202" t="str">
            <v>OrthoLite Eco LT-Hybrid-Converse SEEDPEARL/12-0703TPX Hybrid Flat Sheet 0.11D 25+/-4 Asker C 1.1M 2M 5mm</v>
          </cell>
          <cell r="H202">
            <v>100</v>
          </cell>
          <cell r="I202">
            <v>100</v>
          </cell>
          <cell r="J202">
            <v>100</v>
          </cell>
          <cell r="K202">
            <v>0</v>
          </cell>
          <cell r="L202" t="str">
            <v>CONVERSE</v>
          </cell>
          <cell r="M202" t="str">
            <v>Sample</v>
          </cell>
          <cell r="N202" t="str">
            <v>Die cut</v>
          </cell>
          <cell r="O202" t="str">
            <v>Sample</v>
          </cell>
          <cell r="P202">
            <v>46090</v>
          </cell>
          <cell r="Q202">
            <v>46100</v>
          </cell>
          <cell r="R202">
            <v>46097</v>
          </cell>
          <cell r="S202">
            <v>6</v>
          </cell>
          <cell r="T202">
            <v>10</v>
          </cell>
          <cell r="U202">
            <v>5</v>
          </cell>
          <cell r="V202">
            <v>3.5709999999999999E-2</v>
          </cell>
          <cell r="W202">
            <v>4</v>
          </cell>
        </row>
        <row r="203">
          <cell r="A203" t="str">
            <v>S-2026-03-49</v>
          </cell>
          <cell r="B203"/>
          <cell r="C203" t="str">
            <v>RPRO-260310-0364</v>
          </cell>
          <cell r="D203" t="str">
            <v>PUR2603090001S</v>
          </cell>
          <cell r="E203" t="str">
            <v>BDB-000162</v>
          </cell>
          <cell r="F203" t="str">
            <v>PVN-001566</v>
          </cell>
          <cell r="G203" t="str">
            <v>OrthoLite Ultra-Nike SEEDPEARL/12-0703TPX Flat Sheet 0.085D 25+/-4 Asker C 1.1M 2M 4mm</v>
          </cell>
          <cell r="H203">
            <v>40</v>
          </cell>
          <cell r="I203">
            <v>40</v>
          </cell>
          <cell r="J203">
            <v>40</v>
          </cell>
          <cell r="K203">
            <v>0</v>
          </cell>
          <cell r="L203" t="str">
            <v>NIKE</v>
          </cell>
          <cell r="M203" t="str">
            <v>Sample</v>
          </cell>
          <cell r="N203" t="str">
            <v>Die cut</v>
          </cell>
          <cell r="O203" t="str">
            <v>Sample</v>
          </cell>
          <cell r="P203">
            <v>46090</v>
          </cell>
          <cell r="Q203">
            <v>46107</v>
          </cell>
          <cell r="R203">
            <v>46104</v>
          </cell>
          <cell r="S203">
            <v>6</v>
          </cell>
          <cell r="T203">
            <v>17</v>
          </cell>
          <cell r="U203">
            <v>4</v>
          </cell>
          <cell r="V203">
            <v>2.8570000000000002E-2</v>
          </cell>
          <cell r="W203">
            <v>2</v>
          </cell>
        </row>
        <row r="204">
          <cell r="A204" t="str">
            <v>S-2026-03-50</v>
          </cell>
          <cell r="B204"/>
          <cell r="C204" t="str">
            <v>RPRO-260310-0365</v>
          </cell>
          <cell r="D204" t="str">
            <v>PUR2603090001S</v>
          </cell>
          <cell r="E204" t="str">
            <v>BDB-000123</v>
          </cell>
          <cell r="F204" t="str">
            <v>PVN-003299</v>
          </cell>
          <cell r="G204" t="str">
            <v>OrthoLite Ultra-Hybrid SEEDPEARL/12-0703TPX Hybrid Flat Sheet 0.085D 25+/-4 Asker C 1.1M 2M 3mm</v>
          </cell>
          <cell r="H204">
            <v>300</v>
          </cell>
          <cell r="I204">
            <v>300</v>
          </cell>
          <cell r="J204">
            <v>300</v>
          </cell>
          <cell r="K204">
            <v>0</v>
          </cell>
          <cell r="L204" t="str">
            <v>ADIDAS</v>
          </cell>
          <cell r="M204" t="str">
            <v>SSO-2603-00592 - URGENT (3-17)</v>
          </cell>
          <cell r="N204" t="str">
            <v>Flat sheet</v>
          </cell>
          <cell r="O204" t="str">
            <v>Sample</v>
          </cell>
          <cell r="P204">
            <v>46090</v>
          </cell>
          <cell r="Q204">
            <v>46098</v>
          </cell>
          <cell r="R204">
            <v>46095</v>
          </cell>
          <cell r="S204">
            <v>6</v>
          </cell>
          <cell r="T204">
            <v>8</v>
          </cell>
          <cell r="U204">
            <v>3</v>
          </cell>
          <cell r="V204">
            <v>2.1739999999999999E-2</v>
          </cell>
          <cell r="W204">
            <v>7</v>
          </cell>
        </row>
        <row r="205">
          <cell r="A205" t="str">
            <v>S-2026-03-51</v>
          </cell>
          <cell r="B205" t="str">
            <v>đôn ETD 19/3</v>
          </cell>
          <cell r="C205" t="str">
            <v>RPRO-260310-0366</v>
          </cell>
          <cell r="D205" t="str">
            <v>PUR2603090001S</v>
          </cell>
          <cell r="E205" t="str">
            <v>BDB-000123</v>
          </cell>
          <cell r="F205" t="str">
            <v>PVN-003298</v>
          </cell>
          <cell r="G205" t="str">
            <v>OrthoLite Ultra-Hybrid SEEDPEARL/12-0703TPX Hybrid Flat Sheet 0.085D 25+/-4 Asker C 1.1M 2M 4mm</v>
          </cell>
          <cell r="H205">
            <v>400</v>
          </cell>
          <cell r="I205">
            <v>400</v>
          </cell>
          <cell r="J205">
            <v>400</v>
          </cell>
          <cell r="K205">
            <v>0</v>
          </cell>
          <cell r="L205" t="str">
            <v>ADIDAS</v>
          </cell>
          <cell r="M205" t="str">
            <v>Sample</v>
          </cell>
          <cell r="N205" t="str">
            <v>Flat sheet</v>
          </cell>
          <cell r="O205" t="str">
            <v>Sample</v>
          </cell>
          <cell r="P205">
            <v>46090</v>
          </cell>
          <cell r="Q205">
            <v>46100</v>
          </cell>
          <cell r="R205">
            <v>46097</v>
          </cell>
          <cell r="S205">
            <v>6</v>
          </cell>
          <cell r="T205">
            <v>10</v>
          </cell>
          <cell r="U205">
            <v>4</v>
          </cell>
          <cell r="V205">
            <v>2.8570000000000002E-2</v>
          </cell>
          <cell r="W205">
            <v>12</v>
          </cell>
        </row>
        <row r="206">
          <cell r="A206" t="str">
            <v>S-2026-03-52</v>
          </cell>
          <cell r="B206"/>
          <cell r="C206" t="str">
            <v>RPRO-260310-0367</v>
          </cell>
          <cell r="D206" t="str">
            <v>PUR2603090001S</v>
          </cell>
          <cell r="E206" t="str">
            <v>BDB-000200</v>
          </cell>
          <cell r="F206" t="str">
            <v>PVN-003425</v>
          </cell>
          <cell r="G206" t="str">
            <v>OrthoLite Ultra SEEDPEARL/12-0703TPX Flat Sheet 0.085D 78-90 Asker F 1.1M 2M 4mm</v>
          </cell>
          <cell r="H206">
            <v>50</v>
          </cell>
          <cell r="I206">
            <v>50</v>
          </cell>
          <cell r="J206">
            <v>50</v>
          </cell>
          <cell r="K206">
            <v>0</v>
          </cell>
          <cell r="L206" t="str">
            <v>ADIDAS</v>
          </cell>
          <cell r="M206" t="str">
            <v>SSO-2603-00602 - URGENT (3-16)</v>
          </cell>
          <cell r="N206" t="str">
            <v>Flat sheet</v>
          </cell>
          <cell r="O206" t="str">
            <v>Sample</v>
          </cell>
          <cell r="P206">
            <v>46090</v>
          </cell>
          <cell r="Q206">
            <v>46097</v>
          </cell>
          <cell r="R206">
            <v>46094</v>
          </cell>
          <cell r="S206">
            <v>6</v>
          </cell>
          <cell r="T206">
            <v>7</v>
          </cell>
          <cell r="U206">
            <v>4</v>
          </cell>
          <cell r="V206">
            <v>2.8570000000000002E-2</v>
          </cell>
          <cell r="W206">
            <v>2</v>
          </cell>
        </row>
        <row r="207">
          <cell r="A207" t="str">
            <v>S-2026-03-53</v>
          </cell>
          <cell r="B207"/>
          <cell r="C207" t="str">
            <v>RPRO-260310-0368</v>
          </cell>
          <cell r="D207" t="str">
            <v>PUR2603090001S</v>
          </cell>
          <cell r="E207" t="str">
            <v>BDB-000083</v>
          </cell>
          <cell r="F207" t="str">
            <v>PVN-000935</v>
          </cell>
          <cell r="G207" t="str">
            <v>OrthoLite Eco LT 300C(ADIDAS BLUEBIRD) Flat Sheet 0.11D 25+/-4 Asker C 1.1M 2M 4mm</v>
          </cell>
          <cell r="H207">
            <v>150</v>
          </cell>
          <cell r="I207">
            <v>150</v>
          </cell>
          <cell r="J207">
            <v>150</v>
          </cell>
          <cell r="K207">
            <v>0</v>
          </cell>
          <cell r="L207" t="str">
            <v>DESCENTE</v>
          </cell>
          <cell r="M207" t="str">
            <v>SSO-2603-00602 - URGENT (3-16)</v>
          </cell>
          <cell r="N207" t="str">
            <v>Die cut</v>
          </cell>
          <cell r="O207" t="str">
            <v>Sample</v>
          </cell>
          <cell r="P207">
            <v>46090</v>
          </cell>
          <cell r="Q207">
            <v>46097</v>
          </cell>
          <cell r="R207">
            <v>46094</v>
          </cell>
          <cell r="S207">
            <v>6</v>
          </cell>
          <cell r="T207">
            <v>7</v>
          </cell>
          <cell r="U207">
            <v>4</v>
          </cell>
          <cell r="V207">
            <v>2.8570000000000002E-2</v>
          </cell>
          <cell r="W207">
            <v>5</v>
          </cell>
        </row>
        <row r="208">
          <cell r="A208" t="str">
            <v>S-2026-03-54</v>
          </cell>
          <cell r="B208"/>
          <cell r="C208" t="str">
            <v>RPRO-260310-0369</v>
          </cell>
          <cell r="D208" t="str">
            <v>PUR2603100001S</v>
          </cell>
          <cell r="E208" t="str">
            <v>BDB-000324</v>
          </cell>
          <cell r="F208" t="str">
            <v>PVN-004129</v>
          </cell>
          <cell r="G208" t="str">
            <v>OrthoLite X-40 TRUE BLUE/19-4057TPX Flat Sheet 0.16D 25+/-4 Asker C 1.1M 2M 5.5mm</v>
          </cell>
          <cell r="H208">
            <v>60</v>
          </cell>
          <cell r="I208">
            <v>60</v>
          </cell>
          <cell r="J208">
            <v>60</v>
          </cell>
          <cell r="K208">
            <v>0</v>
          </cell>
          <cell r="L208" t="str">
            <v>ON RUNNING</v>
          </cell>
          <cell r="M208" t="str">
            <v>SAMPLE</v>
          </cell>
          <cell r="N208" t="str">
            <v>OV-0464</v>
          </cell>
          <cell r="O208" t="str">
            <v>Sample</v>
          </cell>
          <cell r="P208">
            <v>46091</v>
          </cell>
          <cell r="Q208">
            <v>46108</v>
          </cell>
          <cell r="R208">
            <v>46105</v>
          </cell>
          <cell r="S208">
            <v>6</v>
          </cell>
          <cell r="T208">
            <v>17</v>
          </cell>
          <cell r="U208">
            <v>5.5</v>
          </cell>
          <cell r="V208">
            <v>0.04</v>
          </cell>
          <cell r="W208">
            <v>3</v>
          </cell>
        </row>
        <row r="209">
          <cell r="A209" t="str">
            <v>S-2026-03-55</v>
          </cell>
          <cell r="B209"/>
          <cell r="C209" t="str">
            <v>RPRO-260310-0370</v>
          </cell>
          <cell r="D209" t="str">
            <v>PUR2603100001S</v>
          </cell>
          <cell r="E209" t="str">
            <v>BDB-000318</v>
          </cell>
          <cell r="F209" t="str">
            <v>PVN-004206</v>
          </cell>
          <cell r="G209" t="str">
            <v>OrthoLite X-55 RED/19-1764TPX Flat Sheet 0.16D 25+/-4 Asker C 1.1M 2M 2mm</v>
          </cell>
          <cell r="H209">
            <v>80</v>
          </cell>
          <cell r="I209">
            <v>80</v>
          </cell>
          <cell r="J209">
            <v>80</v>
          </cell>
          <cell r="K209">
            <v>0</v>
          </cell>
          <cell r="L209" t="str">
            <v>ON RUNNING</v>
          </cell>
          <cell r="M209" t="str">
            <v>SAMPLE</v>
          </cell>
          <cell r="N209" t="str">
            <v>OV-0464</v>
          </cell>
          <cell r="O209" t="str">
            <v>Sample</v>
          </cell>
          <cell r="P209">
            <v>46091</v>
          </cell>
          <cell r="Q209">
            <v>46108</v>
          </cell>
          <cell r="R209">
            <v>46105</v>
          </cell>
          <cell r="S209">
            <v>6</v>
          </cell>
          <cell r="T209">
            <v>17</v>
          </cell>
          <cell r="U209">
            <v>2</v>
          </cell>
          <cell r="V209">
            <v>1.4290000000000001E-2</v>
          </cell>
          <cell r="W209">
            <v>2</v>
          </cell>
        </row>
        <row r="210">
          <cell r="A210" t="str">
            <v>S-2026-03-56</v>
          </cell>
          <cell r="B210"/>
          <cell r="C210" t="str">
            <v>RPRO-260310-0371</v>
          </cell>
          <cell r="D210" t="str">
            <v>PUR2603100001S</v>
          </cell>
          <cell r="E210" t="str">
            <v>BDB-000011</v>
          </cell>
          <cell r="F210" t="str">
            <v>PVN-000258</v>
          </cell>
          <cell r="G210" t="str">
            <v>OrthoLite Regular AIR BLUE/16-4134TPX Flat Sheet 0.13D 35+/-4 Asker C 1.1M 2M 2.5mm</v>
          </cell>
          <cell r="H210">
            <v>50</v>
          </cell>
          <cell r="I210">
            <v>50</v>
          </cell>
          <cell r="J210">
            <v>50</v>
          </cell>
          <cell r="K210">
            <v>0</v>
          </cell>
          <cell r="L210" t="str">
            <v>ON RUNNING</v>
          </cell>
          <cell r="M210" t="str">
            <v>SAMPLE</v>
          </cell>
          <cell r="N210" t="str">
            <v>OV-0464</v>
          </cell>
          <cell r="O210" t="str">
            <v>Sample</v>
          </cell>
          <cell r="P210">
            <v>46091</v>
          </cell>
          <cell r="Q210">
            <v>46108</v>
          </cell>
          <cell r="R210">
            <v>46105</v>
          </cell>
          <cell r="S210">
            <v>6</v>
          </cell>
          <cell r="T210">
            <v>17</v>
          </cell>
          <cell r="U210">
            <v>2.5</v>
          </cell>
          <cell r="V210">
            <v>1.7860000000000001E-2</v>
          </cell>
          <cell r="W210">
            <v>1</v>
          </cell>
        </row>
        <row r="211">
          <cell r="A211" t="str">
            <v>S-2026-03-57</v>
          </cell>
          <cell r="B211"/>
          <cell r="C211" t="str">
            <v>RPRO-260310-0372</v>
          </cell>
          <cell r="D211" t="str">
            <v>PUR2603100001S</v>
          </cell>
          <cell r="E211" t="str">
            <v>BDB-000209</v>
          </cell>
          <cell r="F211" t="str">
            <v>PVN-003537</v>
          </cell>
          <cell r="G211" t="str">
            <v>OrthoLite HybridPlus-Recycled MINT GREEN/11-4805TPX Hybrid Flat Sheet 0.12D 25+/-4 Asker C 1.1M 2M 4.5mm</v>
          </cell>
          <cell r="H211">
            <v>100</v>
          </cell>
          <cell r="I211">
            <v>100</v>
          </cell>
          <cell r="J211">
            <v>100</v>
          </cell>
          <cell r="K211">
            <v>0</v>
          </cell>
          <cell r="L211" t="str">
            <v>ON RUNNING</v>
          </cell>
          <cell r="M211" t="str">
            <v>SAMPLE</v>
          </cell>
          <cell r="N211" t="str">
            <v>OV-0256</v>
          </cell>
          <cell r="O211" t="str">
            <v>Sample</v>
          </cell>
          <cell r="P211">
            <v>46091</v>
          </cell>
          <cell r="Q211">
            <v>46108</v>
          </cell>
          <cell r="R211">
            <v>46105</v>
          </cell>
          <cell r="S211">
            <v>6</v>
          </cell>
          <cell r="T211">
            <v>17</v>
          </cell>
          <cell r="U211">
            <v>4.5</v>
          </cell>
          <cell r="V211">
            <v>3.2259999999999997E-2</v>
          </cell>
          <cell r="W211">
            <v>4</v>
          </cell>
        </row>
        <row r="212">
          <cell r="A212" t="str">
            <v>S-2026-03-58</v>
          </cell>
          <cell r="B212"/>
          <cell r="C212" t="str">
            <v>RPRO-260310-0373</v>
          </cell>
          <cell r="D212" t="str">
            <v>PUR2603100001S</v>
          </cell>
          <cell r="E212" t="str">
            <v>BDB-000179</v>
          </cell>
          <cell r="F212" t="str">
            <v>PVN-004107</v>
          </cell>
          <cell r="G212" t="str">
            <v>OrthoLite X-55 RED/19-1764TPX Flat Sheet 0.16D 25+/-4 Asker C 1.1M 1.7M 5.5mm</v>
          </cell>
          <cell r="H212">
            <v>30</v>
          </cell>
          <cell r="I212">
            <v>30</v>
          </cell>
          <cell r="J212">
            <v>30</v>
          </cell>
          <cell r="K212">
            <v>0</v>
          </cell>
          <cell r="L212" t="str">
            <v>LULULEMON</v>
          </cell>
          <cell r="M212" t="str">
            <v>SAMPLE</v>
          </cell>
          <cell r="N212" t="str">
            <v>OV-0452</v>
          </cell>
          <cell r="O212" t="str">
            <v>Sample</v>
          </cell>
          <cell r="P212">
            <v>46091</v>
          </cell>
          <cell r="Q212">
            <v>46108</v>
          </cell>
          <cell r="R212">
            <v>46105</v>
          </cell>
          <cell r="S212">
            <v>6</v>
          </cell>
          <cell r="T212">
            <v>17</v>
          </cell>
          <cell r="U212">
            <v>5.5</v>
          </cell>
          <cell r="V212">
            <v>0.04</v>
          </cell>
          <cell r="W212">
            <v>2</v>
          </cell>
        </row>
        <row r="213">
          <cell r="A213" t="str">
            <v>S-2026-03-59</v>
          </cell>
          <cell r="B213"/>
          <cell r="C213" t="str">
            <v>RPRO-260310-0374</v>
          </cell>
          <cell r="D213" t="str">
            <v>PUR-202603100002S</v>
          </cell>
          <cell r="E213" t="str">
            <v>BDB-000051</v>
          </cell>
          <cell r="F213" t="str">
            <v>PVN-003319</v>
          </cell>
          <cell r="G213" t="str">
            <v>OrthoLite X-40 TRUE BLUE/19-4057TPX Flat Sheet 0.16D 25+/-4 Asker C 1.1M 1.7M 12mm</v>
          </cell>
          <cell r="H213">
            <v>40</v>
          </cell>
          <cell r="I213">
            <v>40</v>
          </cell>
          <cell r="J213">
            <v>40</v>
          </cell>
          <cell r="K213">
            <v>0</v>
          </cell>
          <cell r="L213" t="str">
            <v>ASICS</v>
          </cell>
          <cell r="M213" t="str">
            <v>Sample</v>
          </cell>
          <cell r="N213" t="str">
            <v>MOLDED</v>
          </cell>
          <cell r="O213" t="str">
            <v>Sample</v>
          </cell>
          <cell r="P213">
            <v>46091</v>
          </cell>
          <cell r="Q213">
            <v>46108</v>
          </cell>
          <cell r="R213">
            <v>46105</v>
          </cell>
          <cell r="S213">
            <v>6</v>
          </cell>
          <cell r="T213">
            <v>17</v>
          </cell>
          <cell r="U213">
            <v>12</v>
          </cell>
          <cell r="V213">
            <v>9.0909999999999991E-2</v>
          </cell>
          <cell r="W213">
            <v>4</v>
          </cell>
        </row>
        <row r="214">
          <cell r="A214" t="str">
            <v>S-2026-03-60</v>
          </cell>
          <cell r="B214"/>
          <cell r="C214" t="str">
            <v>RPRO-260310-0375</v>
          </cell>
          <cell r="D214" t="str">
            <v>PUR-202603100002S</v>
          </cell>
          <cell r="E214" t="str">
            <v>BDB-000113</v>
          </cell>
          <cell r="F214" t="str">
            <v>PVN-002688</v>
          </cell>
          <cell r="G214" t="str">
            <v>OrthoLite Regular-Hybrid SEEDPEARL/12-0703TPX Hybrid 0.11D 25+/-4 Asker C 1.1M 2M 6mm</v>
          </cell>
          <cell r="H214">
            <v>30</v>
          </cell>
          <cell r="I214">
            <v>30</v>
          </cell>
          <cell r="J214">
            <v>30</v>
          </cell>
          <cell r="K214">
            <v>0</v>
          </cell>
          <cell r="L214" t="str">
            <v>ASICS</v>
          </cell>
          <cell r="M214" t="str">
            <v>Sample</v>
          </cell>
          <cell r="N214" t="str">
            <v>MOLDED</v>
          </cell>
          <cell r="O214" t="str">
            <v>Sample</v>
          </cell>
          <cell r="P214">
            <v>46091</v>
          </cell>
          <cell r="Q214">
            <v>46108</v>
          </cell>
          <cell r="R214">
            <v>46105</v>
          </cell>
          <cell r="S214">
            <v>6</v>
          </cell>
          <cell r="T214">
            <v>17</v>
          </cell>
          <cell r="U214">
            <v>6</v>
          </cell>
          <cell r="V214">
            <v>4.3479999999999998E-2</v>
          </cell>
          <cell r="W214">
            <v>2</v>
          </cell>
        </row>
        <row r="215">
          <cell r="A215" t="str">
            <v>S-2026-03-61</v>
          </cell>
          <cell r="B215"/>
          <cell r="C215" t="str">
            <v>RPRO-260310-0376</v>
          </cell>
          <cell r="D215" t="str">
            <v>PUR-202603100002S</v>
          </cell>
          <cell r="E215" t="str">
            <v>BDB-000235</v>
          </cell>
          <cell r="F215" t="str">
            <v>PVN-004021</v>
          </cell>
          <cell r="G215" t="str">
            <v>OrthoLite X-55-Hybrid FOSSIL/17-0909TPX Hybrid Flat Sheet 0.16D 25+/-4 Asker C 1.1M 1.7M 6mm</v>
          </cell>
          <cell r="H215">
            <v>20</v>
          </cell>
          <cell r="I215">
            <v>20</v>
          </cell>
          <cell r="J215">
            <v>20</v>
          </cell>
          <cell r="K215">
            <v>0</v>
          </cell>
          <cell r="L215" t="str">
            <v>ASICS</v>
          </cell>
          <cell r="M215" t="str">
            <v>Sample</v>
          </cell>
          <cell r="N215" t="str">
            <v>MOLDED</v>
          </cell>
          <cell r="O215" t="str">
            <v>Sample</v>
          </cell>
          <cell r="P215">
            <v>46091</v>
          </cell>
          <cell r="Q215">
            <v>46108</v>
          </cell>
          <cell r="R215">
            <v>46105</v>
          </cell>
          <cell r="S215">
            <v>6</v>
          </cell>
          <cell r="T215">
            <v>17</v>
          </cell>
          <cell r="U215">
            <v>6</v>
          </cell>
          <cell r="V215">
            <v>4.3479999999999998E-2</v>
          </cell>
          <cell r="W215">
            <v>1</v>
          </cell>
        </row>
        <row r="216">
          <cell r="A216" t="str">
            <v>L-2026-03-62</v>
          </cell>
          <cell r="B216" t="str">
            <v>huy</v>
          </cell>
          <cell r="C216"/>
          <cell r="D216" t="str">
            <v>ly.vtc@ortholite.vn</v>
          </cell>
          <cell r="E216" t="str">
            <v>BDB-000076</v>
          </cell>
          <cell r="F216" t="str">
            <v>PVN-004091</v>
          </cell>
          <cell r="G216" t="str">
            <v>OrthoLite X-25 BILLIARD/16-5427TPX Flat Sheet 0.12D 20+/-4 Asker C 1.1M 2M 3mm</v>
          </cell>
          <cell r="H216">
            <v>1</v>
          </cell>
          <cell r="I216">
            <v>1</v>
          </cell>
          <cell r="J216">
            <v>0</v>
          </cell>
          <cell r="K216">
            <v>1</v>
          </cell>
          <cell r="L216" t="str">
            <v>BROOKS/LONGFA</v>
          </cell>
          <cell r="M216" t="str">
            <v xml:space="preserve">Lab test </v>
          </cell>
          <cell r="N216"/>
          <cell r="O216" t="str">
            <v>Lab test</v>
          </cell>
          <cell r="P216">
            <v>46093</v>
          </cell>
          <cell r="Q216" t="str">
            <v>hủy</v>
          </cell>
          <cell r="R216" t="e">
            <v>#VALUE!</v>
          </cell>
          <cell r="S216">
            <v>6</v>
          </cell>
          <cell r="T216" t="e">
            <v>#VALUE!</v>
          </cell>
          <cell r="U216">
            <v>3.5</v>
          </cell>
          <cell r="V216">
            <v>2.5000000000000001E-2</v>
          </cell>
          <cell r="W216">
            <v>1</v>
          </cell>
        </row>
        <row r="217">
          <cell r="A217" t="str">
            <v>L-2026-03-63</v>
          </cell>
          <cell r="B217" t="str">
            <v>huy</v>
          </cell>
          <cell r="C217"/>
          <cell r="D217" t="str">
            <v>ly.vtc@ortholite.vn</v>
          </cell>
          <cell r="E217" t="str">
            <v>BDB-000076</v>
          </cell>
          <cell r="F217" t="str">
            <v>PVN-004091</v>
          </cell>
          <cell r="G217" t="str">
            <v>OrthoLite X-25 BILLIARD/16-5427TPX Flat Sheet 0.12D 20+/-4 Asker C 1.1M 2M 10mm</v>
          </cell>
          <cell r="H217">
            <v>1</v>
          </cell>
          <cell r="I217">
            <v>1</v>
          </cell>
          <cell r="J217">
            <v>0</v>
          </cell>
          <cell r="K217">
            <v>1</v>
          </cell>
          <cell r="L217" t="str">
            <v>BROOKS/LONGFA</v>
          </cell>
          <cell r="M217" t="str">
            <v xml:space="preserve">Lab test </v>
          </cell>
          <cell r="N217"/>
          <cell r="O217" t="str">
            <v>Lab test</v>
          </cell>
          <cell r="P217">
            <v>46093</v>
          </cell>
          <cell r="Q217" t="str">
            <v>hủy</v>
          </cell>
          <cell r="R217" t="e">
            <v>#VALUE!</v>
          </cell>
          <cell r="S217">
            <v>6</v>
          </cell>
          <cell r="T217" t="e">
            <v>#VALUE!</v>
          </cell>
          <cell r="U217">
            <v>3.5</v>
          </cell>
          <cell r="V217">
            <v>2.5000000000000001E-2</v>
          </cell>
          <cell r="W217">
            <v>1</v>
          </cell>
        </row>
        <row r="218">
          <cell r="A218" t="str">
            <v>S-2026-03-64</v>
          </cell>
          <cell r="B218"/>
          <cell r="C218" t="str">
            <v>RPRO-260313-0142</v>
          </cell>
          <cell r="D218" t="str">
            <v>PUR260031200001S</v>
          </cell>
          <cell r="E218" t="str">
            <v>BDB-000131</v>
          </cell>
          <cell r="F218" t="str">
            <v>PVN-001565</v>
          </cell>
          <cell r="G218" t="str">
            <v>OrthoLite Regular-Nike AIR BLUE/16-4134TPX Flat Sheet 0.11D 15+/-4 Asker C 1.1M 2M 4mm</v>
          </cell>
          <cell r="H218">
            <v>100</v>
          </cell>
          <cell r="I218">
            <v>100</v>
          </cell>
          <cell r="J218">
            <v>100</v>
          </cell>
          <cell r="K218">
            <v>0</v>
          </cell>
          <cell r="L218" t="str">
            <v>NIKE</v>
          </cell>
          <cell r="M218" t="str">
            <v>Sample</v>
          </cell>
          <cell r="N218" t="str">
            <v>DIE CUT</v>
          </cell>
          <cell r="O218" t="str">
            <v>Sample</v>
          </cell>
          <cell r="P218">
            <v>46093</v>
          </cell>
          <cell r="Q218">
            <v>46110</v>
          </cell>
          <cell r="R218">
            <v>46107</v>
          </cell>
          <cell r="S218">
            <v>6</v>
          </cell>
          <cell r="T218">
            <v>17</v>
          </cell>
          <cell r="U218">
            <v>4</v>
          </cell>
          <cell r="V218">
            <v>2.8570000000000002E-2</v>
          </cell>
          <cell r="W218">
            <v>3</v>
          </cell>
        </row>
        <row r="219">
          <cell r="A219" t="str">
            <v>S-2026-03-65</v>
          </cell>
          <cell r="B219"/>
          <cell r="C219" t="str">
            <v>RPRO-260313-0143</v>
          </cell>
          <cell r="D219" t="str">
            <v>PUR260031200001S</v>
          </cell>
          <cell r="E219" t="str">
            <v>BDB-000305</v>
          </cell>
          <cell r="F219" t="str">
            <v>PVN-004000</v>
          </cell>
          <cell r="G219" t="str">
            <v>OrthoLite X-35-Nike YELLOW/13-0858TPX Flat Sheet 0.145D 25+/-4 Asker C 1.1M 2M 5.5mm</v>
          </cell>
          <cell r="H219">
            <v>30</v>
          </cell>
          <cell r="I219">
            <v>30</v>
          </cell>
          <cell r="J219">
            <v>30</v>
          </cell>
          <cell r="K219">
            <v>0</v>
          </cell>
          <cell r="L219" t="str">
            <v>NIKE</v>
          </cell>
          <cell r="M219" t="str">
            <v>Sample</v>
          </cell>
          <cell r="N219" t="str">
            <v>MOLDED</v>
          </cell>
          <cell r="O219" t="str">
            <v>Sample</v>
          </cell>
          <cell r="P219">
            <v>46093</v>
          </cell>
          <cell r="Q219">
            <v>46110</v>
          </cell>
          <cell r="R219">
            <v>46107</v>
          </cell>
          <cell r="S219">
            <v>6</v>
          </cell>
          <cell r="T219">
            <v>17</v>
          </cell>
          <cell r="U219">
            <v>5.5</v>
          </cell>
          <cell r="V219">
            <v>0.04</v>
          </cell>
          <cell r="W219">
            <v>2</v>
          </cell>
        </row>
        <row r="220">
          <cell r="A220" t="str">
            <v>S-2026-03-66</v>
          </cell>
          <cell r="B220"/>
          <cell r="C220" t="str">
            <v>RPRO-260313-0144</v>
          </cell>
          <cell r="D220" t="str">
            <v>PUR260031200001S</v>
          </cell>
          <cell r="E220" t="str">
            <v>BDB-000259</v>
          </cell>
          <cell r="F220" t="str">
            <v>PVN-003684</v>
          </cell>
          <cell r="G220" t="str">
            <v>OrthoLite Nike PP002 GLACIER GRAY/14-4102TPX Flat Sheet 0.145D 25+/-4 asker C 1.1M 2M 4.2mm</v>
          </cell>
          <cell r="H220">
            <v>50</v>
          </cell>
          <cell r="I220">
            <v>50</v>
          </cell>
          <cell r="J220">
            <v>50</v>
          </cell>
          <cell r="K220">
            <v>0</v>
          </cell>
          <cell r="L220" t="str">
            <v>NIKE</v>
          </cell>
          <cell r="M220" t="str">
            <v>Sample</v>
          </cell>
          <cell r="N220" t="str">
            <v>MOLDED</v>
          </cell>
          <cell r="O220" t="str">
            <v>Sample</v>
          </cell>
          <cell r="P220">
            <v>46093</v>
          </cell>
          <cell r="Q220">
            <v>46110</v>
          </cell>
          <cell r="R220">
            <v>46107</v>
          </cell>
          <cell r="S220">
            <v>6</v>
          </cell>
          <cell r="T220">
            <v>17</v>
          </cell>
          <cell r="U220">
            <v>4.2</v>
          </cell>
          <cell r="V220">
            <v>3.0300000000000001E-2</v>
          </cell>
          <cell r="W220">
            <v>2</v>
          </cell>
        </row>
        <row r="221">
          <cell r="A221" t="str">
            <v>S-2026-03-67</v>
          </cell>
          <cell r="B221"/>
          <cell r="C221" t="str">
            <v>RPRO-260313-0145</v>
          </cell>
          <cell r="D221" t="str">
            <v>PUR260031200001S</v>
          </cell>
          <cell r="E221" t="str">
            <v>BDB-000175</v>
          </cell>
          <cell r="F221" t="str">
            <v>PVN-002875</v>
          </cell>
          <cell r="G221" t="str">
            <v>OrthoLite Ultra-Hybrid-Nike SEEDPEARL/12-0703TPX Hybrid Flat Sheet 0.085D 25+/-4 Asker C 1.1M 2M 3mm</v>
          </cell>
          <cell r="H221">
            <v>40</v>
          </cell>
          <cell r="I221">
            <v>40</v>
          </cell>
          <cell r="J221">
            <v>40</v>
          </cell>
          <cell r="K221">
            <v>0</v>
          </cell>
          <cell r="L221" t="str">
            <v>NIKE</v>
          </cell>
          <cell r="M221" t="str">
            <v>Sample</v>
          </cell>
          <cell r="N221" t="str">
            <v>DIE CUT</v>
          </cell>
          <cell r="O221" t="str">
            <v>Sample</v>
          </cell>
          <cell r="P221">
            <v>46093</v>
          </cell>
          <cell r="Q221">
            <v>46110</v>
          </cell>
          <cell r="R221">
            <v>46107</v>
          </cell>
          <cell r="S221">
            <v>6</v>
          </cell>
          <cell r="T221">
            <v>17</v>
          </cell>
          <cell r="U221">
            <v>3</v>
          </cell>
          <cell r="V221">
            <v>2.1739999999999999E-2</v>
          </cell>
          <cell r="W221">
            <v>1</v>
          </cell>
        </row>
        <row r="222">
          <cell r="A222" t="str">
            <v>S-2026-03-68</v>
          </cell>
          <cell r="B222"/>
          <cell r="C222" t="str">
            <v>RPRO-260313-0146</v>
          </cell>
          <cell r="D222" t="str">
            <v>PUR260031200001S</v>
          </cell>
          <cell r="E222" t="str">
            <v>BDB-000126</v>
          </cell>
          <cell r="F222" t="str">
            <v>PVN-002325</v>
          </cell>
          <cell r="G222" t="str">
            <v>OrthoLite Regular-Nike RED/19-1764TPX Flat Sheet 0.11D 25+/-4 Asker C 1.1M 2M 5.2mm</v>
          </cell>
          <cell r="H222">
            <v>30</v>
          </cell>
          <cell r="I222">
            <v>30</v>
          </cell>
          <cell r="J222">
            <v>30</v>
          </cell>
          <cell r="K222">
            <v>0</v>
          </cell>
          <cell r="L222" t="str">
            <v>NIKE</v>
          </cell>
          <cell r="M222" t="str">
            <v>Sample</v>
          </cell>
          <cell r="N222" t="str">
            <v>MOLDED</v>
          </cell>
          <cell r="O222" t="str">
            <v>Sample</v>
          </cell>
          <cell r="P222">
            <v>46093</v>
          </cell>
          <cell r="Q222">
            <v>46110</v>
          </cell>
          <cell r="R222">
            <v>46107</v>
          </cell>
          <cell r="S222">
            <v>6</v>
          </cell>
          <cell r="T222">
            <v>17</v>
          </cell>
          <cell r="U222">
            <v>5.2</v>
          </cell>
          <cell r="V222">
            <v>3.8460000000000001E-2</v>
          </cell>
          <cell r="W222">
            <v>2</v>
          </cell>
        </row>
        <row r="223">
          <cell r="A223" t="str">
            <v>S-2026-03-69</v>
          </cell>
          <cell r="B223"/>
          <cell r="C223" t="str">
            <v>RPRO-260313-0147</v>
          </cell>
          <cell r="D223" t="str">
            <v>PUR260031200001S</v>
          </cell>
          <cell r="E223" t="str">
            <v>BDB-000154</v>
          </cell>
          <cell r="F223" t="str">
            <v>PVN-003362</v>
          </cell>
          <cell r="G223" t="str">
            <v>OrthoLite X-40-Nike TRUE BLUE/19-4057TPX Flat Sheet 0.16D 35+/-4 Asker C 1.1M 1.7M 4.7mm</v>
          </cell>
          <cell r="H223">
            <v>30</v>
          </cell>
          <cell r="I223">
            <v>30</v>
          </cell>
          <cell r="J223">
            <v>30</v>
          </cell>
          <cell r="K223">
            <v>0</v>
          </cell>
          <cell r="L223" t="str">
            <v>NIKE</v>
          </cell>
          <cell r="M223" t="str">
            <v>Sample</v>
          </cell>
          <cell r="N223" t="str">
            <v>MOLDED</v>
          </cell>
          <cell r="O223" t="str">
            <v>Sample</v>
          </cell>
          <cell r="P223">
            <v>46093</v>
          </cell>
          <cell r="Q223">
            <v>46110</v>
          </cell>
          <cell r="R223">
            <v>46107</v>
          </cell>
          <cell r="S223">
            <v>6</v>
          </cell>
          <cell r="T223">
            <v>17</v>
          </cell>
          <cell r="U223">
            <v>4.7</v>
          </cell>
          <cell r="V223">
            <v>3.4479999999999997E-2</v>
          </cell>
          <cell r="W223">
            <v>2</v>
          </cell>
        </row>
        <row r="224">
          <cell r="A224" t="str">
            <v>S-2026-03-70</v>
          </cell>
          <cell r="B224"/>
          <cell r="C224" t="str">
            <v>RPRO-260313-0148</v>
          </cell>
          <cell r="D224" t="str">
            <v>PUR260031200001S</v>
          </cell>
          <cell r="E224" t="str">
            <v>BDB-000125</v>
          </cell>
          <cell r="F224" t="str">
            <v>PVN-002413</v>
          </cell>
          <cell r="G224" t="str">
            <v>OrthoLite Regular-Nike AIR BLUE/16-4134TPX Flat Sheet 0.11D 25+/-4 Asker C 1.1M 2M 4.2mm</v>
          </cell>
          <cell r="H224">
            <v>30</v>
          </cell>
          <cell r="I224">
            <v>30</v>
          </cell>
          <cell r="J224">
            <v>30</v>
          </cell>
          <cell r="K224">
            <v>0</v>
          </cell>
          <cell r="L224" t="str">
            <v>NIKE</v>
          </cell>
          <cell r="M224" t="str">
            <v>Sample</v>
          </cell>
          <cell r="N224" t="str">
            <v>MOLDED</v>
          </cell>
          <cell r="O224" t="str">
            <v>Sample</v>
          </cell>
          <cell r="P224">
            <v>46093</v>
          </cell>
          <cell r="Q224">
            <v>46110</v>
          </cell>
          <cell r="R224">
            <v>46107</v>
          </cell>
          <cell r="S224">
            <v>6</v>
          </cell>
          <cell r="T224">
            <v>17</v>
          </cell>
          <cell r="U224">
            <v>4.2</v>
          </cell>
          <cell r="V224">
            <v>3.0300000000000001E-2</v>
          </cell>
          <cell r="W224">
            <v>1</v>
          </cell>
        </row>
        <row r="225">
          <cell r="A225" t="str">
            <v>S-2026-03-71</v>
          </cell>
          <cell r="B225"/>
          <cell r="C225" t="str">
            <v>RPRO-260313-0149</v>
          </cell>
          <cell r="D225" t="str">
            <v>PUR260031200001S</v>
          </cell>
          <cell r="E225" t="str">
            <v>BDB-000162</v>
          </cell>
          <cell r="F225" t="str">
            <v>PVN-001566</v>
          </cell>
          <cell r="G225" t="str">
            <v>OrthoLite Ultra-Nike SEEDPEARL/12-0703TPX Flat Sheet 0.085D 25+/-4 Asker C 1.1M 2M 4mm</v>
          </cell>
          <cell r="H225">
            <v>50</v>
          </cell>
          <cell r="I225">
            <v>50</v>
          </cell>
          <cell r="J225">
            <v>50</v>
          </cell>
          <cell r="K225">
            <v>0</v>
          </cell>
          <cell r="L225" t="str">
            <v>NIKE</v>
          </cell>
          <cell r="M225" t="str">
            <v>Sample</v>
          </cell>
          <cell r="N225" t="str">
            <v>DIE CUT</v>
          </cell>
          <cell r="O225" t="str">
            <v>Sample</v>
          </cell>
          <cell r="P225">
            <v>46093</v>
          </cell>
          <cell r="Q225">
            <v>46110</v>
          </cell>
          <cell r="R225">
            <v>46107</v>
          </cell>
          <cell r="S225">
            <v>6</v>
          </cell>
          <cell r="T225">
            <v>17</v>
          </cell>
          <cell r="U225">
            <v>4</v>
          </cell>
          <cell r="V225">
            <v>2.8570000000000002E-2</v>
          </cell>
          <cell r="W225">
            <v>2</v>
          </cell>
        </row>
        <row r="226">
          <cell r="A226" t="str">
            <v>S-2026-03-72</v>
          </cell>
          <cell r="B226"/>
          <cell r="C226" t="str">
            <v>RPRO-260313-0150</v>
          </cell>
          <cell r="D226" t="str">
            <v>PUR-202603120002S</v>
          </cell>
          <cell r="E226" t="str">
            <v>BDB-000097</v>
          </cell>
          <cell r="F226" t="str">
            <v>PVN-003671</v>
          </cell>
          <cell r="G226" t="str">
            <v>OrthoLite Eco LT-Hybrid SEEDPEARL/12-0703TPX Hybrid Flat Sheet 0.11D 25+/-4 Asker C 1.1M 2M 13mm</v>
          </cell>
          <cell r="H226">
            <v>20</v>
          </cell>
          <cell r="I226">
            <v>20</v>
          </cell>
          <cell r="J226">
            <v>20</v>
          </cell>
          <cell r="K226">
            <v>0</v>
          </cell>
          <cell r="L226" t="str">
            <v>NEW BALANCE</v>
          </cell>
          <cell r="M226" t="str">
            <v>Sample</v>
          </cell>
          <cell r="N226" t="str">
            <v>MOLDED</v>
          </cell>
          <cell r="O226" t="str">
            <v>Sample</v>
          </cell>
          <cell r="P226">
            <v>46093</v>
          </cell>
          <cell r="Q226">
            <v>46111</v>
          </cell>
          <cell r="R226">
            <v>46108</v>
          </cell>
          <cell r="S226">
            <v>6</v>
          </cell>
          <cell r="T226">
            <v>18</v>
          </cell>
          <cell r="U226">
            <v>13</v>
          </cell>
          <cell r="V226">
            <v>0.1</v>
          </cell>
          <cell r="W226">
            <v>2</v>
          </cell>
        </row>
        <row r="227">
          <cell r="A227" t="str">
            <v>S-2026-03-73</v>
          </cell>
          <cell r="B227"/>
          <cell r="C227" t="str">
            <v>RPRO-260313-0151</v>
          </cell>
          <cell r="D227" t="str">
            <v>PUR-202603120002S</v>
          </cell>
          <cell r="E227" t="str">
            <v>BDB-000113</v>
          </cell>
          <cell r="F227" t="str">
            <v>PVN-003414</v>
          </cell>
          <cell r="G227" t="str">
            <v>OrthoLite Regular-Hybrid SEEDPEARL/12-0703TPX Hybrid 0.11D 25+/-4 Asker C 1.1M 2M 12mm</v>
          </cell>
          <cell r="H227">
            <v>80</v>
          </cell>
          <cell r="I227">
            <v>80</v>
          </cell>
          <cell r="J227">
            <v>80</v>
          </cell>
          <cell r="K227">
            <v>0</v>
          </cell>
          <cell r="L227" t="str">
            <v>ASICS</v>
          </cell>
          <cell r="M227" t="str">
            <v>Sample</v>
          </cell>
          <cell r="N227" t="str">
            <v>MOLDED</v>
          </cell>
          <cell r="O227" t="str">
            <v>Sample</v>
          </cell>
          <cell r="P227">
            <v>46093</v>
          </cell>
          <cell r="Q227">
            <v>46111</v>
          </cell>
          <cell r="R227">
            <v>46108</v>
          </cell>
          <cell r="S227">
            <v>6</v>
          </cell>
          <cell r="T227">
            <v>18</v>
          </cell>
          <cell r="U227">
            <v>12</v>
          </cell>
          <cell r="V227">
            <v>9.0909999999999991E-2</v>
          </cell>
          <cell r="W227">
            <v>8</v>
          </cell>
        </row>
        <row r="228">
          <cell r="A228" t="str">
            <v>S-2026-03-74</v>
          </cell>
          <cell r="B228"/>
          <cell r="C228" t="str">
            <v>RPRO-260313-0152</v>
          </cell>
          <cell r="D228" t="str">
            <v>PUR-202603120002S</v>
          </cell>
          <cell r="E228" t="str">
            <v>BDB-000097</v>
          </cell>
          <cell r="F228" t="str">
            <v>PVN-002478</v>
          </cell>
          <cell r="G228" t="str">
            <v>OrthoLite Eco LT-Hybrid SEEDPEARL/12-0703TPX Hybrid 0.11D 25+/-4 Asker C 1.1M 2M 4mm</v>
          </cell>
          <cell r="H228">
            <v>80</v>
          </cell>
          <cell r="I228">
            <v>80</v>
          </cell>
          <cell r="J228">
            <v>80</v>
          </cell>
          <cell r="K228">
            <v>0</v>
          </cell>
          <cell r="L228" t="str">
            <v>NEW BALANCE</v>
          </cell>
          <cell r="M228" t="str">
            <v>Sample</v>
          </cell>
          <cell r="N228" t="str">
            <v>DIE-CUT</v>
          </cell>
          <cell r="O228" t="str">
            <v>Sample</v>
          </cell>
          <cell r="P228">
            <v>46093</v>
          </cell>
          <cell r="Q228">
            <v>46111</v>
          </cell>
          <cell r="R228">
            <v>46108</v>
          </cell>
          <cell r="S228">
            <v>6</v>
          </cell>
          <cell r="T228">
            <v>18</v>
          </cell>
          <cell r="U228">
            <v>4</v>
          </cell>
          <cell r="V228">
            <v>2.8570000000000002E-2</v>
          </cell>
          <cell r="W228">
            <v>3</v>
          </cell>
        </row>
        <row r="229">
          <cell r="A229" t="str">
            <v>S-2026-03-75</v>
          </cell>
          <cell r="B229"/>
          <cell r="C229" t="str">
            <v>RPRO-260313-0318</v>
          </cell>
          <cell r="D229" t="str">
            <v>PUR2603130001S</v>
          </cell>
          <cell r="E229" t="str">
            <v>BDB-000076</v>
          </cell>
          <cell r="F229" t="str">
            <v>PVN-003448</v>
          </cell>
          <cell r="G229" t="str">
            <v>OrthoLite X-25 BILLIARD/16-5427TPX 0.12D 20+/-4 Asker C 1.1M 2M 6.2mm</v>
          </cell>
          <cell r="H229">
            <v>50</v>
          </cell>
          <cell r="I229">
            <v>50</v>
          </cell>
          <cell r="J229">
            <v>50</v>
          </cell>
          <cell r="K229">
            <v>0</v>
          </cell>
          <cell r="L229" t="str">
            <v>ADIDAS</v>
          </cell>
          <cell r="M229" t="str">
            <v>Sample</v>
          </cell>
          <cell r="N229" t="str">
            <v>Molded</v>
          </cell>
          <cell r="O229" t="str">
            <v>Sample</v>
          </cell>
          <cell r="P229">
            <v>46094</v>
          </cell>
          <cell r="Q229">
            <v>46112</v>
          </cell>
          <cell r="R229">
            <v>46109</v>
          </cell>
          <cell r="S229">
            <v>6</v>
          </cell>
          <cell r="T229">
            <v>18</v>
          </cell>
          <cell r="U229">
            <v>6.2</v>
          </cell>
          <cell r="V229">
            <v>4.5449999999999997E-2</v>
          </cell>
          <cell r="W229">
            <v>3</v>
          </cell>
        </row>
        <row r="230">
          <cell r="A230" t="str">
            <v>S-2026-03-76</v>
          </cell>
          <cell r="B230"/>
          <cell r="C230" t="str">
            <v>RPRO-260313-0319</v>
          </cell>
          <cell r="D230" t="str">
            <v>PUR2603130001S</v>
          </cell>
          <cell r="E230" t="str">
            <v>BDB-000014</v>
          </cell>
          <cell r="F230" t="str">
            <v>PVN-000089</v>
          </cell>
          <cell r="G230" t="str">
            <v>OrthoLite Regular AIR BLUE/16-4134TPX Flat Sheet 0.11D 25+/-4 Asker C 1.1M 1.47M 3mm</v>
          </cell>
          <cell r="H230">
            <v>20</v>
          </cell>
          <cell r="I230">
            <v>20</v>
          </cell>
          <cell r="J230">
            <v>20</v>
          </cell>
          <cell r="K230">
            <v>0</v>
          </cell>
          <cell r="L230" t="str">
            <v>ADIDAS</v>
          </cell>
          <cell r="M230" t="str">
            <v>SSO-2603-00855 - URGENT (3-22)</v>
          </cell>
          <cell r="N230" t="str">
            <v>Flat sheet</v>
          </cell>
          <cell r="O230" t="str">
            <v>Sample</v>
          </cell>
          <cell r="P230">
            <v>46094</v>
          </cell>
          <cell r="Q230">
            <v>46103</v>
          </cell>
          <cell r="R230">
            <v>46100</v>
          </cell>
          <cell r="S230">
            <v>6</v>
          </cell>
          <cell r="T230">
            <v>9</v>
          </cell>
          <cell r="U230">
            <v>3</v>
          </cell>
          <cell r="V230">
            <v>2.1739999999999999E-2</v>
          </cell>
          <cell r="W230">
            <v>1</v>
          </cell>
        </row>
        <row r="231">
          <cell r="A231" t="str">
            <v>S-2026-03-77</v>
          </cell>
          <cell r="B231"/>
          <cell r="C231" t="str">
            <v>RPRO-260314-0198</v>
          </cell>
          <cell r="D231" t="str">
            <v>PUR2603140001S</v>
          </cell>
          <cell r="E231" t="str">
            <v>BDB-000123</v>
          </cell>
          <cell r="F231" t="str">
            <v>PVN-003299</v>
          </cell>
          <cell r="G231" t="str">
            <v>OrthoLite Ultra-Hybrid SEEDPEARL/12-0703TPX Hybrid Flat Sheet 0.085D 25+/-4 Asker C 1.1M 2M 3mm</v>
          </cell>
          <cell r="H231">
            <v>400</v>
          </cell>
          <cell r="I231">
            <v>400</v>
          </cell>
          <cell r="J231">
            <v>400</v>
          </cell>
          <cell r="K231">
            <v>0</v>
          </cell>
          <cell r="L231" t="str">
            <v>ADIDAS</v>
          </cell>
          <cell r="M231" t="str">
            <v>SSO-2603-00897 - URGENT (3-25)</v>
          </cell>
          <cell r="N231" t="str">
            <v>Flat sheet</v>
          </cell>
          <cell r="O231" t="str">
            <v>Sample</v>
          </cell>
          <cell r="P231">
            <v>46095</v>
          </cell>
          <cell r="Q231">
            <v>46106</v>
          </cell>
          <cell r="R231">
            <v>46103</v>
          </cell>
          <cell r="S231">
            <v>6</v>
          </cell>
          <cell r="T231">
            <v>11</v>
          </cell>
          <cell r="U231">
            <v>3</v>
          </cell>
          <cell r="V231">
            <v>2.1739999999999999E-2</v>
          </cell>
          <cell r="W231">
            <v>9</v>
          </cell>
        </row>
        <row r="232">
          <cell r="A232" t="str">
            <v>S-2026-03-78</v>
          </cell>
          <cell r="B232"/>
          <cell r="C232" t="str">
            <v>RPRO-260314-0199</v>
          </cell>
          <cell r="D232" t="str">
            <v>PUR2603140001S</v>
          </cell>
          <cell r="E232" t="str">
            <v>BDB-000016</v>
          </cell>
          <cell r="F232" t="str">
            <v>PVN-000338</v>
          </cell>
          <cell r="G232" t="str">
            <v>OrthoLite Regular GREEN/16-5932TPX Flat Sheet 0.13D 35+/-4 Asker C 1.1M 2M 4mm</v>
          </cell>
          <cell r="H232">
            <v>50</v>
          </cell>
          <cell r="I232">
            <v>50</v>
          </cell>
          <cell r="J232">
            <v>50</v>
          </cell>
          <cell r="K232">
            <v>0</v>
          </cell>
          <cell r="L232" t="str">
            <v>ADIDAS</v>
          </cell>
          <cell r="M232" t="str">
            <v>SSO-2603-00901 - URGENT (3-21)</v>
          </cell>
          <cell r="N232" t="str">
            <v>Flat sheet</v>
          </cell>
          <cell r="O232" t="str">
            <v>Sample</v>
          </cell>
          <cell r="P232">
            <v>46095</v>
          </cell>
          <cell r="Q232">
            <v>46102</v>
          </cell>
          <cell r="R232">
            <v>46099</v>
          </cell>
          <cell r="S232">
            <v>6</v>
          </cell>
          <cell r="T232">
            <v>7</v>
          </cell>
          <cell r="U232">
            <v>4</v>
          </cell>
          <cell r="V232">
            <v>2.8570000000000002E-2</v>
          </cell>
          <cell r="W232">
            <v>2</v>
          </cell>
        </row>
        <row r="233">
          <cell r="A233" t="str">
            <v>S-2026-03-79</v>
          </cell>
          <cell r="B233"/>
          <cell r="C233" t="str">
            <v>RPRO-260317-0628</v>
          </cell>
          <cell r="D233" t="str">
            <v>PUR2603160001S</v>
          </cell>
          <cell r="E233" t="str">
            <v>BDB-000317</v>
          </cell>
          <cell r="F233" t="str">
            <v>PVN-004293</v>
          </cell>
          <cell r="G233" t="str">
            <v>OrthoLite Regular NEUTRAL GRAY/17-4402TPX Flat Sheet 0.13D 15+/-4 Asker C 1.1M 2M 22mm</v>
          </cell>
          <cell r="H233">
            <v>20</v>
          </cell>
          <cell r="I233">
            <v>20</v>
          </cell>
          <cell r="J233">
            <v>20</v>
          </cell>
          <cell r="K233">
            <v>0</v>
          </cell>
          <cell r="L233" t="str">
            <v>TRAVIS MATHEW</v>
          </cell>
          <cell r="M233" t="str">
            <v>SAMPLE</v>
          </cell>
          <cell r="N233" t="str">
            <v>OV-0450 URGENT</v>
          </cell>
          <cell r="O233" t="str">
            <v>Sample</v>
          </cell>
          <cell r="P233">
            <v>46097</v>
          </cell>
          <cell r="Q233">
            <v>46104</v>
          </cell>
          <cell r="R233">
            <v>46101</v>
          </cell>
          <cell r="S233">
            <v>6</v>
          </cell>
          <cell r="T233">
            <v>7</v>
          </cell>
          <cell r="U233">
            <v>22</v>
          </cell>
          <cell r="V233">
            <v>0.16667000000000001</v>
          </cell>
          <cell r="W233">
            <v>4</v>
          </cell>
        </row>
        <row r="234">
          <cell r="A234" t="str">
            <v>S-2026-03-80</v>
          </cell>
          <cell r="B234"/>
          <cell r="C234" t="str">
            <v>RPRO-260317-0629</v>
          </cell>
          <cell r="D234" t="str">
            <v>PUR2603160001S</v>
          </cell>
          <cell r="E234" t="str">
            <v>BDB-000209</v>
          </cell>
          <cell r="F234" t="str">
            <v>PVN-003550</v>
          </cell>
          <cell r="G234" t="str">
            <v>OrthoLite HybridPlus-Recycled MINT GREEN/11-4805TPX Hybrid Flat Sheet 0.12D 25+/-4 Asker C 1.1M 2M 6mm</v>
          </cell>
          <cell r="H234">
            <v>50</v>
          </cell>
          <cell r="I234">
            <v>50</v>
          </cell>
          <cell r="J234">
            <v>50</v>
          </cell>
          <cell r="K234">
            <v>0</v>
          </cell>
          <cell r="L234" t="str">
            <v>ON RUNNING</v>
          </cell>
          <cell r="M234" t="str">
            <v>SAMPLE</v>
          </cell>
          <cell r="N234" t="str">
            <v>OV-0408</v>
          </cell>
          <cell r="O234" t="str">
            <v>Sample</v>
          </cell>
          <cell r="P234">
            <v>46097</v>
          </cell>
          <cell r="Q234">
            <v>46114</v>
          </cell>
          <cell r="R234">
            <v>46111</v>
          </cell>
          <cell r="S234">
            <v>6</v>
          </cell>
          <cell r="T234">
            <v>17</v>
          </cell>
          <cell r="U234">
            <v>6</v>
          </cell>
          <cell r="V234">
            <v>4.3479999999999998E-2</v>
          </cell>
          <cell r="W234">
            <v>3</v>
          </cell>
        </row>
        <row r="235">
          <cell r="A235" t="str">
            <v>S-2026-03-81</v>
          </cell>
          <cell r="B235"/>
          <cell r="C235" t="str">
            <v>RPRO-260317-0630</v>
          </cell>
          <cell r="D235" t="str">
            <v>PUR2603160002S</v>
          </cell>
          <cell r="E235" t="str">
            <v>BDB-000377</v>
          </cell>
          <cell r="F235" t="str">
            <v>PVN-004335</v>
          </cell>
          <cell r="G235" t="str">
            <v>OrthoLite Regular GREY/17-1501TPX Flat Sheet 0.11D 15+/-4 Asker C 1.1M 2M 22mm</v>
          </cell>
          <cell r="H235">
            <v>20</v>
          </cell>
          <cell r="I235">
            <v>20</v>
          </cell>
          <cell r="J235">
            <v>20</v>
          </cell>
          <cell r="K235">
            <v>0</v>
          </cell>
          <cell r="L235" t="str">
            <v>TRAVIS MATHEW</v>
          </cell>
          <cell r="M235" t="str">
            <v>SAMPLE</v>
          </cell>
          <cell r="N235" t="str">
            <v>OV-0450 URGENT</v>
          </cell>
          <cell r="O235" t="str">
            <v>Sample</v>
          </cell>
          <cell r="P235">
            <v>46097</v>
          </cell>
          <cell r="Q235">
            <v>46104</v>
          </cell>
          <cell r="R235">
            <v>46101</v>
          </cell>
          <cell r="S235">
            <v>6</v>
          </cell>
          <cell r="T235">
            <v>7</v>
          </cell>
          <cell r="U235">
            <v>22</v>
          </cell>
          <cell r="V235">
            <v>0.16667000000000001</v>
          </cell>
          <cell r="W235">
            <v>4</v>
          </cell>
        </row>
        <row r="236">
          <cell r="A236" t="str">
            <v>S-2026-03-82</v>
          </cell>
          <cell r="B236"/>
          <cell r="C236" t="str">
            <v>RPRO-260317-0631</v>
          </cell>
          <cell r="D236" t="str">
            <v>PUR-202603160003S</v>
          </cell>
          <cell r="E236" t="str">
            <v>BDB-000339</v>
          </cell>
          <cell r="F236" t="str">
            <v>PVN-004334</v>
          </cell>
          <cell r="G236" t="str">
            <v>OrthoLite Float NEUTRAL GRAY/17-4402TPX Flat Sheet 0.12D 21+/-4 Asker C 1.1M 2M 4.5mm</v>
          </cell>
          <cell r="H236">
            <v>30</v>
          </cell>
          <cell r="I236">
            <v>30</v>
          </cell>
          <cell r="J236">
            <v>30</v>
          </cell>
          <cell r="K236">
            <v>0</v>
          </cell>
          <cell r="L236" t="str">
            <v>PUMA</v>
          </cell>
          <cell r="M236" t="str">
            <v>Sample</v>
          </cell>
          <cell r="N236" t="str">
            <v>MOLDED</v>
          </cell>
          <cell r="O236" t="str">
            <v>Sample</v>
          </cell>
          <cell r="P236">
            <v>46097</v>
          </cell>
          <cell r="Q236">
            <v>46114</v>
          </cell>
          <cell r="R236">
            <v>46111</v>
          </cell>
          <cell r="S236">
            <v>6</v>
          </cell>
          <cell r="T236">
            <v>17</v>
          </cell>
          <cell r="U236">
            <v>4.5</v>
          </cell>
          <cell r="V236">
            <v>3.2259999999999997E-2</v>
          </cell>
          <cell r="W236">
            <v>1</v>
          </cell>
        </row>
        <row r="237">
          <cell r="A237" t="str">
            <v>S-2026-03-83</v>
          </cell>
          <cell r="B237"/>
          <cell r="C237" t="str">
            <v>RPRO-260317-0632</v>
          </cell>
          <cell r="D237" t="str">
            <v>PUR-202603160003S</v>
          </cell>
          <cell r="E237" t="str">
            <v>BDB-000011</v>
          </cell>
          <cell r="F237" t="str">
            <v>PVN-000258</v>
          </cell>
          <cell r="G237" t="str">
            <v>OrthoLite Regular AIR BLUE/16-4134TPX Flat Sheet 0.13D 35+/-4 Asker C 1.1M 2M 2.5mm</v>
          </cell>
          <cell r="H237">
            <v>20</v>
          </cell>
          <cell r="I237">
            <v>20</v>
          </cell>
          <cell r="J237">
            <v>20</v>
          </cell>
          <cell r="K237">
            <v>0</v>
          </cell>
          <cell r="L237" t="str">
            <v>ASICS</v>
          </cell>
          <cell r="M237" t="str">
            <v>Sample</v>
          </cell>
          <cell r="N237" t="str">
            <v>FL SHEET</v>
          </cell>
          <cell r="O237" t="str">
            <v>Sample</v>
          </cell>
          <cell r="P237">
            <v>46097</v>
          </cell>
          <cell r="Q237">
            <v>46114</v>
          </cell>
          <cell r="R237">
            <v>46111</v>
          </cell>
          <cell r="S237">
            <v>6</v>
          </cell>
          <cell r="T237">
            <v>17</v>
          </cell>
          <cell r="U237">
            <v>2.5</v>
          </cell>
          <cell r="V237">
            <v>1.7860000000000001E-2</v>
          </cell>
          <cell r="W237">
            <v>1</v>
          </cell>
        </row>
        <row r="238">
          <cell r="A238" t="str">
            <v>S-2026-03-84</v>
          </cell>
          <cell r="B238"/>
          <cell r="C238" t="str">
            <v>RPRO-260317-0633</v>
          </cell>
          <cell r="D238" t="str">
            <v>PUR-202603160003S</v>
          </cell>
          <cell r="E238" t="str">
            <v>BDB-000011</v>
          </cell>
          <cell r="F238" t="str">
            <v>PVN-000242</v>
          </cell>
          <cell r="G238" t="str">
            <v>OrthoLite Regular AIR BLUE/16-4134TPX Flat Sheet 0.13D 35+/-4 Asker C 1.1M 2M 2mm</v>
          </cell>
          <cell r="H238">
            <v>20</v>
          </cell>
          <cell r="I238">
            <v>20</v>
          </cell>
          <cell r="J238">
            <v>20</v>
          </cell>
          <cell r="K238">
            <v>0</v>
          </cell>
          <cell r="L238" t="str">
            <v>ASICS</v>
          </cell>
          <cell r="M238" t="str">
            <v>Sample</v>
          </cell>
          <cell r="N238" t="str">
            <v>FL SHEET</v>
          </cell>
          <cell r="O238" t="str">
            <v>Sample</v>
          </cell>
          <cell r="P238">
            <v>46097</v>
          </cell>
          <cell r="Q238">
            <v>46114</v>
          </cell>
          <cell r="R238">
            <v>46111</v>
          </cell>
          <cell r="S238">
            <v>6</v>
          </cell>
          <cell r="T238">
            <v>17</v>
          </cell>
          <cell r="U238">
            <v>2</v>
          </cell>
          <cell r="V238">
            <v>1.4290000000000001E-2</v>
          </cell>
          <cell r="W238">
            <v>1</v>
          </cell>
        </row>
        <row r="239">
          <cell r="A239" t="str">
            <v>S-2026-03-85</v>
          </cell>
          <cell r="B239"/>
          <cell r="C239" t="str">
            <v>RPRO-260317-0634</v>
          </cell>
          <cell r="D239" t="str">
            <v>PUR-202603160003S</v>
          </cell>
          <cell r="E239" t="str">
            <v>BDB-000113</v>
          </cell>
          <cell r="F239" t="str">
            <v>PVN-002501</v>
          </cell>
          <cell r="G239" t="str">
            <v>OrthoLite Regular-Hybrid SEEDPEARL/12-0703TPX Hybrid Flat Sheet 0.11D 25+/-4 Asker C 1.1M 2M 2mm</v>
          </cell>
          <cell r="H239">
            <v>20</v>
          </cell>
          <cell r="I239">
            <v>20</v>
          </cell>
          <cell r="J239">
            <v>20</v>
          </cell>
          <cell r="K239">
            <v>0</v>
          </cell>
          <cell r="L239" t="str">
            <v>ASICS</v>
          </cell>
          <cell r="M239" t="str">
            <v>Sample</v>
          </cell>
          <cell r="N239" t="str">
            <v>FL SHEET</v>
          </cell>
          <cell r="O239" t="str">
            <v>Sample</v>
          </cell>
          <cell r="P239">
            <v>46097</v>
          </cell>
          <cell r="Q239">
            <v>46114</v>
          </cell>
          <cell r="R239">
            <v>46111</v>
          </cell>
          <cell r="S239">
            <v>6</v>
          </cell>
          <cell r="T239">
            <v>17</v>
          </cell>
          <cell r="U239">
            <v>2</v>
          </cell>
          <cell r="V239">
            <v>1.4290000000000001E-2</v>
          </cell>
          <cell r="W239">
            <v>1</v>
          </cell>
        </row>
        <row r="240">
          <cell r="A240" t="str">
            <v>S-2026-03-86</v>
          </cell>
          <cell r="B240"/>
          <cell r="C240" t="str">
            <v>RPRO-260317-0635</v>
          </cell>
          <cell r="D240" t="str">
            <v>PUR-202603160003S</v>
          </cell>
          <cell r="E240" t="str">
            <v>BDB-000051</v>
          </cell>
          <cell r="F240" t="str">
            <v>PVN-003323</v>
          </cell>
          <cell r="G240" t="str">
            <v>OrthoLite X-40 TRUE BLUE/19-4057TPX Flat Sheet 0.16D 25+/-4 Asker C 1.1M 1.7M 3mm</v>
          </cell>
          <cell r="H240">
            <v>20</v>
          </cell>
          <cell r="I240">
            <v>20</v>
          </cell>
          <cell r="J240">
            <v>20</v>
          </cell>
          <cell r="K240">
            <v>0</v>
          </cell>
          <cell r="L240" t="str">
            <v>ASICS</v>
          </cell>
          <cell r="M240" t="str">
            <v>Sample</v>
          </cell>
          <cell r="N240" t="str">
            <v>DIE-CUT</v>
          </cell>
          <cell r="O240" t="str">
            <v>Sample</v>
          </cell>
          <cell r="P240">
            <v>46097</v>
          </cell>
          <cell r="Q240">
            <v>46114</v>
          </cell>
          <cell r="R240">
            <v>46111</v>
          </cell>
          <cell r="S240">
            <v>6</v>
          </cell>
          <cell r="T240">
            <v>17</v>
          </cell>
          <cell r="U240">
            <v>3</v>
          </cell>
          <cell r="V240">
            <v>2.1739999999999999E-2</v>
          </cell>
          <cell r="W240">
            <v>1</v>
          </cell>
        </row>
        <row r="241">
          <cell r="A241" t="str">
            <v>S-2026-03-87</v>
          </cell>
          <cell r="B241"/>
          <cell r="C241" t="str">
            <v>RPRO-260317-0636</v>
          </cell>
          <cell r="D241" t="str">
            <v>PUR-202603160003S</v>
          </cell>
          <cell r="E241" t="str">
            <v>BDB-000123</v>
          </cell>
          <cell r="F241" t="str">
            <v>PVN-003298</v>
          </cell>
          <cell r="G241" t="str">
            <v>OrthoLite Ultra-Hybrid SEEDPEARL/12-0703TPX Hybrid 0.085D 25+/-4 Asker C 1.1M 2M 4mm</v>
          </cell>
          <cell r="H241">
            <v>70</v>
          </cell>
          <cell r="I241">
            <v>70</v>
          </cell>
          <cell r="J241">
            <v>70</v>
          </cell>
          <cell r="K241">
            <v>0</v>
          </cell>
          <cell r="L241" t="str">
            <v>SALOMON</v>
          </cell>
          <cell r="M241" t="str">
            <v>Sample</v>
          </cell>
          <cell r="N241" t="str">
            <v>FL SHEET</v>
          </cell>
          <cell r="O241" t="str">
            <v>Sample</v>
          </cell>
          <cell r="P241">
            <v>46097</v>
          </cell>
          <cell r="Q241">
            <v>46114</v>
          </cell>
          <cell r="R241">
            <v>46111</v>
          </cell>
          <cell r="S241">
            <v>6</v>
          </cell>
          <cell r="T241">
            <v>17</v>
          </cell>
          <cell r="U241">
            <v>4</v>
          </cell>
          <cell r="V241">
            <v>2.8570000000000002E-2</v>
          </cell>
          <cell r="W241">
            <v>2</v>
          </cell>
        </row>
        <row r="242">
          <cell r="A242" t="str">
            <v>L-2026-03-88</v>
          </cell>
          <cell r="B242"/>
          <cell r="C242" t="str">
            <v>RPRO-260317-0637</v>
          </cell>
          <cell r="D242" t="str">
            <v>nguyet.bui@ortholite.vn</v>
          </cell>
          <cell r="E242" t="str">
            <v>BDB-000217</v>
          </cell>
          <cell r="F242" t="str">
            <v>PVN-003805</v>
          </cell>
          <cell r="G242" t="str">
            <v>OrthoLite X-40-Hybrid SEEDPEARL/12-0703TPX Hybrid Flat Sheet 0.16D 35+/-4 Asker C 1.1M 1.7M 3.5mm</v>
          </cell>
          <cell r="H242">
            <v>5</v>
          </cell>
          <cell r="I242">
            <v>5</v>
          </cell>
          <cell r="J242">
            <v>5</v>
          </cell>
          <cell r="K242">
            <v>0</v>
          </cell>
          <cell r="L242" t="str">
            <v>NIKE-POU CHEN</v>
          </cell>
          <cell r="M242" t="str">
            <v xml:space="preserve">Lab test </v>
          </cell>
          <cell r="N242"/>
          <cell r="O242" t="str">
            <v>Lab test</v>
          </cell>
          <cell r="P242">
            <v>46097</v>
          </cell>
          <cell r="Q242">
            <v>46107</v>
          </cell>
          <cell r="R242">
            <v>46104</v>
          </cell>
          <cell r="S242">
            <v>6</v>
          </cell>
          <cell r="T242">
            <v>10</v>
          </cell>
          <cell r="U242">
            <v>3.5</v>
          </cell>
          <cell r="V242">
            <v>2.5000000000000001E-2</v>
          </cell>
          <cell r="W242">
            <v>1</v>
          </cell>
        </row>
        <row r="243">
          <cell r="A243" t="str">
            <v>L-2026-03-89</v>
          </cell>
          <cell r="B243" t="str">
            <v>c</v>
          </cell>
          <cell r="C243" t="str">
            <v>RPRO-260317-0638</v>
          </cell>
          <cell r="D243" t="str">
            <v>nguyet.bui@ortholite.vn</v>
          </cell>
          <cell r="E243" t="str">
            <v>BDB-000221</v>
          </cell>
          <cell r="F243" t="str">
            <v>PVN-004124</v>
          </cell>
          <cell r="G243" t="str">
            <v>OrthoLite X-40-Hybrid-Nike SEEDPEARL/12-0703TPX 0.16D 25+/-4 Asker C 1.1M 1.7M 10mm</v>
          </cell>
          <cell r="H243">
            <v>4</v>
          </cell>
          <cell r="I243">
            <v>4</v>
          </cell>
          <cell r="J243">
            <v>4</v>
          </cell>
          <cell r="K243">
            <v>0</v>
          </cell>
          <cell r="L243" t="str">
            <v>NIKE-POU CHEN</v>
          </cell>
          <cell r="M243" t="str">
            <v xml:space="preserve">Lab test </v>
          </cell>
          <cell r="N243"/>
          <cell r="O243" t="str">
            <v>Lab test</v>
          </cell>
          <cell r="P243">
            <v>46097</v>
          </cell>
          <cell r="Q243">
            <v>46107</v>
          </cell>
          <cell r="R243">
            <v>46104</v>
          </cell>
          <cell r="S243">
            <v>6</v>
          </cell>
          <cell r="T243">
            <v>10</v>
          </cell>
          <cell r="U243">
            <v>10</v>
          </cell>
          <cell r="V243">
            <v>7.6920000000000002E-2</v>
          </cell>
          <cell r="W243">
            <v>1</v>
          </cell>
        </row>
        <row r="244">
          <cell r="A244" t="str">
            <v>S-2026-03-90</v>
          </cell>
          <cell r="B244"/>
          <cell r="C244" t="str">
            <v>RPRO-260317-0639</v>
          </cell>
          <cell r="D244" t="str">
            <v xml:space="preserve">PUR2603170001S </v>
          </cell>
          <cell r="E244" t="str">
            <v>BDB-000058</v>
          </cell>
          <cell r="F244" t="str">
            <v>PVN-003894</v>
          </cell>
          <cell r="G244" t="str">
            <v>OrthoLite Ultra GREEN/16-5932TPX Flat Sheet 0.085D 25+/-4 Asker C 1.1M 2M 11mm</v>
          </cell>
          <cell r="H244">
            <v>50</v>
          </cell>
          <cell r="I244">
            <v>50</v>
          </cell>
          <cell r="J244">
            <v>50</v>
          </cell>
          <cell r="K244">
            <v>0</v>
          </cell>
          <cell r="L244" t="str">
            <v>BLACKYAK</v>
          </cell>
          <cell r="M244" t="str">
            <v>Sample</v>
          </cell>
          <cell r="N244" t="str">
            <v>Molded</v>
          </cell>
          <cell r="O244" t="str">
            <v>Sample</v>
          </cell>
          <cell r="P244">
            <v>46098</v>
          </cell>
          <cell r="Q244">
            <v>46115</v>
          </cell>
          <cell r="R244">
            <v>46112</v>
          </cell>
          <cell r="S244">
            <v>6</v>
          </cell>
          <cell r="T244">
            <v>17</v>
          </cell>
          <cell r="U244">
            <v>11</v>
          </cell>
          <cell r="V244">
            <v>8.3330000000000001E-2</v>
          </cell>
          <cell r="W244">
            <v>5</v>
          </cell>
        </row>
        <row r="245">
          <cell r="A245" t="str">
            <v>S-2026-03-91</v>
          </cell>
          <cell r="B245"/>
          <cell r="C245" t="str">
            <v>RPRO-260317-0640</v>
          </cell>
          <cell r="D245" t="str">
            <v xml:space="preserve">PUR2603170001S </v>
          </cell>
          <cell r="E245" t="str">
            <v>BDB-000379</v>
          </cell>
          <cell r="F245" t="str">
            <v>PVN-004337</v>
          </cell>
          <cell r="G245" t="str">
            <v>OrthoLite Regular BROWN SUGAR/17-1134TPX Flat Sheet 0.11D 25+/-4 Asker C 1.1M 2M 7.5mm</v>
          </cell>
          <cell r="H245">
            <v>10</v>
          </cell>
          <cell r="I245">
            <v>10</v>
          </cell>
          <cell r="J245">
            <v>10</v>
          </cell>
          <cell r="K245">
            <v>0</v>
          </cell>
          <cell r="L245" t="str">
            <v>VIOLET</v>
          </cell>
          <cell r="M245" t="str">
            <v>SSO-2603-01010</v>
          </cell>
          <cell r="N245" t="str">
            <v>Molded</v>
          </cell>
          <cell r="O245" t="str">
            <v>Sample</v>
          </cell>
          <cell r="P245">
            <v>46098</v>
          </cell>
          <cell r="Q245">
            <v>46115</v>
          </cell>
          <cell r="R245">
            <v>46112</v>
          </cell>
          <cell r="S245">
            <v>6</v>
          </cell>
          <cell r="T245">
            <v>17</v>
          </cell>
          <cell r="U245">
            <v>7.5</v>
          </cell>
          <cell r="V245">
            <v>5.5559999999999998E-2</v>
          </cell>
          <cell r="W245">
            <v>1</v>
          </cell>
        </row>
        <row r="246">
          <cell r="A246" t="str">
            <v>S-2026-03-92</v>
          </cell>
          <cell r="B246"/>
          <cell r="C246" t="str">
            <v>RPRO-260317-0641</v>
          </cell>
          <cell r="D246" t="str">
            <v xml:space="preserve">PUR2603170001S </v>
          </cell>
          <cell r="E246" t="str">
            <v>BDB-000347</v>
          </cell>
          <cell r="F246" t="str">
            <v>PVN-004192</v>
          </cell>
          <cell r="G246" t="str">
            <v>OrthoLite X-55-Hybrid SEEDPEARL/12-0703TPX Hybrid Flat Sheet 0.16D 25+/-4 Asker C 1.1M 2M 12mm</v>
          </cell>
          <cell r="H246">
            <v>100</v>
          </cell>
          <cell r="I246">
            <v>100</v>
          </cell>
          <cell r="J246">
            <v>100</v>
          </cell>
          <cell r="K246">
            <v>0</v>
          </cell>
          <cell r="L246" t="str">
            <v>BROOKS</v>
          </cell>
          <cell r="M246" t="str">
            <v>Sample</v>
          </cell>
          <cell r="N246" t="str">
            <v>Molded</v>
          </cell>
          <cell r="O246" t="str">
            <v>Sample</v>
          </cell>
          <cell r="P246">
            <v>46098</v>
          </cell>
          <cell r="Q246">
            <v>46115</v>
          </cell>
          <cell r="R246">
            <v>46112</v>
          </cell>
          <cell r="S246">
            <v>6</v>
          </cell>
          <cell r="T246">
            <v>17</v>
          </cell>
          <cell r="U246">
            <v>12</v>
          </cell>
          <cell r="V246">
            <v>9.0910000000000005E-2</v>
          </cell>
          <cell r="W246">
            <v>10</v>
          </cell>
        </row>
        <row r="247">
          <cell r="A247" t="str">
            <v>L-2026-03-93</v>
          </cell>
          <cell r="B247"/>
          <cell r="C247" t="str">
            <v>RPRO-260318-0477</v>
          </cell>
          <cell r="D247" t="str">
            <v>giau.ntn@ortholite.vn</v>
          </cell>
          <cell r="E247" t="str">
            <v>BDB-000050</v>
          </cell>
          <cell r="F247" t="str">
            <v>PVN-002228</v>
          </cell>
          <cell r="G247" t="str">
            <v>OrthoLite Regular NEUTRAL GRAY/17-4402TPX 0.11D 25+/-4 Asker C 1.1M 1.7M 2.5mm</v>
          </cell>
          <cell r="H247">
            <v>5</v>
          </cell>
          <cell r="I247">
            <v>5</v>
          </cell>
          <cell r="J247">
            <v>5</v>
          </cell>
          <cell r="K247">
            <v>0</v>
          </cell>
          <cell r="L247" t="str">
            <v>NEW BALANCE - POU YUEN</v>
          </cell>
          <cell r="M247" t="str">
            <v xml:space="preserve">Lab test </v>
          </cell>
          <cell r="N247"/>
          <cell r="O247" t="str">
            <v>Lab test</v>
          </cell>
          <cell r="P247">
            <v>46099</v>
          </cell>
          <cell r="Q247">
            <v>46106</v>
          </cell>
          <cell r="R247">
            <v>46103</v>
          </cell>
          <cell r="S247">
            <v>6</v>
          </cell>
          <cell r="T247">
            <v>7</v>
          </cell>
          <cell r="U247">
            <v>2.5</v>
          </cell>
          <cell r="V247">
            <v>1.7860000000000001E-2</v>
          </cell>
          <cell r="W247">
            <v>1</v>
          </cell>
        </row>
        <row r="248">
          <cell r="A248" t="str">
            <v>L-2026-03-94</v>
          </cell>
          <cell r="B248"/>
          <cell r="C248" t="str">
            <v>RPRO-260318-0478</v>
          </cell>
          <cell r="D248" t="str">
            <v>giau.ntn@ortholite.vn</v>
          </cell>
          <cell r="E248" t="str">
            <v>BDB-000050</v>
          </cell>
          <cell r="F248" t="str">
            <v>PVN-002227</v>
          </cell>
          <cell r="G248" t="str">
            <v>OrthoLite Regular NEUTRAL GRAY/17-4402TPX 0.11D 25+/-4 Asker C 1.1M 1.7M 12.5mm</v>
          </cell>
          <cell r="H248">
            <v>5</v>
          </cell>
          <cell r="I248">
            <v>5</v>
          </cell>
          <cell r="J248">
            <v>5</v>
          </cell>
          <cell r="K248">
            <v>0</v>
          </cell>
          <cell r="L248" t="str">
            <v>NEW BALANCE - POU YUEN</v>
          </cell>
          <cell r="M248" t="str">
            <v xml:space="preserve">Lab test </v>
          </cell>
          <cell r="N248"/>
          <cell r="O248" t="str">
            <v>Lab test</v>
          </cell>
          <cell r="P248">
            <v>46099</v>
          </cell>
          <cell r="Q248">
            <v>46106</v>
          </cell>
          <cell r="R248">
            <v>46103</v>
          </cell>
          <cell r="S248">
            <v>6</v>
          </cell>
          <cell r="T248">
            <v>7</v>
          </cell>
          <cell r="U248">
            <v>12.5</v>
          </cell>
          <cell r="V248">
            <v>0.1</v>
          </cell>
          <cell r="W248">
            <v>1</v>
          </cell>
        </row>
        <row r="249">
          <cell r="A249" t="str">
            <v>S-2026-03-95</v>
          </cell>
          <cell r="B249" t="str">
            <v xml:space="preserve">k revise do đã đổ </v>
          </cell>
          <cell r="C249" t="str">
            <v>RPRO-260318-0481</v>
          </cell>
          <cell r="D249" t="str">
            <v>PUR2603180001S</v>
          </cell>
          <cell r="E249" t="str">
            <v>BDB-000340</v>
          </cell>
          <cell r="F249" t="str">
            <v>PVN-004342</v>
          </cell>
          <cell r="G249" t="str">
            <v>OrthoLite Float SEEDPEARL/12-0703TPX Flat Sheet 0.12D 21+/-4 Asker C 1.1M 2M 4.5mm</v>
          </cell>
          <cell r="H249">
            <v>10</v>
          </cell>
          <cell r="I249">
            <v>10</v>
          </cell>
          <cell r="J249">
            <v>10</v>
          </cell>
          <cell r="K249">
            <v>0</v>
          </cell>
          <cell r="L249" t="str">
            <v>DESCENTE</v>
          </cell>
          <cell r="M249" t="str">
            <v>SSO-2603-01048</v>
          </cell>
          <cell r="N249" t="str">
            <v>Molded</v>
          </cell>
          <cell r="O249" t="str">
            <v>Sample</v>
          </cell>
          <cell r="P249">
            <v>46099</v>
          </cell>
          <cell r="Q249">
            <v>46116</v>
          </cell>
          <cell r="R249">
            <v>46113</v>
          </cell>
          <cell r="S249">
            <v>6</v>
          </cell>
          <cell r="T249">
            <v>17</v>
          </cell>
          <cell r="U249">
            <v>4.5</v>
          </cell>
          <cell r="V249">
            <v>2.8570000000000002E-2</v>
          </cell>
          <cell r="W249">
            <v>1</v>
          </cell>
        </row>
        <row r="250">
          <cell r="A250" t="str">
            <v>S-2026-03-96</v>
          </cell>
          <cell r="B250"/>
          <cell r="C250" t="str">
            <v>RPRO-260318-0482</v>
          </cell>
          <cell r="D250" t="str">
            <v>PUR2603180001S</v>
          </cell>
          <cell r="E250" t="str">
            <v>BDB-000058</v>
          </cell>
          <cell r="F250" t="str">
            <v>PVN-003630</v>
          </cell>
          <cell r="G250" t="str">
            <v>OrthoLite Ultra GREEN/16-5932TPX Flat Sheet 0.085D 25+/-4 Asker C 1.1M 2M 2mm</v>
          </cell>
          <cell r="H250">
            <v>50</v>
          </cell>
          <cell r="I250">
            <v>50</v>
          </cell>
          <cell r="J250">
            <v>50</v>
          </cell>
          <cell r="K250">
            <v>0</v>
          </cell>
          <cell r="L250" t="str">
            <v>ADIDAS</v>
          </cell>
          <cell r="M250" t="str">
            <v>SSO-2603-01115 - URGENT 3-25</v>
          </cell>
          <cell r="N250" t="str">
            <v>Flat sheet</v>
          </cell>
          <cell r="O250" t="str">
            <v>Sample</v>
          </cell>
          <cell r="P250">
            <v>46099</v>
          </cell>
          <cell r="Q250">
            <v>46106</v>
          </cell>
          <cell r="R250">
            <v>46103</v>
          </cell>
          <cell r="S250">
            <v>6</v>
          </cell>
          <cell r="T250">
            <v>7</v>
          </cell>
          <cell r="U250">
            <v>2</v>
          </cell>
          <cell r="V250">
            <v>1.4290000000000001E-2</v>
          </cell>
          <cell r="W250">
            <v>1</v>
          </cell>
        </row>
        <row r="251">
          <cell r="A251" t="str">
            <v>S-2026-03-97</v>
          </cell>
          <cell r="B251"/>
          <cell r="C251" t="str">
            <v>RPRO-260324-0278</v>
          </cell>
          <cell r="D251" t="str">
            <v>PUR260031900001S</v>
          </cell>
          <cell r="E251" t="str">
            <v>BDB-000129</v>
          </cell>
          <cell r="F251" t="str">
            <v>PVN-001550</v>
          </cell>
          <cell r="G251" t="str">
            <v>OrthoLite Regular-Nike AIR BLUE/16-4134TPX Flat Sheet 0.11D 25+/-4 Asker C 1.1M 1.7M 2mm</v>
          </cell>
          <cell r="H251">
            <v>100</v>
          </cell>
          <cell r="I251">
            <v>100</v>
          </cell>
          <cell r="J251">
            <v>100</v>
          </cell>
          <cell r="K251">
            <v>0</v>
          </cell>
          <cell r="L251" t="str">
            <v>NIKE</v>
          </cell>
          <cell r="M251" t="str">
            <v>Sample</v>
          </cell>
          <cell r="N251" t="str">
            <v>DIE CUT</v>
          </cell>
          <cell r="O251" t="str">
            <v>Sample</v>
          </cell>
          <cell r="P251">
            <v>46100</v>
          </cell>
          <cell r="Q251">
            <v>46116</v>
          </cell>
          <cell r="R251">
            <v>46113</v>
          </cell>
          <cell r="S251">
            <v>6</v>
          </cell>
          <cell r="T251">
            <v>16</v>
          </cell>
          <cell r="U251">
            <v>2</v>
          </cell>
          <cell r="V251">
            <v>1.4290000000000001E-2</v>
          </cell>
          <cell r="W251">
            <v>2</v>
          </cell>
        </row>
        <row r="252">
          <cell r="A252" t="str">
            <v>S-2026-03-98</v>
          </cell>
          <cell r="B252"/>
          <cell r="C252" t="str">
            <v>RPRO-260324-0279</v>
          </cell>
          <cell r="D252" t="str">
            <v>PUR260031900001S</v>
          </cell>
          <cell r="E252" t="str">
            <v>BDB-000175</v>
          </cell>
          <cell r="F252" t="str">
            <v>PVN-002876</v>
          </cell>
          <cell r="G252" t="str">
            <v>OrthoLite Ultra-Hybrid-Nike SEEDPEARL/12-0703TPX Hybrid Flat Sheet 0.085D 25+/-4 Asker C 1.1M 2M 5mm</v>
          </cell>
          <cell r="H252">
            <v>30</v>
          </cell>
          <cell r="I252">
            <v>30</v>
          </cell>
          <cell r="J252">
            <v>30</v>
          </cell>
          <cell r="K252">
            <v>0</v>
          </cell>
          <cell r="L252" t="str">
            <v>NIKE</v>
          </cell>
          <cell r="M252" t="str">
            <v>Sample</v>
          </cell>
          <cell r="N252" t="str">
            <v>MOLDED</v>
          </cell>
          <cell r="O252" t="str">
            <v>Sample</v>
          </cell>
          <cell r="P252">
            <v>46100</v>
          </cell>
          <cell r="Q252">
            <v>46111</v>
          </cell>
          <cell r="R252">
            <v>46108</v>
          </cell>
          <cell r="S252">
            <v>6</v>
          </cell>
          <cell r="T252">
            <v>11</v>
          </cell>
          <cell r="U252">
            <v>5</v>
          </cell>
          <cell r="V252">
            <v>3.5709999999999999E-2</v>
          </cell>
          <cell r="W252">
            <v>2</v>
          </cell>
        </row>
        <row r="253">
          <cell r="A253" t="str">
            <v>S-2026-03-99</v>
          </cell>
          <cell r="B253" t="str">
            <v>nhớ sửa etd</v>
          </cell>
          <cell r="C253" t="str">
            <v>RPRO-260324-0280</v>
          </cell>
          <cell r="D253" t="str">
            <v>PUR-202603200001S</v>
          </cell>
          <cell r="E253" t="str">
            <v>BDB-000051</v>
          </cell>
          <cell r="F253" t="str">
            <v>PVN-003450</v>
          </cell>
          <cell r="G253" t="str">
            <v>OrthoLite X-40 TRUE BLUE/19-4057TPX Flat Sheet 0.16D 25+/-4 Asker C 1.1M 1.7M 6mm</v>
          </cell>
          <cell r="H253">
            <v>40</v>
          </cell>
          <cell r="I253">
            <v>40</v>
          </cell>
          <cell r="J253">
            <v>40</v>
          </cell>
          <cell r="K253">
            <v>0</v>
          </cell>
          <cell r="L253" t="str">
            <v>ASICS</v>
          </cell>
          <cell r="M253" t="str">
            <v>Sample</v>
          </cell>
          <cell r="N253" t="str">
            <v>MOLDED</v>
          </cell>
          <cell r="O253" t="str">
            <v>Sample</v>
          </cell>
          <cell r="P253">
            <v>46101</v>
          </cell>
          <cell r="Q253">
            <v>46118</v>
          </cell>
          <cell r="R253">
            <v>46115</v>
          </cell>
          <cell r="S253">
            <v>6</v>
          </cell>
          <cell r="T253">
            <v>17</v>
          </cell>
          <cell r="U253">
            <v>6</v>
          </cell>
          <cell r="V253">
            <v>4.3479999999999998E-2</v>
          </cell>
          <cell r="W253">
            <v>2</v>
          </cell>
        </row>
        <row r="254">
          <cell r="A254" t="str">
            <v>S-2026-03-100</v>
          </cell>
          <cell r="B254"/>
          <cell r="C254" t="str">
            <v>RPRO-260324-0281</v>
          </cell>
          <cell r="D254" t="str">
            <v>PUR-202603200001S</v>
          </cell>
          <cell r="E254" t="str">
            <v>BDB-000011</v>
          </cell>
          <cell r="F254" t="str">
            <v>PVN-000128</v>
          </cell>
          <cell r="G254" t="str">
            <v>OrthoLite Regular AIR BLUE/16-4134TPX 0.13D 35+/-4 Asker C 1.1M 2M 6mm</v>
          </cell>
          <cell r="H254">
            <v>20</v>
          </cell>
          <cell r="I254">
            <v>20</v>
          </cell>
          <cell r="J254">
            <v>20</v>
          </cell>
          <cell r="K254">
            <v>0</v>
          </cell>
          <cell r="L254" t="str">
            <v>ASICS</v>
          </cell>
          <cell r="M254" t="str">
            <v>Sample</v>
          </cell>
          <cell r="N254" t="str">
            <v>MOLDED</v>
          </cell>
          <cell r="O254" t="str">
            <v>Sample</v>
          </cell>
          <cell r="P254">
            <v>46101</v>
          </cell>
          <cell r="Q254">
            <v>46118</v>
          </cell>
          <cell r="R254">
            <v>46115</v>
          </cell>
          <cell r="S254">
            <v>6</v>
          </cell>
          <cell r="T254">
            <v>17</v>
          </cell>
          <cell r="U254">
            <v>6</v>
          </cell>
          <cell r="V254">
            <v>4.3479999999999998E-2</v>
          </cell>
          <cell r="W254">
            <v>1</v>
          </cell>
        </row>
        <row r="255">
          <cell r="A255" t="str">
            <v>S-2026-03-101</v>
          </cell>
          <cell r="B255"/>
          <cell r="C255" t="str">
            <v>RPRO-260324-0282</v>
          </cell>
          <cell r="D255" t="str">
            <v>PUR-202603200001S</v>
          </cell>
          <cell r="E255" t="str">
            <v>BDB-000097</v>
          </cell>
          <cell r="F255" t="str">
            <v>PVN-003671</v>
          </cell>
          <cell r="G255" t="str">
            <v>OrthoLite Eco LT-Hybrid SEEDPEARL/12-0703TPX Hybrid Flat Sheet 0.11D 25+/-4 Asker C 1.1M 2M 13mm</v>
          </cell>
          <cell r="H255">
            <v>20</v>
          </cell>
          <cell r="I255">
            <v>20</v>
          </cell>
          <cell r="J255">
            <v>20</v>
          </cell>
          <cell r="K255">
            <v>0</v>
          </cell>
          <cell r="L255" t="str">
            <v>NEW BALANCE</v>
          </cell>
          <cell r="M255" t="str">
            <v>Sample</v>
          </cell>
          <cell r="N255" t="str">
            <v>MOLDED</v>
          </cell>
          <cell r="O255" t="str">
            <v>Sample</v>
          </cell>
          <cell r="P255">
            <v>46101</v>
          </cell>
          <cell r="Q255">
            <v>46118</v>
          </cell>
          <cell r="R255">
            <v>46115</v>
          </cell>
          <cell r="S255">
            <v>6</v>
          </cell>
          <cell r="T255">
            <v>17</v>
          </cell>
          <cell r="U255">
            <v>13</v>
          </cell>
          <cell r="V255">
            <v>0.1</v>
          </cell>
          <cell r="W255">
            <v>2</v>
          </cell>
        </row>
        <row r="256">
          <cell r="A256" t="str">
            <v>S-2026-03-102</v>
          </cell>
          <cell r="B256"/>
          <cell r="C256" t="str">
            <v>RPRO-260324-0531</v>
          </cell>
          <cell r="D256" t="str">
            <v>PUR-202603200001S</v>
          </cell>
          <cell r="E256" t="str">
            <v>BDB-000113</v>
          </cell>
          <cell r="F256" t="str">
            <v>PVN-004344</v>
          </cell>
          <cell r="G256" t="str">
            <v>OrthoLite Regular-Hybrid SEEDPEARL/12-0703TPX Hybrid Flat Sheet 0.11D 25+/-4 Asker C 1.1M 2M 9mm</v>
          </cell>
          <cell r="H256">
            <v>20</v>
          </cell>
          <cell r="I256">
            <v>20</v>
          </cell>
          <cell r="J256">
            <v>20</v>
          </cell>
          <cell r="K256">
            <v>0</v>
          </cell>
          <cell r="L256" t="str">
            <v>ASICS</v>
          </cell>
          <cell r="M256" t="str">
            <v>Sample</v>
          </cell>
          <cell r="N256" t="str">
            <v>MOLDED</v>
          </cell>
          <cell r="O256" t="str">
            <v>Sample</v>
          </cell>
          <cell r="P256">
            <v>46101</v>
          </cell>
          <cell r="Q256">
            <v>46118</v>
          </cell>
          <cell r="R256">
            <v>46115</v>
          </cell>
          <cell r="S256">
            <v>6</v>
          </cell>
          <cell r="T256">
            <v>17</v>
          </cell>
          <cell r="U256">
            <v>9</v>
          </cell>
          <cell r="V256">
            <v>6.6669999999999993E-2</v>
          </cell>
          <cell r="W256">
            <v>2</v>
          </cell>
        </row>
        <row r="257">
          <cell r="A257" t="str">
            <v>S-2026-03-103</v>
          </cell>
          <cell r="B257"/>
          <cell r="C257" t="str">
            <v>RPRO-260324-0283</v>
          </cell>
          <cell r="D257" t="str">
            <v>PUR-202603200001S</v>
          </cell>
          <cell r="E257" t="str">
            <v>BDB-000008</v>
          </cell>
          <cell r="F257" t="str">
            <v>PVN-000457</v>
          </cell>
          <cell r="G257" t="str">
            <v>OrthoLite Regular LIME GREEN/14-0452TPX 0.11D 25+/-4 Asker C 1.1M 2M 6mm</v>
          </cell>
          <cell r="H257">
            <v>30</v>
          </cell>
          <cell r="I257">
            <v>30</v>
          </cell>
          <cell r="J257">
            <v>30</v>
          </cell>
          <cell r="K257">
            <v>0</v>
          </cell>
          <cell r="L257" t="str">
            <v>ASICS</v>
          </cell>
          <cell r="M257" t="str">
            <v>Sample</v>
          </cell>
          <cell r="N257" t="str">
            <v>MOLDED</v>
          </cell>
          <cell r="O257" t="str">
            <v>Sample</v>
          </cell>
          <cell r="P257">
            <v>46101</v>
          </cell>
          <cell r="Q257">
            <v>46118</v>
          </cell>
          <cell r="R257">
            <v>46115</v>
          </cell>
          <cell r="S257">
            <v>6</v>
          </cell>
          <cell r="T257">
            <v>17</v>
          </cell>
          <cell r="U257">
            <v>6</v>
          </cell>
          <cell r="V257">
            <v>4.3479999999999998E-2</v>
          </cell>
          <cell r="W257">
            <v>2</v>
          </cell>
        </row>
        <row r="258">
          <cell r="A258" t="str">
            <v>S-2026-03-104</v>
          </cell>
          <cell r="B258"/>
          <cell r="C258" t="str">
            <v>RPRO-260324-0284</v>
          </cell>
          <cell r="D258" t="str">
            <v>PUR-202603200001S</v>
          </cell>
          <cell r="E258" t="str">
            <v>BDB-000057</v>
          </cell>
          <cell r="F258" t="str">
            <v>PVN-000926</v>
          </cell>
          <cell r="G258" t="str">
            <v>OrthoLite Ultra YELLOW/13-0858TPX 0.085D 25+/-4 Asker C 1.1M 2M 6mm</v>
          </cell>
          <cell r="H258">
            <v>30</v>
          </cell>
          <cell r="I258">
            <v>30</v>
          </cell>
          <cell r="J258">
            <v>30</v>
          </cell>
          <cell r="K258">
            <v>0</v>
          </cell>
          <cell r="L258" t="str">
            <v>ASICS</v>
          </cell>
          <cell r="M258" t="str">
            <v>Sample</v>
          </cell>
          <cell r="N258" t="str">
            <v>MOLDED</v>
          </cell>
          <cell r="O258" t="str">
            <v>Sample</v>
          </cell>
          <cell r="P258">
            <v>46101</v>
          </cell>
          <cell r="Q258">
            <v>46118</v>
          </cell>
          <cell r="R258">
            <v>46115</v>
          </cell>
          <cell r="S258">
            <v>6</v>
          </cell>
          <cell r="T258">
            <v>17</v>
          </cell>
          <cell r="U258">
            <v>6</v>
          </cell>
          <cell r="V258">
            <v>4.3479999999999998E-2</v>
          </cell>
          <cell r="W258">
            <v>2</v>
          </cell>
        </row>
        <row r="259">
          <cell r="A259" t="str">
            <v>L-2026-03-105</v>
          </cell>
          <cell r="B259"/>
          <cell r="C259" t="str">
            <v>RPRO-260321-0027</v>
          </cell>
          <cell r="D259" t="str">
            <v>ly.vtc@ortholite.vn</v>
          </cell>
          <cell r="E259" t="str">
            <v>BDB-000362</v>
          </cell>
          <cell r="F259" t="str">
            <v>PVN-004338</v>
          </cell>
          <cell r="G259" t="str">
            <v>OrthoLite X-60-Hybrid SEEDPEARL/12-0703TPX Hybrid Flat Sheet 0.19D 28+/-4 Asker C 1.1M 1.7M 3mm</v>
          </cell>
          <cell r="H259">
            <v>1</v>
          </cell>
          <cell r="I259">
            <v>1</v>
          </cell>
          <cell r="J259">
            <v>1</v>
          </cell>
          <cell r="K259">
            <v>0</v>
          </cell>
          <cell r="L259" t="str">
            <v>BROOKS/LONGFA</v>
          </cell>
          <cell r="M259" t="str">
            <v xml:space="preserve">Lab test </v>
          </cell>
          <cell r="N259"/>
          <cell r="O259" t="str">
            <v>Lab test</v>
          </cell>
          <cell r="P259">
            <v>46101</v>
          </cell>
          <cell r="Q259">
            <v>46107</v>
          </cell>
          <cell r="R259">
            <v>46104</v>
          </cell>
          <cell r="S259">
            <v>6</v>
          </cell>
          <cell r="T259">
            <v>6</v>
          </cell>
          <cell r="U259">
            <v>3</v>
          </cell>
          <cell r="V259">
            <v>2.0830000000000001E-2</v>
          </cell>
          <cell r="W259">
            <v>1</v>
          </cell>
        </row>
        <row r="260">
          <cell r="A260" t="str">
            <v>L-2026-03-106</v>
          </cell>
          <cell r="B260"/>
          <cell r="C260" t="str">
            <v>RPRO-260321-0028</v>
          </cell>
          <cell r="D260" t="str">
            <v>ly.vtc@ortholite.vn</v>
          </cell>
          <cell r="E260" t="str">
            <v>BDB-000362</v>
          </cell>
          <cell r="F260" t="str">
            <v>PVN-004339</v>
          </cell>
          <cell r="G260" t="str">
            <v>OrthoLite X-60-Hybrid SEEDPEARL/12-0703TPX Hybrid Flat Sheet 0.19D 28+/-4 Asker C 1.1M 1.7M 10mm</v>
          </cell>
          <cell r="H260">
            <v>1</v>
          </cell>
          <cell r="I260">
            <v>1</v>
          </cell>
          <cell r="J260">
            <v>1</v>
          </cell>
          <cell r="K260">
            <v>0</v>
          </cell>
          <cell r="L260" t="str">
            <v>BROOKS/LONGFA</v>
          </cell>
          <cell r="M260" t="str">
            <v xml:space="preserve">Lab test </v>
          </cell>
          <cell r="N260"/>
          <cell r="O260" t="str">
            <v>Lab test</v>
          </cell>
          <cell r="P260">
            <v>46101</v>
          </cell>
          <cell r="Q260">
            <v>46107</v>
          </cell>
          <cell r="R260">
            <v>46104</v>
          </cell>
          <cell r="S260">
            <v>6</v>
          </cell>
          <cell r="T260">
            <v>6</v>
          </cell>
          <cell r="U260">
            <v>10</v>
          </cell>
          <cell r="V260">
            <v>7.1429999999999993E-2</v>
          </cell>
          <cell r="W260">
            <v>1</v>
          </cell>
        </row>
        <row r="261">
          <cell r="A261" t="str">
            <v>S-2026-03-107</v>
          </cell>
          <cell r="B261"/>
          <cell r="C261" t="str">
            <v>RPRO-260321-0029</v>
          </cell>
          <cell r="D261" t="str">
            <v>PUR2603210001S</v>
          </cell>
          <cell r="E261" t="str">
            <v>BDB-000058</v>
          </cell>
          <cell r="F261" t="str">
            <v>PVN-004276</v>
          </cell>
          <cell r="G261" t="str">
            <v>OrthoLite Ultra GREEN/16-5932TPX Flat Sheet 0.085D 25+/-4 Asker C 1.1M 2M 3.5mm</v>
          </cell>
          <cell r="H261">
            <v>60</v>
          </cell>
          <cell r="I261">
            <v>60</v>
          </cell>
          <cell r="J261">
            <v>60</v>
          </cell>
          <cell r="K261">
            <v>0</v>
          </cell>
          <cell r="L261" t="str">
            <v>ADIDAS</v>
          </cell>
          <cell r="M261" t="str">
            <v>SSO-2603-01252 - URGENT (3-27)</v>
          </cell>
          <cell r="N261" t="str">
            <v>Flat sheet</v>
          </cell>
          <cell r="O261" t="str">
            <v>Sample</v>
          </cell>
          <cell r="P261">
            <v>46102</v>
          </cell>
          <cell r="Q261">
            <v>46108</v>
          </cell>
          <cell r="R261">
            <v>46105</v>
          </cell>
          <cell r="S261">
            <v>6</v>
          </cell>
          <cell r="T261">
            <v>6</v>
          </cell>
          <cell r="U261">
            <v>3.5</v>
          </cell>
          <cell r="V261">
            <v>2.5000000000000001E-2</v>
          </cell>
          <cell r="W261">
            <v>2</v>
          </cell>
        </row>
        <row r="262">
          <cell r="A262" t="str">
            <v>S-2026-03-108</v>
          </cell>
          <cell r="B262"/>
          <cell r="C262" t="str">
            <v>RPRO-260324-0285</v>
          </cell>
          <cell r="D262" t="str">
            <v>PUR2603210001S</v>
          </cell>
          <cell r="E262" t="str">
            <v>BDB-000352</v>
          </cell>
          <cell r="F262" t="str">
            <v>PVN-004347</v>
          </cell>
          <cell r="G262" t="str">
            <v>OrthoLite Float-Hybrid SEEDPEARL/12-0703TPX Hybrid Flat Sheet 0.12D 21+/-4 Asker C 1.1M 2M 11mm</v>
          </cell>
          <cell r="H262">
            <v>10</v>
          </cell>
          <cell r="I262">
            <v>10</v>
          </cell>
          <cell r="J262">
            <v>10</v>
          </cell>
          <cell r="K262">
            <v>0</v>
          </cell>
          <cell r="L262" t="str">
            <v>DESCENTE</v>
          </cell>
          <cell r="M262" t="str">
            <v>SSO-2603-01048</v>
          </cell>
          <cell r="N262" t="str">
            <v>Molded</v>
          </cell>
          <cell r="O262" t="str">
            <v>Sample</v>
          </cell>
          <cell r="P262">
            <v>46102</v>
          </cell>
          <cell r="Q262">
            <v>46119</v>
          </cell>
          <cell r="R262">
            <v>46116</v>
          </cell>
          <cell r="S262">
            <v>6</v>
          </cell>
          <cell r="T262">
            <v>17</v>
          </cell>
          <cell r="U262">
            <v>11</v>
          </cell>
          <cell r="V262">
            <v>8.3330000000000001E-2</v>
          </cell>
          <cell r="W262">
            <v>1</v>
          </cell>
        </row>
        <row r="263">
          <cell r="A263" t="str">
            <v>L-2026-03-109</v>
          </cell>
          <cell r="B263"/>
          <cell r="C263" t="str">
            <v>RPRO-260324-0286</v>
          </cell>
          <cell r="D263" t="str">
            <v>hoa.ltx@ortholite.vn</v>
          </cell>
          <cell r="E263" t="str">
            <v>BDB-000123</v>
          </cell>
          <cell r="F263" t="str">
            <v>PVN-002973</v>
          </cell>
          <cell r="G263" t="str">
            <v>OrthoLite Ultra-Hybrid SEEDPEARL/12-0703TPX Hybrid 0.085D 25+/-4 Asker C 1.1M 2M 4.5mm</v>
          </cell>
          <cell r="H263">
            <v>3</v>
          </cell>
          <cell r="I263">
            <v>3</v>
          </cell>
          <cell r="J263">
            <v>3</v>
          </cell>
          <cell r="K263">
            <v>0</v>
          </cell>
          <cell r="L263"/>
          <cell r="M263" t="str">
            <v xml:space="preserve">Lab test </v>
          </cell>
          <cell r="N263"/>
          <cell r="O263" t="str">
            <v>Lab test</v>
          </cell>
          <cell r="P263">
            <v>46104</v>
          </cell>
          <cell r="Q263">
            <v>46108</v>
          </cell>
          <cell r="R263">
            <v>46105</v>
          </cell>
          <cell r="S263">
            <v>6</v>
          </cell>
          <cell r="T263">
            <v>4</v>
          </cell>
          <cell r="U263">
            <v>4.5</v>
          </cell>
          <cell r="V263">
            <v>3.2259999999999997E-2</v>
          </cell>
          <cell r="W263">
            <v>1</v>
          </cell>
        </row>
        <row r="264">
          <cell r="A264" t="str">
            <v>S-2026-03-110</v>
          </cell>
          <cell r="B264"/>
          <cell r="C264" t="str">
            <v>RPRO-260324-0287</v>
          </cell>
          <cell r="D264" t="str">
            <v>PUR2603230001S</v>
          </cell>
          <cell r="E264" t="str">
            <v>BDB-000113</v>
          </cell>
          <cell r="F264" t="str">
            <v>PVN-002688</v>
          </cell>
          <cell r="G264" t="str">
            <v>OrthoLite Regular-Hybrid SEEDPEARL/12-0703TPX Hybrid Flat Sheet 0.11D 25+/-4 Asker C 1.1M 2M 6mm</v>
          </cell>
          <cell r="H264">
            <v>20</v>
          </cell>
          <cell r="I264">
            <v>20</v>
          </cell>
          <cell r="J264">
            <v>20</v>
          </cell>
          <cell r="K264">
            <v>0</v>
          </cell>
          <cell r="L264" t="str">
            <v>ADIDAS</v>
          </cell>
          <cell r="M264" t="str">
            <v>SSO-2603-01265</v>
          </cell>
          <cell r="N264" t="str">
            <v>Molded</v>
          </cell>
          <cell r="O264" t="str">
            <v>Sample</v>
          </cell>
          <cell r="P264">
            <v>46104</v>
          </cell>
          <cell r="Q264">
            <v>46119</v>
          </cell>
          <cell r="R264">
            <v>46116</v>
          </cell>
          <cell r="S264">
            <v>6</v>
          </cell>
          <cell r="T264">
            <v>15</v>
          </cell>
          <cell r="U264">
            <v>6</v>
          </cell>
          <cell r="V264">
            <v>4.3479999999999998E-2</v>
          </cell>
          <cell r="W264">
            <v>1</v>
          </cell>
        </row>
        <row r="265">
          <cell r="A265" t="str">
            <v>S-2026-03-111</v>
          </cell>
          <cell r="B265"/>
          <cell r="C265" t="str">
            <v>RPRO-260324-0288</v>
          </cell>
          <cell r="D265" t="str">
            <v>PUR2603230001S</v>
          </cell>
          <cell r="E265" t="str">
            <v>BDB-000325</v>
          </cell>
          <cell r="F265" t="str">
            <v>PVN-004127</v>
          </cell>
          <cell r="G265" t="str">
            <v>OrthoLite X-40 TRUE BLUE/19-4057TPX Flat Sheet 0.16D 35+/-4 Asker C 1.1M 2M 13.5mm</v>
          </cell>
          <cell r="H265">
            <v>100</v>
          </cell>
          <cell r="I265">
            <v>100</v>
          </cell>
          <cell r="J265">
            <v>100</v>
          </cell>
          <cell r="K265">
            <v>0</v>
          </cell>
          <cell r="L265" t="str">
            <v>ADIDAS</v>
          </cell>
          <cell r="M265" t="str">
            <v>Sample</v>
          </cell>
          <cell r="N265" t="str">
            <v>Molded</v>
          </cell>
          <cell r="O265" t="str">
            <v>Sample</v>
          </cell>
          <cell r="P265">
            <v>46104</v>
          </cell>
          <cell r="Q265">
            <v>46119</v>
          </cell>
          <cell r="R265">
            <v>46116</v>
          </cell>
          <cell r="S265">
            <v>6</v>
          </cell>
          <cell r="T265">
            <v>15</v>
          </cell>
          <cell r="U265">
            <v>13.5</v>
          </cell>
          <cell r="V265">
            <v>0.11111</v>
          </cell>
          <cell r="W265">
            <v>12</v>
          </cell>
        </row>
        <row r="266">
          <cell r="A266" t="str">
            <v>S-2026-03-112</v>
          </cell>
          <cell r="B266"/>
          <cell r="C266" t="str">
            <v>RPRO-260324-0289</v>
          </cell>
          <cell r="D266" t="str">
            <v>PUR2603230001S</v>
          </cell>
          <cell r="E266" t="str">
            <v>BDB-000348</v>
          </cell>
          <cell r="F266" t="str">
            <v>PVN-004330</v>
          </cell>
          <cell r="G266" t="str">
            <v>OrthoLite IMPERIAL SEEDPEARL/12-0703TPX Flat Sheet 0.22D 25+/-4 Asker C 1.1M 1.47M 2mm</v>
          </cell>
          <cell r="H266">
            <v>10</v>
          </cell>
          <cell r="I266">
            <v>10</v>
          </cell>
          <cell r="J266">
            <v>10</v>
          </cell>
          <cell r="K266">
            <v>0</v>
          </cell>
          <cell r="L266" t="str">
            <v>ADIDAS</v>
          </cell>
          <cell r="M266" t="str">
            <v>SSO-2603-01234</v>
          </cell>
          <cell r="N266" t="str">
            <v>Flat sheet</v>
          </cell>
          <cell r="O266" t="str">
            <v>Sample</v>
          </cell>
          <cell r="P266">
            <v>46104</v>
          </cell>
          <cell r="Q266">
            <v>46119</v>
          </cell>
          <cell r="R266">
            <v>46116</v>
          </cell>
          <cell r="S266">
            <v>6</v>
          </cell>
          <cell r="T266">
            <v>15</v>
          </cell>
          <cell r="U266">
            <v>2</v>
          </cell>
          <cell r="V266">
            <v>1.389E-2</v>
          </cell>
          <cell r="W266">
            <v>1</v>
          </cell>
        </row>
        <row r="267">
          <cell r="A267" t="str">
            <v>S-2026-03-113</v>
          </cell>
          <cell r="B267"/>
          <cell r="C267" t="str">
            <v>RPRO-260324-0532</v>
          </cell>
          <cell r="D267" t="str">
            <v>PUR2603240001S</v>
          </cell>
          <cell r="E267" t="str">
            <v>BDB-000003</v>
          </cell>
          <cell r="F267" t="str">
            <v>PVN-004354</v>
          </cell>
          <cell r="G267" t="str">
            <v>OrthoLite Regular YELLOW/13-0858TPX Flat Sheet 0.11D 25+/-4 Asker C 1.1M 2M 7.5mm</v>
          </cell>
          <cell r="H267">
            <v>10</v>
          </cell>
          <cell r="I267">
            <v>10</v>
          </cell>
          <cell r="J267">
            <v>10</v>
          </cell>
          <cell r="K267">
            <v>0</v>
          </cell>
          <cell r="L267" t="str">
            <v>VIOLET</v>
          </cell>
          <cell r="M267" t="str">
            <v>SSO-2603-01360 - URGENT (3-7)</v>
          </cell>
          <cell r="N267" t="str">
            <v>Molded</v>
          </cell>
          <cell r="O267" t="str">
            <v>Sample</v>
          </cell>
          <cell r="P267">
            <v>46105</v>
          </cell>
          <cell r="Q267">
            <v>46119</v>
          </cell>
          <cell r="R267">
            <v>46116</v>
          </cell>
          <cell r="S267">
            <v>6</v>
          </cell>
          <cell r="T267">
            <v>14</v>
          </cell>
          <cell r="U267">
            <v>7.5</v>
          </cell>
          <cell r="V267">
            <v>5.5559999999999998E-2</v>
          </cell>
          <cell r="W267">
            <v>1</v>
          </cell>
        </row>
        <row r="268">
          <cell r="A268" t="str">
            <v>S-2026-03-114</v>
          </cell>
          <cell r="B268"/>
          <cell r="C268" t="str">
            <v>RPRO-260324-0533</v>
          </cell>
          <cell r="D268" t="str">
            <v>PUR2603240001S</v>
          </cell>
          <cell r="E268" t="str">
            <v>BDB-000019</v>
          </cell>
          <cell r="F268" t="str">
            <v>PVN-004355</v>
          </cell>
          <cell r="G268" t="str">
            <v>OrthoLite Regular RED/19-1764TPX Flat Sheet 0.11D 25+/-4 Asker C 1.1M 2M 7.5mm</v>
          </cell>
          <cell r="H268">
            <v>10</v>
          </cell>
          <cell r="I268">
            <v>10</v>
          </cell>
          <cell r="J268">
            <v>10</v>
          </cell>
          <cell r="K268">
            <v>0</v>
          </cell>
          <cell r="L268" t="str">
            <v>VIOLET</v>
          </cell>
          <cell r="M268" t="str">
            <v>SSO-2603-01360 - URGENT (3-7)</v>
          </cell>
          <cell r="N268" t="str">
            <v>Molded</v>
          </cell>
          <cell r="O268" t="str">
            <v>Sample</v>
          </cell>
          <cell r="P268">
            <v>46105</v>
          </cell>
          <cell r="Q268">
            <v>46119</v>
          </cell>
          <cell r="R268">
            <v>46116</v>
          </cell>
          <cell r="S268">
            <v>6</v>
          </cell>
          <cell r="T268">
            <v>14</v>
          </cell>
          <cell r="U268">
            <v>7.5</v>
          </cell>
          <cell r="V268">
            <v>5.5559999999999998E-2</v>
          </cell>
          <cell r="W268">
            <v>1</v>
          </cell>
        </row>
        <row r="269">
          <cell r="A269" t="str">
            <v>S-2026-03-115</v>
          </cell>
          <cell r="B269"/>
          <cell r="C269" t="str">
            <v>RPRO-260324-0534</v>
          </cell>
          <cell r="D269" t="str">
            <v>PUR2603240002S</v>
          </cell>
          <cell r="E269" t="str">
            <v>BDB-000116</v>
          </cell>
          <cell r="F269" t="str">
            <v>PVN-004074</v>
          </cell>
          <cell r="G269" t="str">
            <v>OrthoLite Regular-Hybrid SEEDPEARL/12-0703TPX Hybrid Flat Sheet 0.13D 25+/-4 Asker C 1.1M 2M 2mm</v>
          </cell>
          <cell r="H269">
            <v>20</v>
          </cell>
          <cell r="I269">
            <v>20</v>
          </cell>
          <cell r="J269">
            <v>20</v>
          </cell>
          <cell r="K269">
            <v>0</v>
          </cell>
          <cell r="L269" t="str">
            <v>KATE SPADE</v>
          </cell>
          <cell r="M269" t="str">
            <v>SSO-2603-00780</v>
          </cell>
          <cell r="N269" t="str">
            <v>FL SHEET TOP URGENT</v>
          </cell>
          <cell r="O269" t="str">
            <v>Sample</v>
          </cell>
          <cell r="P269">
            <v>46105</v>
          </cell>
          <cell r="Q269">
            <v>46111</v>
          </cell>
          <cell r="R269">
            <v>46108</v>
          </cell>
          <cell r="S269">
            <v>6</v>
          </cell>
          <cell r="T269">
            <v>6</v>
          </cell>
          <cell r="U269">
            <v>2</v>
          </cell>
          <cell r="V269">
            <v>1.4290000000000001E-2</v>
          </cell>
          <cell r="W269">
            <v>1</v>
          </cell>
        </row>
        <row r="270">
          <cell r="A270" t="str">
            <v>S-2026-03-116</v>
          </cell>
          <cell r="B270"/>
          <cell r="C270" t="str">
            <v>RPRO-260325-0407</v>
          </cell>
          <cell r="D270" t="str">
            <v>PUR-202603250001S</v>
          </cell>
          <cell r="E270" t="str">
            <v>BDB-000179</v>
          </cell>
          <cell r="F270" t="str">
            <v>PVN-004059</v>
          </cell>
          <cell r="G270" t="str">
            <v>OrthoLite X-55 RED/19-1764TPX Flat Sheet 0.16D 25+/-4 Asker C 1.1M 1.7M 5.2mm</v>
          </cell>
          <cell r="H270">
            <v>50</v>
          </cell>
          <cell r="I270">
            <v>50</v>
          </cell>
          <cell r="J270">
            <v>50</v>
          </cell>
          <cell r="K270">
            <v>0</v>
          </cell>
          <cell r="L270" t="str">
            <v>NEW BALANCE</v>
          </cell>
          <cell r="M270" t="str">
            <v>Sample</v>
          </cell>
          <cell r="N270" t="str">
            <v>MOLDED</v>
          </cell>
          <cell r="O270" t="str">
            <v>Sample</v>
          </cell>
          <cell r="P270">
            <v>46106</v>
          </cell>
          <cell r="Q270">
            <v>46121</v>
          </cell>
          <cell r="R270">
            <v>46118</v>
          </cell>
          <cell r="S270">
            <v>6</v>
          </cell>
          <cell r="T270">
            <v>15</v>
          </cell>
          <cell r="U270">
            <v>5.2</v>
          </cell>
          <cell r="V270">
            <v>3.8460000000000001E-2</v>
          </cell>
          <cell r="W270">
            <v>2</v>
          </cell>
        </row>
        <row r="271">
          <cell r="A271" t="str">
            <v>S-2026-03-117</v>
          </cell>
          <cell r="B271"/>
          <cell r="C271" t="str">
            <v>RPRO-260325-0408</v>
          </cell>
          <cell r="D271" t="str">
            <v>PUR-202603250001S</v>
          </cell>
          <cell r="E271" t="str">
            <v>BDB-000097</v>
          </cell>
          <cell r="F271" t="str">
            <v>PVN-003671</v>
          </cell>
          <cell r="G271" t="str">
            <v>OrthoLite Eco LT-Hybrid SEEDPEARL/12-0703TPX Hybrid Flat Sheet 0.11D 25+/-4 Asker C 1.1M 2M 13mm</v>
          </cell>
          <cell r="H271">
            <v>20</v>
          </cell>
          <cell r="I271">
            <v>20</v>
          </cell>
          <cell r="J271">
            <v>20</v>
          </cell>
          <cell r="K271">
            <v>0</v>
          </cell>
          <cell r="L271" t="str">
            <v>NEW BALANCE</v>
          </cell>
          <cell r="M271" t="str">
            <v>Sample</v>
          </cell>
          <cell r="N271" t="str">
            <v>MOLDED</v>
          </cell>
          <cell r="O271" t="str">
            <v>Sample</v>
          </cell>
          <cell r="P271">
            <v>46106</v>
          </cell>
          <cell r="Q271">
            <v>46121</v>
          </cell>
          <cell r="R271">
            <v>46118</v>
          </cell>
          <cell r="S271">
            <v>6</v>
          </cell>
          <cell r="T271">
            <v>15</v>
          </cell>
          <cell r="U271">
            <v>13</v>
          </cell>
          <cell r="V271">
            <v>0.1</v>
          </cell>
          <cell r="W271">
            <v>2</v>
          </cell>
        </row>
        <row r="272">
          <cell r="A272" t="str">
            <v>S-2026-03-118</v>
          </cell>
          <cell r="B272"/>
          <cell r="C272" t="str">
            <v>RPRO-260325-0409</v>
          </cell>
          <cell r="D272" t="str">
            <v>PUR-202603250001S</v>
          </cell>
          <cell r="E272" t="str">
            <v>BDB-000097</v>
          </cell>
          <cell r="F272" t="str">
            <v>PVN-002478</v>
          </cell>
          <cell r="G272" t="str">
            <v>OrthoLite Eco LT-Hybrid SEEDPEARL/12-0703TPX Hybrid 0.11D 25+/-4 Asker C 1.1M 2M 4mm</v>
          </cell>
          <cell r="H272">
            <v>50</v>
          </cell>
          <cell r="I272">
            <v>50</v>
          </cell>
          <cell r="J272">
            <v>50</v>
          </cell>
          <cell r="K272">
            <v>0</v>
          </cell>
          <cell r="L272" t="str">
            <v>NEW BALANCE</v>
          </cell>
          <cell r="M272" t="str">
            <v>Sample</v>
          </cell>
          <cell r="N272" t="str">
            <v>Die-Cut</v>
          </cell>
          <cell r="O272" t="str">
            <v>Sample</v>
          </cell>
          <cell r="P272">
            <v>46106</v>
          </cell>
          <cell r="Q272">
            <v>46121</v>
          </cell>
          <cell r="R272">
            <v>46118</v>
          </cell>
          <cell r="S272">
            <v>6</v>
          </cell>
          <cell r="T272">
            <v>15</v>
          </cell>
          <cell r="U272">
            <v>4</v>
          </cell>
          <cell r="V272">
            <v>2.8570000000000002E-2</v>
          </cell>
          <cell r="W272">
            <v>2</v>
          </cell>
        </row>
        <row r="273">
          <cell r="A273" t="str">
            <v>S-2026-03-119</v>
          </cell>
          <cell r="B273"/>
          <cell r="C273" t="str">
            <v>RPRO-260325-0410</v>
          </cell>
          <cell r="D273" t="str">
            <v>PUR-202603250001S</v>
          </cell>
          <cell r="E273" t="str">
            <v>BDB-000117</v>
          </cell>
          <cell r="F273" t="str">
            <v>PVN-003148</v>
          </cell>
          <cell r="G273" t="str">
            <v>OrthoLite X-35-Hybrid SEEDPEARL/12-0703TPX Hybrid 0.145D 25+/-4 Asker C 1.1M 2M 4.5mm</v>
          </cell>
          <cell r="H273">
            <v>30</v>
          </cell>
          <cell r="I273">
            <v>30</v>
          </cell>
          <cell r="J273">
            <v>30</v>
          </cell>
          <cell r="K273">
            <v>0</v>
          </cell>
          <cell r="L273" t="str">
            <v>WILSON</v>
          </cell>
          <cell r="M273" t="str">
            <v>Sample</v>
          </cell>
          <cell r="N273" t="str">
            <v>MOLDED</v>
          </cell>
          <cell r="O273" t="str">
            <v>Sample</v>
          </cell>
          <cell r="P273">
            <v>46106</v>
          </cell>
          <cell r="Q273">
            <v>46121</v>
          </cell>
          <cell r="R273">
            <v>46118</v>
          </cell>
          <cell r="S273">
            <v>6</v>
          </cell>
          <cell r="T273">
            <v>15</v>
          </cell>
          <cell r="U273">
            <v>4.5</v>
          </cell>
          <cell r="V273">
            <v>3.2259999999999997E-2</v>
          </cell>
          <cell r="W273">
            <v>1</v>
          </cell>
        </row>
        <row r="274">
          <cell r="A274" t="str">
            <v>S-2026-03-120</v>
          </cell>
          <cell r="B274"/>
          <cell r="C274" t="str">
            <v>RPRO-260325-0411</v>
          </cell>
          <cell r="D274" t="str">
            <v>PUR2603250002S</v>
          </cell>
          <cell r="E274" t="str">
            <v>BDB-000263</v>
          </cell>
          <cell r="F274" t="str">
            <v>PVN-004356</v>
          </cell>
          <cell r="G274" t="str">
            <v>OrthoLite Regular GREY/17-1501TPX Flat Sheet 0.13D 15+/-4 Asker C 1.1M 2M 3mm</v>
          </cell>
          <cell r="H274">
            <v>5</v>
          </cell>
          <cell r="I274">
            <v>5</v>
          </cell>
          <cell r="J274">
            <v>5</v>
          </cell>
          <cell r="K274">
            <v>0</v>
          </cell>
          <cell r="L274" t="str">
            <v>TRAVIS MATHEW</v>
          </cell>
          <cell r="M274" t="str">
            <v>SSO-2603-01467</v>
          </cell>
          <cell r="N274" t="str">
            <v>FL SHEET TOP URGENT</v>
          </cell>
          <cell r="O274" t="str">
            <v>Sample</v>
          </cell>
          <cell r="P274">
            <v>46106</v>
          </cell>
          <cell r="Q274">
            <v>46112</v>
          </cell>
          <cell r="R274">
            <v>46109</v>
          </cell>
          <cell r="S274">
            <v>6</v>
          </cell>
          <cell r="T274">
            <v>6</v>
          </cell>
          <cell r="U274">
            <v>3</v>
          </cell>
          <cell r="V274">
            <v>2.1739999999999999E-2</v>
          </cell>
          <cell r="W274">
            <v>1</v>
          </cell>
        </row>
        <row r="275">
          <cell r="A275" t="str">
            <v>S-2026-03-121</v>
          </cell>
          <cell r="B275"/>
          <cell r="C275" t="str">
            <v>RPRO-260325-0412</v>
          </cell>
          <cell r="D275" t="str">
            <v>PUR2603250002S</v>
          </cell>
          <cell r="E275" t="str">
            <v>BDB-000263</v>
          </cell>
          <cell r="F275" t="str">
            <v>PVN-004357</v>
          </cell>
          <cell r="G275" t="str">
            <v>OrthoLite Regular GREY/17-1501TPX Flat Sheet 0.13D 15+/-4 Asker C 1.1M 2M 4mm</v>
          </cell>
          <cell r="H275">
            <v>5</v>
          </cell>
          <cell r="I275">
            <v>5</v>
          </cell>
          <cell r="J275">
            <v>5</v>
          </cell>
          <cell r="K275">
            <v>0</v>
          </cell>
          <cell r="L275" t="str">
            <v>TRAVIS MATHEW</v>
          </cell>
          <cell r="M275" t="str">
            <v>SSO-2603-01467</v>
          </cell>
          <cell r="N275" t="str">
            <v>FL SHEET TOP URGENT</v>
          </cell>
          <cell r="O275" t="str">
            <v>Sample</v>
          </cell>
          <cell r="P275">
            <v>46106</v>
          </cell>
          <cell r="Q275">
            <v>46112</v>
          </cell>
          <cell r="R275">
            <v>46109</v>
          </cell>
          <cell r="S275">
            <v>6</v>
          </cell>
          <cell r="T275">
            <v>6</v>
          </cell>
          <cell r="U275">
            <v>4</v>
          </cell>
          <cell r="V275">
            <v>2.8570000000000002E-2</v>
          </cell>
          <cell r="W275">
            <v>1</v>
          </cell>
        </row>
        <row r="276">
          <cell r="A276" t="str">
            <v>S-2026-03-122</v>
          </cell>
          <cell r="B276"/>
          <cell r="C276" t="str">
            <v>RPRO-260325-0413</v>
          </cell>
          <cell r="D276" t="str">
            <v>PUR260032500003S</v>
          </cell>
          <cell r="E276" t="str">
            <v>BDB-000125</v>
          </cell>
          <cell r="F276" t="str">
            <v>PVN-002413</v>
          </cell>
          <cell r="G276" t="str">
            <v>OrthoLite Regular-Nike AIR BLUE/16-4134TPX Flat Sheet 0.11D 25+/-4 Asker C 1.1M 2M 4.2mm</v>
          </cell>
          <cell r="H276">
            <v>100</v>
          </cell>
          <cell r="I276">
            <v>100</v>
          </cell>
          <cell r="J276">
            <v>100</v>
          </cell>
          <cell r="K276">
            <v>0</v>
          </cell>
          <cell r="L276" t="str">
            <v>NIKE</v>
          </cell>
          <cell r="M276" t="str">
            <v>Sample</v>
          </cell>
          <cell r="N276" t="str">
            <v>MOLDED</v>
          </cell>
          <cell r="O276" t="str">
            <v>Sample</v>
          </cell>
          <cell r="P276">
            <v>46106</v>
          </cell>
          <cell r="Q276">
            <v>46121</v>
          </cell>
          <cell r="R276">
            <v>46118</v>
          </cell>
          <cell r="S276">
            <v>6</v>
          </cell>
          <cell r="T276">
            <v>15</v>
          </cell>
          <cell r="U276">
            <v>4.2</v>
          </cell>
          <cell r="V276">
            <v>3.0300000000000001E-2</v>
          </cell>
          <cell r="W276">
            <v>4</v>
          </cell>
        </row>
        <row r="277">
          <cell r="A277" t="str">
            <v>S-2026-03-123</v>
          </cell>
          <cell r="B277"/>
          <cell r="C277" t="str">
            <v>RPRO-260325-0414</v>
          </cell>
          <cell r="D277" t="str">
            <v>PUR260032500003S</v>
          </cell>
          <cell r="E277" t="str">
            <v>BDB-000157</v>
          </cell>
          <cell r="F277" t="str">
            <v>PVN-003642</v>
          </cell>
          <cell r="G277" t="str">
            <v>OrthoLite X-35-Hybrid-Nike SEEDPEARL/12-0703TPX Hybrid Flat Sheet 0.145D 25+/-4 Asker C 1.1M 2M 6.2mm</v>
          </cell>
          <cell r="H277">
            <v>40</v>
          </cell>
          <cell r="I277">
            <v>40</v>
          </cell>
          <cell r="J277">
            <v>40</v>
          </cell>
          <cell r="K277">
            <v>0</v>
          </cell>
          <cell r="L277" t="str">
            <v>NIKE</v>
          </cell>
          <cell r="M277" t="str">
            <v>Sample</v>
          </cell>
          <cell r="N277" t="str">
            <v>MOLDED</v>
          </cell>
          <cell r="O277" t="str">
            <v>Sample</v>
          </cell>
          <cell r="P277">
            <v>46106</v>
          </cell>
          <cell r="Q277">
            <v>46122</v>
          </cell>
          <cell r="R277">
            <v>46119</v>
          </cell>
          <cell r="S277">
            <v>6</v>
          </cell>
          <cell r="T277">
            <v>16</v>
          </cell>
          <cell r="U277">
            <v>6.2</v>
          </cell>
          <cell r="V277">
            <v>4.5449999999999997E-2</v>
          </cell>
          <cell r="W277">
            <v>2</v>
          </cell>
        </row>
        <row r="278">
          <cell r="A278" t="str">
            <v>S-2026-03-124</v>
          </cell>
          <cell r="B278"/>
          <cell r="C278" t="str">
            <v>RPRO-260325-0415</v>
          </cell>
          <cell r="D278" t="str">
            <v>PUR260032500003S</v>
          </cell>
          <cell r="E278" t="str">
            <v>BDB-000373</v>
          </cell>
          <cell r="F278" t="str">
            <v>PVN-004315</v>
          </cell>
          <cell r="G278" t="str">
            <v>OrthoLite X-25-Nike BILLIARD/16-5427TPX Flat Sheet 0.12D 20+/-4 Asker C 1.1M 2M 5mm</v>
          </cell>
          <cell r="H278">
            <v>40</v>
          </cell>
          <cell r="I278">
            <v>40</v>
          </cell>
          <cell r="J278">
            <v>40</v>
          </cell>
          <cell r="K278">
            <v>0</v>
          </cell>
          <cell r="L278" t="str">
            <v>NIKE</v>
          </cell>
          <cell r="M278" t="str">
            <v>Sample</v>
          </cell>
          <cell r="N278" t="str">
            <v>DIE CUT</v>
          </cell>
          <cell r="O278" t="str">
            <v>Sample</v>
          </cell>
          <cell r="P278">
            <v>46106</v>
          </cell>
          <cell r="Q278">
            <v>46122</v>
          </cell>
          <cell r="R278">
            <v>46119</v>
          </cell>
          <cell r="S278">
            <v>6</v>
          </cell>
          <cell r="T278">
            <v>16</v>
          </cell>
          <cell r="U278">
            <v>5</v>
          </cell>
          <cell r="V278">
            <v>3.5709999999999999E-2</v>
          </cell>
          <cell r="W278">
            <v>2</v>
          </cell>
        </row>
        <row r="279">
          <cell r="A279" t="str">
            <v>S-2026-03-125</v>
          </cell>
          <cell r="B279" t="str">
            <v>ok</v>
          </cell>
          <cell r="C279" t="str">
            <v>RPRO-260325-0416</v>
          </cell>
          <cell r="D279" t="str">
            <v>PUR260032500003S</v>
          </cell>
          <cell r="E279" t="str">
            <v>BDB-000375</v>
          </cell>
          <cell r="F279" t="str">
            <v>PVN-004319</v>
          </cell>
          <cell r="G279" t="str">
            <v>OrthoLite X-25-Nike SEEDPEARL/12-0703TPX Flat Sheet 0.12D 20+/-4 Asker C 1.1M 2M 4mm</v>
          </cell>
          <cell r="H279">
            <v>40</v>
          </cell>
          <cell r="I279">
            <v>40</v>
          </cell>
          <cell r="J279">
            <v>40</v>
          </cell>
          <cell r="K279">
            <v>0</v>
          </cell>
          <cell r="L279" t="str">
            <v>NIKE</v>
          </cell>
          <cell r="M279" t="str">
            <v>Sample</v>
          </cell>
          <cell r="N279" t="str">
            <v>DIE CUT</v>
          </cell>
          <cell r="O279" t="str">
            <v>Sample</v>
          </cell>
          <cell r="P279">
            <v>46106</v>
          </cell>
          <cell r="Q279">
            <v>46122</v>
          </cell>
          <cell r="R279">
            <v>46119</v>
          </cell>
          <cell r="S279">
            <v>6</v>
          </cell>
          <cell r="T279">
            <v>16</v>
          </cell>
          <cell r="U279">
            <v>4</v>
          </cell>
          <cell r="V279">
            <v>2.7779999999999999E-2</v>
          </cell>
          <cell r="W279">
            <v>2</v>
          </cell>
        </row>
        <row r="280">
          <cell r="A280" t="str">
            <v>S-2026-03-126</v>
          </cell>
          <cell r="B280"/>
          <cell r="C280" t="str">
            <v>RPRO-260325-0417</v>
          </cell>
          <cell r="D280" t="str">
            <v>PUR260032500003S</v>
          </cell>
          <cell r="E280" t="str">
            <v>BDB-000125</v>
          </cell>
          <cell r="F280" t="str">
            <v>PVN-001579</v>
          </cell>
          <cell r="G280" t="str">
            <v>OrthoLite Regular-Nike AIR BLUE/16-4134TPX Flat Sheet 0.11D 25+/-4 Asker C 1.1M 2M 4mm</v>
          </cell>
          <cell r="H280">
            <v>50</v>
          </cell>
          <cell r="I280">
            <v>50</v>
          </cell>
          <cell r="J280">
            <v>50</v>
          </cell>
          <cell r="K280">
            <v>0</v>
          </cell>
          <cell r="L280" t="str">
            <v>NIKE</v>
          </cell>
          <cell r="M280" t="str">
            <v>Sample</v>
          </cell>
          <cell r="N280" t="str">
            <v>DIE CUT</v>
          </cell>
          <cell r="O280" t="str">
            <v>Sample</v>
          </cell>
          <cell r="P280">
            <v>46106</v>
          </cell>
          <cell r="Q280">
            <v>46122</v>
          </cell>
          <cell r="R280">
            <v>46119</v>
          </cell>
          <cell r="S280">
            <v>6</v>
          </cell>
          <cell r="T280">
            <v>16</v>
          </cell>
          <cell r="U280">
            <v>4</v>
          </cell>
          <cell r="V280">
            <v>2.8570000000000002E-2</v>
          </cell>
          <cell r="W280">
            <v>2</v>
          </cell>
        </row>
        <row r="281">
          <cell r="A281" t="str">
            <v>S-2026-03-127</v>
          </cell>
          <cell r="B281"/>
          <cell r="C281" t="str">
            <v>RPRO-260325-0418</v>
          </cell>
          <cell r="D281" t="str">
            <v>PUR260032500003S</v>
          </cell>
          <cell r="E281" t="str">
            <v>BDB-000157</v>
          </cell>
          <cell r="F281" t="str">
            <v>PVN-003573</v>
          </cell>
          <cell r="G281" t="str">
            <v>OrthoLite X-35-Hybrid-Nike SEEDPEARL/12-0703TPX Hybrid Flat Sheet 0.145D 25+/-4 Asker C 1.1M 2M 4.2mm</v>
          </cell>
          <cell r="H281">
            <v>50</v>
          </cell>
          <cell r="I281">
            <v>50</v>
          </cell>
          <cell r="J281">
            <v>50</v>
          </cell>
          <cell r="K281">
            <v>0</v>
          </cell>
          <cell r="L281" t="str">
            <v>NIKE</v>
          </cell>
          <cell r="M281" t="str">
            <v>Sample</v>
          </cell>
          <cell r="N281" t="str">
            <v>MOLDED</v>
          </cell>
          <cell r="O281" t="str">
            <v>Sample</v>
          </cell>
          <cell r="P281">
            <v>46106</v>
          </cell>
          <cell r="Q281">
            <v>46122</v>
          </cell>
          <cell r="R281">
            <v>46119</v>
          </cell>
          <cell r="S281">
            <v>6</v>
          </cell>
          <cell r="T281">
            <v>16</v>
          </cell>
          <cell r="U281">
            <v>4.2</v>
          </cell>
          <cell r="V281">
            <v>3.0300000000000001E-2</v>
          </cell>
          <cell r="W281">
            <v>2</v>
          </cell>
        </row>
        <row r="282">
          <cell r="A282" t="str">
            <v>S-2026-03-128</v>
          </cell>
          <cell r="B282"/>
          <cell r="C282" t="str">
            <v>RPRO-260325-0419</v>
          </cell>
          <cell r="D282" t="str">
            <v>PUR260032500003S</v>
          </cell>
          <cell r="E282" t="str">
            <v>BDB-000154</v>
          </cell>
          <cell r="F282" t="str">
            <v>PVN-003347</v>
          </cell>
          <cell r="G282" t="str">
            <v>OrthoLite X-40-Nike TRUE BLUE/19-4057TPX Flat Sheet 0.16D 35+/-4 Asker C 1.1M 1.7M 4mm</v>
          </cell>
          <cell r="H282">
            <v>30</v>
          </cell>
          <cell r="I282">
            <v>30</v>
          </cell>
          <cell r="J282">
            <v>30</v>
          </cell>
          <cell r="K282">
            <v>0</v>
          </cell>
          <cell r="L282" t="str">
            <v>NIKE</v>
          </cell>
          <cell r="M282" t="str">
            <v>Sample</v>
          </cell>
          <cell r="N282" t="str">
            <v>DIE CUT</v>
          </cell>
          <cell r="O282" t="str">
            <v>Sample</v>
          </cell>
          <cell r="P282">
            <v>46106</v>
          </cell>
          <cell r="Q282">
            <v>46122</v>
          </cell>
          <cell r="R282">
            <v>46119</v>
          </cell>
          <cell r="S282">
            <v>6</v>
          </cell>
          <cell r="T282">
            <v>16</v>
          </cell>
          <cell r="U282">
            <v>4</v>
          </cell>
          <cell r="V282">
            <v>2.8570000000000002E-2</v>
          </cell>
          <cell r="W282">
            <v>1</v>
          </cell>
        </row>
        <row r="283">
          <cell r="A283" t="str">
            <v>S-2026-03-129</v>
          </cell>
          <cell r="B283"/>
          <cell r="C283" t="str">
            <v>RPRO-260325-0421</v>
          </cell>
          <cell r="D283" t="str">
            <v>PUR2603250004S</v>
          </cell>
          <cell r="E283" t="str">
            <v>BDB-000083</v>
          </cell>
          <cell r="F283" t="str">
            <v>PVN-000933</v>
          </cell>
          <cell r="G283" t="str">
            <v>OrthoLite Eco LT 300C(ADIDAS BLUEBIRD) Flat Sheet 0.11D 25+/-4 Asker C 1.1M 2M 4.5mm</v>
          </cell>
          <cell r="H283">
            <v>50</v>
          </cell>
          <cell r="I283">
            <v>50</v>
          </cell>
          <cell r="J283">
            <v>50</v>
          </cell>
          <cell r="K283">
            <v>0</v>
          </cell>
          <cell r="L283" t="str">
            <v>ADIDAS</v>
          </cell>
          <cell r="M283" t="str">
            <v>SSO-2603-01439 - URGENT (3-30)</v>
          </cell>
          <cell r="N283" t="str">
            <v>Molded</v>
          </cell>
          <cell r="O283" t="str">
            <v>Sample</v>
          </cell>
          <cell r="P283">
            <v>46106</v>
          </cell>
          <cell r="Q283">
            <v>46112</v>
          </cell>
          <cell r="R283">
            <v>46109</v>
          </cell>
          <cell r="S283">
            <v>6</v>
          </cell>
          <cell r="T283">
            <v>6</v>
          </cell>
          <cell r="U283">
            <v>4.5</v>
          </cell>
          <cell r="V283">
            <v>3.2259999999999997E-2</v>
          </cell>
          <cell r="W283">
            <v>2</v>
          </cell>
        </row>
        <row r="284">
          <cell r="A284" t="str">
            <v>S-2026-03-130</v>
          </cell>
          <cell r="B284"/>
          <cell r="C284" t="str">
            <v>RPRO-260327-0930</v>
          </cell>
          <cell r="D284" t="str">
            <v>PUR2603250004S</v>
          </cell>
          <cell r="E284" t="str">
            <v>BDB-000085</v>
          </cell>
          <cell r="F284" t="str">
            <v>PVN-004270</v>
          </cell>
          <cell r="G284" t="str">
            <v>OrthoLite Eco LT GREY/17-1501TPX Flat Sheet 0.11D 25+/-4 Asker C 1.1M 2M 12mm</v>
          </cell>
          <cell r="H284">
            <v>50</v>
          </cell>
          <cell r="I284">
            <v>50</v>
          </cell>
          <cell r="J284">
            <v>50</v>
          </cell>
          <cell r="K284">
            <v>0</v>
          </cell>
          <cell r="L284" t="str">
            <v>ADIDAS</v>
          </cell>
          <cell r="M284" t="str">
            <v>Sample</v>
          </cell>
          <cell r="N284" t="str">
            <v>Molded</v>
          </cell>
          <cell r="O284" t="str">
            <v>Sample</v>
          </cell>
          <cell r="P284">
            <v>46106</v>
          </cell>
          <cell r="Q284">
            <v>46122</v>
          </cell>
          <cell r="R284">
            <v>46119</v>
          </cell>
          <cell r="S284">
            <v>6</v>
          </cell>
          <cell r="T284">
            <v>16</v>
          </cell>
          <cell r="U284">
            <v>12</v>
          </cell>
          <cell r="V284">
            <v>9.0910000000000005E-2</v>
          </cell>
          <cell r="W284">
            <v>5</v>
          </cell>
        </row>
        <row r="285">
          <cell r="A285" t="str">
            <v>S-2026-03-131</v>
          </cell>
          <cell r="B285" t="str">
            <v xml:space="preserve">revise số lượng </v>
          </cell>
          <cell r="C285" t="str">
            <v>RPRO-260327-0931</v>
          </cell>
          <cell r="D285" t="str">
            <v>PUR2603250004S</v>
          </cell>
          <cell r="E285" t="str">
            <v>BDB-000316</v>
          </cell>
          <cell r="F285" t="str">
            <v>PVN-004358</v>
          </cell>
          <cell r="G285" t="str">
            <v>OrthoLite Float BILLIARD/16-5427TPX Flat Sheet 0.12D 21+/-4 Asker C 1.1M 2M 8mm</v>
          </cell>
          <cell r="H285">
            <v>80</v>
          </cell>
          <cell r="I285">
            <v>80</v>
          </cell>
          <cell r="J285">
            <v>80</v>
          </cell>
          <cell r="K285">
            <v>0</v>
          </cell>
          <cell r="L285" t="str">
            <v>ADIDAS</v>
          </cell>
          <cell r="M285" t="str">
            <v>SSO-2603-01493- URGENT (4-7)</v>
          </cell>
          <cell r="N285" t="str">
            <v>Molded</v>
          </cell>
          <cell r="O285" t="str">
            <v>Sample</v>
          </cell>
          <cell r="P285">
            <v>46106</v>
          </cell>
          <cell r="Q285">
            <v>46119</v>
          </cell>
          <cell r="R285">
            <v>46116</v>
          </cell>
          <cell r="S285">
            <v>6</v>
          </cell>
          <cell r="T285">
            <v>13</v>
          </cell>
          <cell r="U285">
            <v>8</v>
          </cell>
          <cell r="V285">
            <v>5.8819999999999997E-2</v>
          </cell>
          <cell r="W285">
            <v>5</v>
          </cell>
        </row>
        <row r="286">
          <cell r="A286" t="str">
            <v>S-2026-03-132</v>
          </cell>
          <cell r="B286" t="str">
            <v>ok</v>
          </cell>
          <cell r="C286" t="str">
            <v>RPRO-260327-0932</v>
          </cell>
          <cell r="D286" t="str">
            <v>PUR2603250004S</v>
          </cell>
          <cell r="E286" t="str">
            <v>BDB-000181</v>
          </cell>
          <cell r="F286" t="str">
            <v>PVN-003238</v>
          </cell>
          <cell r="G286" t="str">
            <v>OrthoLite Eco LT-Hybrid-Converse SEEDPEARL/12-0703TPX Hybrid Flat Sheet 0.11D 25+/-4 Asker C 1.1M 2M 5mm</v>
          </cell>
          <cell r="H286">
            <v>100</v>
          </cell>
          <cell r="I286">
            <v>100</v>
          </cell>
          <cell r="J286">
            <v>100</v>
          </cell>
          <cell r="K286">
            <v>0</v>
          </cell>
          <cell r="L286" t="str">
            <v>CONVERSE</v>
          </cell>
          <cell r="M286" t="str">
            <v>Sample</v>
          </cell>
          <cell r="N286" t="str">
            <v>Die cut</v>
          </cell>
          <cell r="O286" t="str">
            <v>Sample</v>
          </cell>
          <cell r="P286">
            <v>46106</v>
          </cell>
          <cell r="Q286">
            <v>46122</v>
          </cell>
          <cell r="R286">
            <v>46119</v>
          </cell>
          <cell r="S286">
            <v>6</v>
          </cell>
          <cell r="T286">
            <v>16</v>
          </cell>
          <cell r="U286">
            <v>5</v>
          </cell>
          <cell r="V286">
            <v>3.5709999999999999E-2</v>
          </cell>
          <cell r="W286">
            <v>4</v>
          </cell>
        </row>
        <row r="287">
          <cell r="A287" t="str">
            <v>S-2026-03-133</v>
          </cell>
          <cell r="B287"/>
          <cell r="C287" t="str">
            <v>RPRO-260327-0933</v>
          </cell>
          <cell r="D287" t="str">
            <v>PUR-202603260001S</v>
          </cell>
          <cell r="E287" t="str">
            <v>BDB-000015</v>
          </cell>
          <cell r="F287" t="str">
            <v>PVN-000110</v>
          </cell>
          <cell r="G287" t="str">
            <v>OrthoLite Regular AIR BLUE/16-4134TPX Flat Sheet 0.13D 25+/-4 Asker C 1.1M 2M 3mm</v>
          </cell>
          <cell r="H287">
            <v>20</v>
          </cell>
          <cell r="I287">
            <v>20</v>
          </cell>
          <cell r="J287">
            <v>20</v>
          </cell>
          <cell r="K287">
            <v>0</v>
          </cell>
          <cell r="L287" t="str">
            <v>ASICS</v>
          </cell>
          <cell r="M287" t="str">
            <v>Sample</v>
          </cell>
          <cell r="N287" t="str">
            <v>MOLDED</v>
          </cell>
          <cell r="O287" t="str">
            <v>Sample</v>
          </cell>
          <cell r="P287">
            <v>46107</v>
          </cell>
          <cell r="Q287">
            <v>46123</v>
          </cell>
          <cell r="R287">
            <v>46120</v>
          </cell>
          <cell r="S287">
            <v>6</v>
          </cell>
          <cell r="T287">
            <v>16</v>
          </cell>
          <cell r="U287">
            <v>3</v>
          </cell>
          <cell r="V287">
            <v>2.1739999999999999E-2</v>
          </cell>
          <cell r="W287">
            <v>1</v>
          </cell>
        </row>
        <row r="288">
          <cell r="A288" t="str">
            <v>S-2026-03-134</v>
          </cell>
          <cell r="B288"/>
          <cell r="C288" t="str">
            <v>RPRO-260327-0934</v>
          </cell>
          <cell r="D288" t="str">
            <v>PUR-202603260001S</v>
          </cell>
          <cell r="E288" t="str">
            <v>BDB-000235</v>
          </cell>
          <cell r="F288" t="str">
            <v>PVN-003833</v>
          </cell>
          <cell r="G288" t="str">
            <v>OrthoLite X-55-Hybrid FOSSIL/17-0909TPX Hybrid Flat Sheet 0.16D 25+/-4 Asker C 1.1M 1.7M 17mm</v>
          </cell>
          <cell r="H288">
            <v>20</v>
          </cell>
          <cell r="I288">
            <v>20</v>
          </cell>
          <cell r="J288">
            <v>20</v>
          </cell>
          <cell r="K288">
            <v>0</v>
          </cell>
          <cell r="L288" t="str">
            <v>NEW BALANCE</v>
          </cell>
          <cell r="M288" t="str">
            <v>Sample</v>
          </cell>
          <cell r="N288" t="str">
            <v>MOLDED</v>
          </cell>
          <cell r="O288" t="str">
            <v>Sample</v>
          </cell>
          <cell r="P288">
            <v>46107</v>
          </cell>
          <cell r="Q288">
            <v>46123</v>
          </cell>
          <cell r="R288">
            <v>46120</v>
          </cell>
          <cell r="S288">
            <v>6</v>
          </cell>
          <cell r="T288">
            <v>16</v>
          </cell>
          <cell r="U288">
            <v>17</v>
          </cell>
          <cell r="V288">
            <v>0.14285999999999999</v>
          </cell>
          <cell r="W288">
            <v>3</v>
          </cell>
        </row>
        <row r="289">
          <cell r="A289" t="str">
            <v>S-2026-03-135</v>
          </cell>
          <cell r="B289" t="str">
            <v>ok</v>
          </cell>
          <cell r="C289" t="str">
            <v>RPRO-260327-0935</v>
          </cell>
          <cell r="D289" t="str">
            <v>PUR-202603260001S</v>
          </cell>
          <cell r="E289" t="str">
            <v>BDB-000020</v>
          </cell>
          <cell r="F289" t="str">
            <v>PVN-000023</v>
          </cell>
          <cell r="G289" t="str">
            <v>OrthoLite Regular RED/19-1764TPX 0.13D 35+/-4 Asker C 1.1M 2M 4mm</v>
          </cell>
          <cell r="H289">
            <v>10</v>
          </cell>
          <cell r="I289">
            <v>10</v>
          </cell>
          <cell r="J289">
            <v>10</v>
          </cell>
          <cell r="K289">
            <v>0</v>
          </cell>
          <cell r="L289" t="str">
            <v>REEBOK</v>
          </cell>
          <cell r="M289" t="str">
            <v>Sample</v>
          </cell>
          <cell r="N289" t="str">
            <v>Die-Cut</v>
          </cell>
          <cell r="O289" t="str">
            <v>Sample</v>
          </cell>
          <cell r="P289">
            <v>46107</v>
          </cell>
          <cell r="Q289">
            <v>46123</v>
          </cell>
          <cell r="R289">
            <v>46120</v>
          </cell>
          <cell r="S289">
            <v>6</v>
          </cell>
          <cell r="T289">
            <v>16</v>
          </cell>
          <cell r="U289">
            <v>4</v>
          </cell>
          <cell r="V289">
            <v>2.8570000000000002E-2</v>
          </cell>
          <cell r="W289">
            <v>1</v>
          </cell>
        </row>
        <row r="290">
          <cell r="A290" t="str">
            <v>S-2026-03-136</v>
          </cell>
          <cell r="B290" t="str">
            <v>nhớ sửa etd</v>
          </cell>
          <cell r="C290" t="str">
            <v>RPRO-260327-0936</v>
          </cell>
          <cell r="D290" t="str">
            <v>PUR2603260002S</v>
          </cell>
          <cell r="E290" t="str">
            <v>BDB-000010</v>
          </cell>
          <cell r="F290" t="str">
            <v>PVN-000101</v>
          </cell>
          <cell r="G290" t="str">
            <v>OrthoLite Regular AIR BLUE/16-4134TPX Flat Sheet 0.11D 25+/-4 Asker C 1.1M 2M 3mm</v>
          </cell>
          <cell r="H290">
            <v>50</v>
          </cell>
          <cell r="I290">
            <v>50</v>
          </cell>
          <cell r="J290">
            <v>50</v>
          </cell>
          <cell r="K290">
            <v>0</v>
          </cell>
          <cell r="L290" t="str">
            <v>ADIDAS</v>
          </cell>
          <cell r="M290" t="str">
            <v>SSO-2603-01553 - URGENT (4-8)</v>
          </cell>
          <cell r="N290" t="str">
            <v>Flat sheet</v>
          </cell>
          <cell r="O290" t="str">
            <v>Sample</v>
          </cell>
          <cell r="P290">
            <v>46107</v>
          </cell>
          <cell r="Q290">
            <v>46119</v>
          </cell>
          <cell r="R290">
            <v>46116</v>
          </cell>
          <cell r="S290">
            <v>6</v>
          </cell>
          <cell r="T290">
            <v>12</v>
          </cell>
          <cell r="U290">
            <v>3</v>
          </cell>
          <cell r="V290">
            <v>2.1739999999999999E-2</v>
          </cell>
          <cell r="W290">
            <v>2</v>
          </cell>
        </row>
        <row r="291">
          <cell r="A291" t="str">
            <v>S-2026-03-137</v>
          </cell>
          <cell r="B291"/>
          <cell r="C291" t="str">
            <v>RPRO-260327-0937</v>
          </cell>
          <cell r="D291" t="str">
            <v>PUR2603260002S</v>
          </cell>
          <cell r="E291" t="str">
            <v>BDB-000123</v>
          </cell>
          <cell r="F291" t="str">
            <v>PVN-003298</v>
          </cell>
          <cell r="G291" t="str">
            <v>OrthoLite Ultra-Hybrid SEEDPEARL/12-0703TPX Hybrid Flat Sheet 0.085D 25+/-4 Asker C 1.1M 2M 4mm</v>
          </cell>
          <cell r="H291">
            <v>400</v>
          </cell>
          <cell r="I291">
            <v>400</v>
          </cell>
          <cell r="J291">
            <v>400</v>
          </cell>
          <cell r="K291">
            <v>0</v>
          </cell>
          <cell r="L291" t="str">
            <v>ADIDAS</v>
          </cell>
          <cell r="M291" t="str">
            <v>SSO-2603-01553 - URGENT (4-8)</v>
          </cell>
          <cell r="N291" t="str">
            <v>Flat sheet</v>
          </cell>
          <cell r="O291" t="str">
            <v>Sample</v>
          </cell>
          <cell r="P291">
            <v>46107</v>
          </cell>
          <cell r="Q291">
            <v>46119</v>
          </cell>
          <cell r="R291">
            <v>46116</v>
          </cell>
          <cell r="S291">
            <v>6</v>
          </cell>
          <cell r="T291">
            <v>12</v>
          </cell>
          <cell r="U291">
            <v>4</v>
          </cell>
          <cell r="V291">
            <v>2.8570000000000002E-2</v>
          </cell>
          <cell r="W291">
            <v>12</v>
          </cell>
        </row>
        <row r="292">
          <cell r="A292" t="str">
            <v>S-2026-03-138</v>
          </cell>
          <cell r="B292" t="str">
            <v>ok</v>
          </cell>
          <cell r="C292" t="str">
            <v>RPRO-260327-0938</v>
          </cell>
          <cell r="D292" t="str">
            <v>PUR2603260002S</v>
          </cell>
          <cell r="E292" t="str">
            <v>BDB-000083</v>
          </cell>
          <cell r="F292" t="str">
            <v>PVN-000930</v>
          </cell>
          <cell r="G292" t="str">
            <v>OrthoLite Eco LT 300C(ADIDAS BLUEBIRD) Flat Sheet 0.11D 25+/-4 Asker C 1.1M 2M 3mm</v>
          </cell>
          <cell r="H292">
            <v>50</v>
          </cell>
          <cell r="I292">
            <v>50</v>
          </cell>
          <cell r="J292">
            <v>50</v>
          </cell>
          <cell r="K292">
            <v>0</v>
          </cell>
          <cell r="L292" t="str">
            <v>ADIDAS</v>
          </cell>
          <cell r="M292" t="str">
            <v>Sample</v>
          </cell>
          <cell r="N292" t="str">
            <v>Flat sheet</v>
          </cell>
          <cell r="O292" t="str">
            <v>Sample</v>
          </cell>
          <cell r="P292">
            <v>46107</v>
          </cell>
          <cell r="Q292">
            <v>46123</v>
          </cell>
          <cell r="R292">
            <v>46120</v>
          </cell>
          <cell r="S292">
            <v>6</v>
          </cell>
          <cell r="T292">
            <v>16</v>
          </cell>
          <cell r="U292">
            <v>3</v>
          </cell>
          <cell r="V292">
            <v>2.1739999999999999E-2</v>
          </cell>
          <cell r="W292">
            <v>2</v>
          </cell>
        </row>
        <row r="293">
          <cell r="A293" t="str">
            <v>S-2026-03-139</v>
          </cell>
          <cell r="B293"/>
          <cell r="C293" t="str">
            <v>RPRO-260327-0939</v>
          </cell>
          <cell r="D293" t="str">
            <v>PUR2603260002S</v>
          </cell>
          <cell r="E293" t="str">
            <v>BDB-000123</v>
          </cell>
          <cell r="F293" t="str">
            <v>PVN-003299</v>
          </cell>
          <cell r="G293" t="str">
            <v>OrthoLite Ultra-Hybrid SEEDPEARL/12-0703TPX Hybrid Flat Sheet 0.085D 25+/-4 Asker C 1.1M 2M 3mm</v>
          </cell>
          <cell r="H293">
            <v>200</v>
          </cell>
          <cell r="I293">
            <v>200</v>
          </cell>
          <cell r="J293">
            <v>200</v>
          </cell>
          <cell r="K293">
            <v>0</v>
          </cell>
          <cell r="L293" t="str">
            <v>ADIDAS</v>
          </cell>
          <cell r="M293" t="str">
            <v>Sample</v>
          </cell>
          <cell r="N293" t="str">
            <v>Flat sheet</v>
          </cell>
          <cell r="O293" t="str">
            <v>Sample</v>
          </cell>
          <cell r="P293">
            <v>46107</v>
          </cell>
          <cell r="Q293">
            <v>46120</v>
          </cell>
          <cell r="R293">
            <v>46117</v>
          </cell>
          <cell r="S293">
            <v>6</v>
          </cell>
          <cell r="T293">
            <v>13</v>
          </cell>
          <cell r="U293">
            <v>3</v>
          </cell>
          <cell r="V293">
            <v>2.1739999999999999E-2</v>
          </cell>
          <cell r="W293">
            <v>5</v>
          </cell>
        </row>
        <row r="294">
          <cell r="A294" t="str">
            <v>S-2026-03-140</v>
          </cell>
          <cell r="B294" t="str">
            <v>cancel</v>
          </cell>
          <cell r="C294" t="str">
            <v>RPRO-260327-0940</v>
          </cell>
          <cell r="D294" t="str">
            <v xml:space="preserve">PUR2603270001S  </v>
          </cell>
          <cell r="E294" t="str">
            <v>BDB-000316</v>
          </cell>
          <cell r="F294" t="str">
            <v>PVN-004358</v>
          </cell>
          <cell r="G294" t="str">
            <v>OrthoLite Float BILLIARD/16-5427TPX Flat Sheet 0.12D 21+/-4 Asker C 1.1M 2M 8mm</v>
          </cell>
          <cell r="H294">
            <v>100</v>
          </cell>
          <cell r="I294">
            <v>100</v>
          </cell>
          <cell r="J294">
            <v>0</v>
          </cell>
          <cell r="K294">
            <v>100</v>
          </cell>
          <cell r="L294" t="str">
            <v>ADIDAS</v>
          </cell>
          <cell r="M294" t="str">
            <v>SSO-2603-01571</v>
          </cell>
          <cell r="N294" t="str">
            <v>Molded</v>
          </cell>
          <cell r="O294" t="str">
            <v>Sample</v>
          </cell>
          <cell r="P294">
            <v>46108</v>
          </cell>
          <cell r="Q294" t="str">
            <v>cancel</v>
          </cell>
          <cell r="R294" t="e">
            <v>#VALUE!</v>
          </cell>
          <cell r="S294">
            <v>6</v>
          </cell>
          <cell r="T294" t="e">
            <v>#VALUE!</v>
          </cell>
          <cell r="U294">
            <v>8</v>
          </cell>
          <cell r="V294">
            <v>5.8819999999999997E-2</v>
          </cell>
          <cell r="W294">
            <v>6</v>
          </cell>
        </row>
        <row r="295">
          <cell r="A295" t="str">
            <v>S-2026-03-141</v>
          </cell>
          <cell r="B295"/>
          <cell r="C295" t="str">
            <v>RPRO-260327-0941</v>
          </cell>
          <cell r="D295" t="str">
            <v xml:space="preserve">PUR2603270001S  </v>
          </cell>
          <cell r="E295" t="str">
            <v>BDB-000081</v>
          </cell>
          <cell r="F295" t="str">
            <v>PVN-004361</v>
          </cell>
          <cell r="G295" t="str">
            <v>OrthoLite X-35 FOSSIL/17-0909TPX Flat Sheet 0.145D 25+/-4 Asker C 1.1M 2M 14mm</v>
          </cell>
          <cell r="H295">
            <v>10</v>
          </cell>
          <cell r="I295">
            <v>10</v>
          </cell>
          <cell r="J295">
            <v>10</v>
          </cell>
          <cell r="K295">
            <v>0</v>
          </cell>
          <cell r="L295" t="str">
            <v>ADIDAS</v>
          </cell>
          <cell r="M295" t="str">
            <v>SSO-2603-01593</v>
          </cell>
          <cell r="N295" t="str">
            <v>Molded</v>
          </cell>
          <cell r="O295" t="str">
            <v>Sample</v>
          </cell>
          <cell r="P295">
            <v>46108</v>
          </cell>
          <cell r="Q295">
            <v>46124</v>
          </cell>
          <cell r="R295">
            <v>46121</v>
          </cell>
          <cell r="S295">
            <v>6</v>
          </cell>
          <cell r="T295">
            <v>16</v>
          </cell>
          <cell r="U295">
            <v>14</v>
          </cell>
          <cell r="V295">
            <v>0.1</v>
          </cell>
          <cell r="W295">
            <v>2</v>
          </cell>
        </row>
        <row r="296">
          <cell r="A296" t="str">
            <v>S-2026-03-142</v>
          </cell>
          <cell r="B296"/>
          <cell r="C296" t="str">
            <v>RPRO-260401-0245</v>
          </cell>
          <cell r="D296" t="str">
            <v>PUR-202603300001S</v>
          </cell>
          <cell r="E296" t="str">
            <v>BDB-000054</v>
          </cell>
          <cell r="F296" t="str">
            <v>PVN-003895</v>
          </cell>
          <cell r="G296" t="str">
            <v>OrthoLite X-40 RED/19-1764TPX Flat Sheet 0.16D 25+/-4 Asker C 1.1M 1.7M 5mm</v>
          </cell>
          <cell r="H296">
            <v>40</v>
          </cell>
          <cell r="I296">
            <v>40</v>
          </cell>
          <cell r="J296">
            <v>40</v>
          </cell>
          <cell r="K296">
            <v>0</v>
          </cell>
          <cell r="L296" t="str">
            <v>PAYNTR</v>
          </cell>
          <cell r="M296" t="str">
            <v>Sample</v>
          </cell>
          <cell r="N296" t="str">
            <v>MOLDED</v>
          </cell>
          <cell r="O296" t="str">
            <v>Sample</v>
          </cell>
          <cell r="P296">
            <v>46111</v>
          </cell>
          <cell r="Q296">
            <v>46125</v>
          </cell>
          <cell r="R296">
            <v>46122</v>
          </cell>
          <cell r="S296">
            <v>6</v>
          </cell>
          <cell r="T296">
            <v>14</v>
          </cell>
          <cell r="U296">
            <v>5</v>
          </cell>
          <cell r="V296">
            <v>3.5709999999999999E-2</v>
          </cell>
          <cell r="W296">
            <v>2</v>
          </cell>
        </row>
        <row r="297">
          <cell r="A297" t="str">
            <v>S-2026-03-143</v>
          </cell>
          <cell r="B297" t="str">
            <v>dời etd giao 16/4</v>
          </cell>
          <cell r="C297" t="str">
            <v>RPRO-260401-0246</v>
          </cell>
          <cell r="D297" t="str">
            <v>PUR-202603300001S</v>
          </cell>
          <cell r="E297" t="str">
            <v>BDB-000275</v>
          </cell>
          <cell r="F297" t="str">
            <v>PVN-004362</v>
          </cell>
          <cell r="G297" t="str">
            <v>OrthoLite Regular RED/19-1764TPX Flat Sheet 0.15D 45+/-4 Asker C 1.1M 1.7M 2mm</v>
          </cell>
          <cell r="H297">
            <v>20</v>
          </cell>
          <cell r="I297">
            <v>20</v>
          </cell>
          <cell r="J297">
            <v>20</v>
          </cell>
          <cell r="K297">
            <v>0</v>
          </cell>
          <cell r="L297" t="str">
            <v>SALOMON</v>
          </cell>
          <cell r="M297" t="str">
            <v>Sample</v>
          </cell>
          <cell r="N297" t="str">
            <v>MOLDED</v>
          </cell>
          <cell r="O297" t="str">
            <v>Sample</v>
          </cell>
          <cell r="P297">
            <v>46111</v>
          </cell>
          <cell r="Q297">
            <v>46128</v>
          </cell>
          <cell r="R297">
            <v>46125</v>
          </cell>
          <cell r="S297">
            <v>6</v>
          </cell>
          <cell r="T297">
            <v>17</v>
          </cell>
          <cell r="U297">
            <v>2</v>
          </cell>
          <cell r="V297">
            <v>1.4290000000000001E-2</v>
          </cell>
          <cell r="W297">
            <v>1</v>
          </cell>
        </row>
        <row r="298">
          <cell r="A298" t="str">
            <v>S-2026-03-144</v>
          </cell>
          <cell r="B298"/>
          <cell r="C298" t="str">
            <v>RPRO-260401-0247</v>
          </cell>
          <cell r="D298" t="str">
            <v>PUR-202603300001S</v>
          </cell>
          <cell r="E298" t="str">
            <v>BDB-000008</v>
          </cell>
          <cell r="F298" t="str">
            <v>PVN-000412</v>
          </cell>
          <cell r="G298" t="str">
            <v>OrthoLite Regular LIME GREEN/14-0452TPX Flat Sheet 0.11D 25+/-4 Asker C 1.1M 2M 5mm</v>
          </cell>
          <cell r="H298">
            <v>20</v>
          </cell>
          <cell r="I298">
            <v>20</v>
          </cell>
          <cell r="J298">
            <v>20</v>
          </cell>
          <cell r="K298">
            <v>0</v>
          </cell>
          <cell r="L298" t="str">
            <v>ASICS</v>
          </cell>
          <cell r="M298" t="str">
            <v>Sample</v>
          </cell>
          <cell r="N298" t="str">
            <v>Die-Cut</v>
          </cell>
          <cell r="O298" t="str">
            <v>Sample</v>
          </cell>
          <cell r="P298">
            <v>46111</v>
          </cell>
          <cell r="Q298">
            <v>46125</v>
          </cell>
          <cell r="R298">
            <v>46122</v>
          </cell>
          <cell r="S298">
            <v>6</v>
          </cell>
          <cell r="T298">
            <v>14</v>
          </cell>
          <cell r="U298">
            <v>5</v>
          </cell>
          <cell r="V298">
            <v>3.5709999999999999E-2</v>
          </cell>
          <cell r="W298">
            <v>1</v>
          </cell>
        </row>
        <row r="299">
          <cell r="A299" t="str">
            <v>S-2026-03-145</v>
          </cell>
          <cell r="B299"/>
          <cell r="C299" t="str">
            <v>RPRO-260401-0248</v>
          </cell>
          <cell r="D299" t="str">
            <v>PUR-202603300001S</v>
          </cell>
          <cell r="E299" t="str">
            <v>BDB-000367</v>
          </cell>
          <cell r="F299" t="str">
            <v>PVN-004370</v>
          </cell>
          <cell r="G299" t="str">
            <v>OrthoLite Ultra LIME GREEN/14-0452TPX Flat Sheet 0.095D 33+/-4 Asker C 1.1M 2M 13mm</v>
          </cell>
          <cell r="H299">
            <v>10</v>
          </cell>
          <cell r="I299">
            <v>10</v>
          </cell>
          <cell r="J299">
            <v>10</v>
          </cell>
          <cell r="K299">
            <v>0</v>
          </cell>
          <cell r="L299" t="str">
            <v>PATRICK</v>
          </cell>
          <cell r="M299" t="str">
            <v>Sample</v>
          </cell>
          <cell r="N299" t="str">
            <v>MOLDED</v>
          </cell>
          <cell r="O299" t="str">
            <v>Sample</v>
          </cell>
          <cell r="P299">
            <v>46111</v>
          </cell>
          <cell r="Q299">
            <v>46125</v>
          </cell>
          <cell r="R299">
            <v>46122</v>
          </cell>
          <cell r="S299">
            <v>6</v>
          </cell>
          <cell r="T299">
            <v>14</v>
          </cell>
          <cell r="U299">
            <v>13</v>
          </cell>
          <cell r="V299">
            <v>0.1</v>
          </cell>
          <cell r="W299">
            <v>1</v>
          </cell>
        </row>
        <row r="300">
          <cell r="A300" t="str">
            <v>S-2026-03-146</v>
          </cell>
          <cell r="B300"/>
          <cell r="C300" t="str">
            <v>RPRO-260401-0249</v>
          </cell>
          <cell r="D300" t="str">
            <v>PUR-202603300001S</v>
          </cell>
          <cell r="E300" t="str">
            <v>BDB-000051</v>
          </cell>
          <cell r="F300" t="str">
            <v>PVN-003450</v>
          </cell>
          <cell r="G300" t="str">
            <v>OrthoLite X-40 TRUE BLUE/19-4057TPX Flat Sheet 0.16D 25+/-4 Asker C 1.1M 1.7M 6mm</v>
          </cell>
          <cell r="H300">
            <v>40</v>
          </cell>
          <cell r="I300">
            <v>40</v>
          </cell>
          <cell r="J300">
            <v>40</v>
          </cell>
          <cell r="K300">
            <v>0</v>
          </cell>
          <cell r="L300" t="str">
            <v>ASICS</v>
          </cell>
          <cell r="M300" t="str">
            <v>Sample</v>
          </cell>
          <cell r="N300" t="str">
            <v>MOLDED</v>
          </cell>
          <cell r="O300" t="str">
            <v>Sample</v>
          </cell>
          <cell r="P300">
            <v>46111</v>
          </cell>
          <cell r="Q300">
            <v>46125</v>
          </cell>
          <cell r="R300">
            <v>46122</v>
          </cell>
          <cell r="S300">
            <v>6</v>
          </cell>
          <cell r="T300">
            <v>14</v>
          </cell>
          <cell r="U300">
            <v>6</v>
          </cell>
          <cell r="V300">
            <v>4.3479999999999998E-2</v>
          </cell>
          <cell r="W300">
            <v>2</v>
          </cell>
        </row>
        <row r="301">
          <cell r="A301" t="str">
            <v>S-2026-04-01</v>
          </cell>
          <cell r="B301"/>
          <cell r="C301" t="str">
            <v>RPRO-260401-0250</v>
          </cell>
          <cell r="D301" t="str">
            <v>PUR260040100001S</v>
          </cell>
          <cell r="E301" t="str">
            <v>BDB-000291</v>
          </cell>
          <cell r="F301" t="str">
            <v>PVN-004250</v>
          </cell>
          <cell r="G301" t="str">
            <v>OrthoLite Regular NEUTRAL GRAY/17-4402TPX Flat Sheet 0.15D 45+/-4 Asker C 1.1M 1.7M 9.8mm</v>
          </cell>
          <cell r="H301">
            <v>20</v>
          </cell>
          <cell r="I301">
            <v>20</v>
          </cell>
          <cell r="J301">
            <v>20</v>
          </cell>
          <cell r="K301">
            <v>0</v>
          </cell>
          <cell r="L301" t="str">
            <v>FOOTJOY</v>
          </cell>
          <cell r="M301" t="str">
            <v>Sample</v>
          </cell>
          <cell r="N301" t="str">
            <v>MOLDED</v>
          </cell>
          <cell r="O301" t="str">
            <v>Sample</v>
          </cell>
          <cell r="P301">
            <v>46113</v>
          </cell>
          <cell r="Q301">
            <v>46125</v>
          </cell>
          <cell r="R301">
            <v>46122</v>
          </cell>
          <cell r="S301">
            <v>6</v>
          </cell>
          <cell r="T301">
            <v>12</v>
          </cell>
          <cell r="U301">
            <v>9.8000000000000007</v>
          </cell>
          <cell r="V301">
            <v>7.1429999999999993E-2</v>
          </cell>
          <cell r="W301">
            <v>2</v>
          </cell>
        </row>
        <row r="302">
          <cell r="A302" t="str">
            <v>S-2026-04-02</v>
          </cell>
          <cell r="B302"/>
          <cell r="C302" t="str">
            <v>RPRO-260401-0251</v>
          </cell>
          <cell r="D302" t="str">
            <v>PUR260040100001S</v>
          </cell>
          <cell r="E302" t="str">
            <v>BDB-000382</v>
          </cell>
          <cell r="F302" t="str">
            <v>PVN-004363</v>
          </cell>
          <cell r="G302" t="str">
            <v>OrthoLite Regular FOSSIL/17-0909TPX Flat Sheet 0.16D 51+/-4 Asker C 1.1M 1.7M 9.5mm</v>
          </cell>
          <cell r="H302">
            <v>10</v>
          </cell>
          <cell r="I302">
            <v>10</v>
          </cell>
          <cell r="J302">
            <v>10</v>
          </cell>
          <cell r="K302">
            <v>0</v>
          </cell>
          <cell r="L302" t="str">
            <v>FOOTJOY</v>
          </cell>
          <cell r="M302" t="str">
            <v>Sample</v>
          </cell>
          <cell r="N302" t="str">
            <v>MOLDED/ URGENT</v>
          </cell>
          <cell r="O302" t="str">
            <v>Sample</v>
          </cell>
          <cell r="P302">
            <v>46113</v>
          </cell>
          <cell r="Q302">
            <v>46119</v>
          </cell>
          <cell r="R302">
            <v>46114</v>
          </cell>
          <cell r="S302">
            <v>6</v>
          </cell>
          <cell r="T302">
            <v>6</v>
          </cell>
          <cell r="U302">
            <v>9.5</v>
          </cell>
          <cell r="V302">
            <v>6.6669999999999993E-2</v>
          </cell>
          <cell r="W302">
            <v>1</v>
          </cell>
        </row>
        <row r="303">
          <cell r="A303" t="str">
            <v>S-2026-04-03</v>
          </cell>
          <cell r="B303"/>
          <cell r="C303" t="str">
            <v>RPRO-260402-0737</v>
          </cell>
          <cell r="D303" t="str">
            <v>PUR2604020001S</v>
          </cell>
          <cell r="E303" t="str">
            <v>BDB-000348</v>
          </cell>
          <cell r="F303" t="str">
            <v>PVN-004195</v>
          </cell>
          <cell r="G303" t="str">
            <v>OrthoLite IMPERIAL SEEDPEARL/12-0703TPX Flat Sheet 0.22D 25+/-4 Asker C 1.1M 1.47M 4mm</v>
          </cell>
          <cell r="H303">
            <v>100</v>
          </cell>
          <cell r="I303">
            <v>100</v>
          </cell>
          <cell r="J303">
            <v>100</v>
          </cell>
          <cell r="K303">
            <v>0</v>
          </cell>
          <cell r="L303" t="str">
            <v>ADIDAS</v>
          </cell>
          <cell r="M303" t="str">
            <v>Sample</v>
          </cell>
          <cell r="N303" t="str">
            <v>Flat sheet</v>
          </cell>
          <cell r="O303" t="str">
            <v>Sample</v>
          </cell>
          <cell r="P303">
            <v>46114</v>
          </cell>
          <cell r="Q303">
            <v>46126</v>
          </cell>
          <cell r="R303">
            <v>46123</v>
          </cell>
          <cell r="S303">
            <v>6</v>
          </cell>
          <cell r="T303">
            <v>12</v>
          </cell>
          <cell r="U303">
            <v>4</v>
          </cell>
          <cell r="V303">
            <v>2.8570000000000002E-2</v>
          </cell>
          <cell r="W303">
            <v>3</v>
          </cell>
        </row>
        <row r="304">
          <cell r="A304" t="str">
            <v>S-2026-04-04</v>
          </cell>
          <cell r="B304"/>
          <cell r="C304" t="str">
            <v>RPRO-260402-0738</v>
          </cell>
          <cell r="D304" t="str">
            <v>PUR2604020001S</v>
          </cell>
          <cell r="E304" t="str">
            <v>BDB-000349</v>
          </cell>
          <cell r="F304" t="str">
            <v>PVN-004352</v>
          </cell>
          <cell r="G304" t="str">
            <v>OrthoLite Ultra GREEN/16-5932TPX Flat Sheet 0.085D 15+/-4 Asker C 1.1M 2M 11mm</v>
          </cell>
          <cell r="H304">
            <v>20</v>
          </cell>
          <cell r="I304">
            <v>20</v>
          </cell>
          <cell r="J304">
            <v>20</v>
          </cell>
          <cell r="K304">
            <v>0</v>
          </cell>
          <cell r="L304" t="str">
            <v>BLACKYAK</v>
          </cell>
          <cell r="M304" t="str">
            <v>SSO-2603-00950/01230/SSO-2604-00086- URGENT (4-7)</v>
          </cell>
          <cell r="N304" t="str">
            <v>Molded</v>
          </cell>
          <cell r="O304" t="str">
            <v>Sample</v>
          </cell>
          <cell r="P304">
            <v>46114</v>
          </cell>
          <cell r="Q304">
            <v>46120</v>
          </cell>
          <cell r="R304">
            <v>46116</v>
          </cell>
          <cell r="S304">
            <v>6</v>
          </cell>
          <cell r="T304">
            <v>6</v>
          </cell>
          <cell r="U304">
            <v>11</v>
          </cell>
          <cell r="V304">
            <v>8.3330000000000001E-2</v>
          </cell>
          <cell r="W304">
            <v>2</v>
          </cell>
        </row>
        <row r="305">
          <cell r="A305" t="str">
            <v>S-2026-04-05</v>
          </cell>
          <cell r="B305"/>
          <cell r="C305" t="str">
            <v>RPRO-260403-0489</v>
          </cell>
          <cell r="D305" t="str">
            <v>PUR-202604020002S</v>
          </cell>
          <cell r="E305" t="str">
            <v>BDB-000097</v>
          </cell>
          <cell r="F305" t="str">
            <v>PVN-002473</v>
          </cell>
          <cell r="G305" t="str">
            <v>OrthoLite Eco LT-Hybrid SEEDPEARL/12-0703TPX Hybrid 0.11D 25+/-4 Asker C 1.1M 2M 5mm</v>
          </cell>
          <cell r="H305">
            <v>30</v>
          </cell>
          <cell r="I305">
            <v>30</v>
          </cell>
          <cell r="J305">
            <v>30</v>
          </cell>
          <cell r="K305">
            <v>0</v>
          </cell>
          <cell r="L305" t="str">
            <v>NEW BALANCE</v>
          </cell>
          <cell r="M305" t="str">
            <v>Sample</v>
          </cell>
          <cell r="N305" t="str">
            <v>Die-Cut</v>
          </cell>
          <cell r="O305" t="str">
            <v>Sample</v>
          </cell>
          <cell r="P305">
            <v>46114</v>
          </cell>
          <cell r="Q305">
            <v>46126</v>
          </cell>
          <cell r="R305">
            <v>46123</v>
          </cell>
          <cell r="S305">
            <v>6</v>
          </cell>
          <cell r="T305">
            <v>12</v>
          </cell>
          <cell r="U305">
            <v>5</v>
          </cell>
          <cell r="V305">
            <v>3.5709999999999999E-2</v>
          </cell>
          <cell r="W305">
            <v>2</v>
          </cell>
        </row>
        <row r="306">
          <cell r="A306" t="str">
            <v>S-2026-04-06</v>
          </cell>
          <cell r="B306"/>
          <cell r="C306" t="str">
            <v>RPRO-260403-0490</v>
          </cell>
          <cell r="D306" t="str">
            <v>PUR-202604020002S</v>
          </cell>
          <cell r="E306" t="str">
            <v>BDB-000113</v>
          </cell>
          <cell r="F306" t="str">
            <v>PVN-002688</v>
          </cell>
          <cell r="G306" t="str">
            <v>OrthoLite Regular-Hybrid SEEDPEARL/12-0703TPX Hybrid 0.11D 25+/-4 Asker C 1.1M 2M 6mm</v>
          </cell>
          <cell r="H306">
            <v>50</v>
          </cell>
          <cell r="I306">
            <v>50</v>
          </cell>
          <cell r="J306">
            <v>50</v>
          </cell>
          <cell r="K306">
            <v>0</v>
          </cell>
          <cell r="L306" t="str">
            <v>ASICS</v>
          </cell>
          <cell r="M306" t="str">
            <v>Sample</v>
          </cell>
          <cell r="N306" t="str">
            <v>MOLDED</v>
          </cell>
          <cell r="O306" t="str">
            <v>Sample</v>
          </cell>
          <cell r="P306">
            <v>46114</v>
          </cell>
          <cell r="Q306">
            <v>46126</v>
          </cell>
          <cell r="R306">
            <v>46123</v>
          </cell>
          <cell r="S306">
            <v>6</v>
          </cell>
          <cell r="T306">
            <v>12</v>
          </cell>
          <cell r="U306">
            <v>6</v>
          </cell>
          <cell r="V306">
            <v>4.3479999999999998E-2</v>
          </cell>
          <cell r="W306">
            <v>3</v>
          </cell>
        </row>
        <row r="307">
          <cell r="A307" t="str">
            <v>S-2026-04-07</v>
          </cell>
          <cell r="B307"/>
          <cell r="C307" t="str">
            <v>RPRO-260403-0491</v>
          </cell>
          <cell r="D307" t="str">
            <v>PUR-202604020002S</v>
          </cell>
          <cell r="E307" t="str">
            <v>BDB-000051</v>
          </cell>
          <cell r="F307" t="str">
            <v>PVN-003450</v>
          </cell>
          <cell r="G307" t="str">
            <v>OrthoLite X-40 TRUE BLUE/19-4057TPX Flat Sheet 0.16D 25+/-4 Asker C 1.1M 1.7M 6mm</v>
          </cell>
          <cell r="H307">
            <v>50</v>
          </cell>
          <cell r="I307">
            <v>50</v>
          </cell>
          <cell r="J307">
            <v>50</v>
          </cell>
          <cell r="K307">
            <v>0</v>
          </cell>
          <cell r="L307" t="str">
            <v>ASICS</v>
          </cell>
          <cell r="M307" t="str">
            <v>Sample</v>
          </cell>
          <cell r="N307" t="str">
            <v>MOLDED</v>
          </cell>
          <cell r="O307" t="str">
            <v>Sample</v>
          </cell>
          <cell r="P307">
            <v>46114</v>
          </cell>
          <cell r="Q307">
            <v>46126</v>
          </cell>
          <cell r="R307">
            <v>46123</v>
          </cell>
          <cell r="S307">
            <v>6</v>
          </cell>
          <cell r="T307">
            <v>12</v>
          </cell>
          <cell r="U307">
            <v>6</v>
          </cell>
          <cell r="V307">
            <v>4.3479999999999998E-2</v>
          </cell>
          <cell r="W307">
            <v>3</v>
          </cell>
        </row>
        <row r="308">
          <cell r="A308" t="str">
            <v>S-2026-04-08</v>
          </cell>
          <cell r="B308"/>
          <cell r="C308" t="str">
            <v>RPRO-260403-0492</v>
          </cell>
          <cell r="D308" t="str">
            <v>PUR-202604020002S</v>
          </cell>
          <cell r="E308" t="str">
            <v>BDB-000339</v>
          </cell>
          <cell r="F308" t="str">
            <v>PVN-004178</v>
          </cell>
          <cell r="G308" t="str">
            <v>OrthoLite Float NEUTRAL GRAY/17-4402TPX Flat Sheet 0.12D 21+/-4 Asker C 1.1M 2M 5.5mm</v>
          </cell>
          <cell r="H308">
            <v>30</v>
          </cell>
          <cell r="I308">
            <v>30</v>
          </cell>
          <cell r="J308">
            <v>30</v>
          </cell>
          <cell r="K308">
            <v>0</v>
          </cell>
          <cell r="L308" t="str">
            <v>PUMA</v>
          </cell>
          <cell r="M308" t="str">
            <v>Sample</v>
          </cell>
          <cell r="N308" t="str">
            <v>MOLDED</v>
          </cell>
          <cell r="O308" t="str">
            <v>Sample</v>
          </cell>
          <cell r="P308">
            <v>46114</v>
          </cell>
          <cell r="Q308">
            <v>46126</v>
          </cell>
          <cell r="R308">
            <v>46123</v>
          </cell>
          <cell r="S308">
            <v>6</v>
          </cell>
          <cell r="T308">
            <v>12</v>
          </cell>
          <cell r="U308">
            <v>5.5</v>
          </cell>
          <cell r="V308">
            <v>0.04</v>
          </cell>
          <cell r="W308">
            <v>2</v>
          </cell>
        </row>
        <row r="309">
          <cell r="A309" t="str">
            <v>S-2026-04-09</v>
          </cell>
          <cell r="B309"/>
          <cell r="C309" t="str">
            <v>RPRO-260406-1201</v>
          </cell>
          <cell r="D309" t="str">
            <v>PUR2604030002S</v>
          </cell>
          <cell r="E309" t="str">
            <v>BDB-000384</v>
          </cell>
          <cell r="F309" t="str">
            <v>PVN-004377</v>
          </cell>
          <cell r="G309" t="str">
            <v>OrthoLite Impressions SEEDPEARL/12-0703TPX Flat Sheet 0.15D 70-80 Asker F 1.1M 1.7M 6mm</v>
          </cell>
          <cell r="H309">
            <v>20</v>
          </cell>
          <cell r="I309">
            <v>20</v>
          </cell>
          <cell r="J309">
            <v>20</v>
          </cell>
          <cell r="K309">
            <v>0</v>
          </cell>
          <cell r="L309" t="str">
            <v>ADIDAS</v>
          </cell>
          <cell r="M309" t="str">
            <v>SSO-2604-00108 - URGENT (4-15)</v>
          </cell>
          <cell r="N309" t="str">
            <v>Flat sheet</v>
          </cell>
          <cell r="O309" t="str">
            <v>Sample</v>
          </cell>
          <cell r="P309">
            <v>46115</v>
          </cell>
          <cell r="Q309">
            <v>46122</v>
          </cell>
          <cell r="R309">
            <v>46119</v>
          </cell>
          <cell r="S309">
            <v>6</v>
          </cell>
          <cell r="T309">
            <v>7</v>
          </cell>
          <cell r="U309">
            <v>6</v>
          </cell>
          <cell r="V309">
            <v>4.3479999999999998E-2</v>
          </cell>
          <cell r="W309">
            <v>1</v>
          </cell>
        </row>
        <row r="310">
          <cell r="A310" t="str">
            <v>S-2026-04-10</v>
          </cell>
          <cell r="B310"/>
          <cell r="C310" t="str">
            <v>RPRO-260406-1202</v>
          </cell>
          <cell r="D310" t="str">
            <v>PUR2604030002S</v>
          </cell>
          <cell r="E310" t="str">
            <v>BDB-000384</v>
          </cell>
          <cell r="F310" t="str">
            <v>PVN-004378</v>
          </cell>
          <cell r="G310" t="str">
            <v>OrthoLite Impressions SEEDPEARL/12-0703TPX Flat Sheet 0.15D 70-80 Asker F 1.1M 1.7M 8mm</v>
          </cell>
          <cell r="H310">
            <v>20</v>
          </cell>
          <cell r="I310">
            <v>20</v>
          </cell>
          <cell r="J310">
            <v>20</v>
          </cell>
          <cell r="K310">
            <v>0</v>
          </cell>
          <cell r="L310" t="str">
            <v>ADIDAS</v>
          </cell>
          <cell r="M310" t="str">
            <v>SSO-2604-00108 - URGENT (4-15)</v>
          </cell>
          <cell r="N310" t="str">
            <v>Flat sheet</v>
          </cell>
          <cell r="O310" t="str">
            <v>Sample</v>
          </cell>
          <cell r="P310">
            <v>46115</v>
          </cell>
          <cell r="Q310">
            <v>46122</v>
          </cell>
          <cell r="R310">
            <v>46119</v>
          </cell>
          <cell r="S310">
            <v>6</v>
          </cell>
          <cell r="T310">
            <v>7</v>
          </cell>
          <cell r="U310">
            <v>8</v>
          </cell>
          <cell r="V310">
            <v>5.8819999999999997E-2</v>
          </cell>
          <cell r="W310">
            <v>2</v>
          </cell>
        </row>
        <row r="311">
          <cell r="A311" t="str">
            <v>S-2026-04-11</v>
          </cell>
          <cell r="B311"/>
          <cell r="C311" t="str">
            <v>RPRO-260406-1203</v>
          </cell>
          <cell r="D311" t="str">
            <v>PUR2604060001S</v>
          </cell>
          <cell r="E311" t="str">
            <v>BDB-000016</v>
          </cell>
          <cell r="F311" t="str">
            <v>PVN-000179</v>
          </cell>
          <cell r="G311" t="str">
            <v>OrthoLite Regular GREEN/16-5932TPX Flat Sheet 0.13D 35+/-4 Asker C 1.1M 2M 5mm</v>
          </cell>
          <cell r="H311">
            <v>10</v>
          </cell>
          <cell r="I311">
            <v>10</v>
          </cell>
          <cell r="J311">
            <v>10</v>
          </cell>
          <cell r="K311">
            <v>0</v>
          </cell>
          <cell r="L311" t="str">
            <v>ADIDAS</v>
          </cell>
          <cell r="M311" t="str">
            <v>SSO-2604-00152 - URGENT (4-11)</v>
          </cell>
          <cell r="N311" t="str">
            <v>Flat sheet</v>
          </cell>
          <cell r="O311" t="str">
            <v>Sample</v>
          </cell>
          <cell r="P311">
            <v>46118</v>
          </cell>
          <cell r="Q311">
            <v>46124</v>
          </cell>
          <cell r="R311">
            <v>46121</v>
          </cell>
          <cell r="S311">
            <v>6</v>
          </cell>
          <cell r="T311">
            <v>6</v>
          </cell>
          <cell r="U311">
            <v>5</v>
          </cell>
          <cell r="V311">
            <v>3.5709999999999999E-2</v>
          </cell>
          <cell r="W311">
            <v>1</v>
          </cell>
        </row>
        <row r="312">
          <cell r="A312" t="str">
            <v>S-2026-04-12</v>
          </cell>
          <cell r="B312"/>
          <cell r="C312" t="str">
            <v>RPRO-260407-0417</v>
          </cell>
          <cell r="D312" t="str">
            <v>PUR2600400600002S</v>
          </cell>
          <cell r="E312" t="str">
            <v>BDB-000262</v>
          </cell>
          <cell r="F312" t="str">
            <v>PVN-004251</v>
          </cell>
          <cell r="G312" t="str">
            <v>OrthoLite Ultra-Hybrid SEEDPEARL/12-0703TPX Hybrid Flat Sheet 0.085D 78-90 Asker F 1.1M 2M 16mm</v>
          </cell>
          <cell r="H312">
            <v>30</v>
          </cell>
          <cell r="I312">
            <v>30</v>
          </cell>
          <cell r="J312">
            <v>30</v>
          </cell>
          <cell r="K312">
            <v>0</v>
          </cell>
          <cell r="L312" t="str">
            <v>FOOTJOY</v>
          </cell>
          <cell r="M312" t="str">
            <v>Sample</v>
          </cell>
          <cell r="N312" t="str">
            <v>MOLDED</v>
          </cell>
          <cell r="O312" t="str">
            <v>Sample</v>
          </cell>
          <cell r="P312">
            <v>46118</v>
          </cell>
          <cell r="Q312">
            <v>46128</v>
          </cell>
          <cell r="R312">
            <v>46125</v>
          </cell>
          <cell r="S312">
            <v>6</v>
          </cell>
          <cell r="T312">
            <v>10</v>
          </cell>
          <cell r="U312">
            <v>16</v>
          </cell>
          <cell r="V312">
            <v>0.11111</v>
          </cell>
          <cell r="W312">
            <v>4</v>
          </cell>
        </row>
        <row r="313">
          <cell r="A313" t="str">
            <v>S-2026-04-13</v>
          </cell>
          <cell r="B313"/>
          <cell r="C313" t="str">
            <v>RPRO-260407-0418</v>
          </cell>
          <cell r="D313" t="str">
            <v>PUR2600400600002S</v>
          </cell>
          <cell r="E313" t="str">
            <v>BDB-000123</v>
          </cell>
          <cell r="F313" t="str">
            <v>PVN-003815</v>
          </cell>
          <cell r="G313" t="str">
            <v>OrthoLite Ultra-Hybrid SEEDPEARL/12-0703TPX Hybrid Flat Sheet 0.085D 25+/-4 Asker C 1.1M 2M 6mm</v>
          </cell>
          <cell r="H313">
            <v>40</v>
          </cell>
          <cell r="I313">
            <v>40</v>
          </cell>
          <cell r="J313">
            <v>40</v>
          </cell>
          <cell r="K313">
            <v>0</v>
          </cell>
          <cell r="L313" t="str">
            <v>FOOTJOY</v>
          </cell>
          <cell r="M313" t="str">
            <v>Sample</v>
          </cell>
          <cell r="N313" t="str">
            <v>MOLDED</v>
          </cell>
          <cell r="O313" t="str">
            <v>Sample</v>
          </cell>
          <cell r="P313">
            <v>46118</v>
          </cell>
          <cell r="Q313">
            <v>46128</v>
          </cell>
          <cell r="R313">
            <v>46125</v>
          </cell>
          <cell r="S313">
            <v>6</v>
          </cell>
          <cell r="T313">
            <v>10</v>
          </cell>
          <cell r="U313">
            <v>6</v>
          </cell>
          <cell r="V313">
            <v>4.3479999999999998E-2</v>
          </cell>
          <cell r="W313">
            <v>2</v>
          </cell>
        </row>
        <row r="314">
          <cell r="A314" t="str">
            <v>S-2026-04-14</v>
          </cell>
          <cell r="B314"/>
          <cell r="C314" t="str">
            <v>RPRO-260407-0419</v>
          </cell>
          <cell r="D314" t="str">
            <v>PUR2600400600002S</v>
          </cell>
          <cell r="E314" t="str">
            <v>BDB-000291</v>
          </cell>
          <cell r="F314" t="str">
            <v>PVN-004250</v>
          </cell>
          <cell r="G314" t="str">
            <v>OrthoLite Regular NEUTRAL GRAY/17-4402TPX Flat Sheet 0.15D 45+/-4 Asker C 1.1M 1.7M 9.8mm</v>
          </cell>
          <cell r="H314">
            <v>40</v>
          </cell>
          <cell r="I314">
            <v>40</v>
          </cell>
          <cell r="J314">
            <v>40</v>
          </cell>
          <cell r="K314">
            <v>0</v>
          </cell>
          <cell r="L314" t="str">
            <v>FOOTJOY</v>
          </cell>
          <cell r="M314" t="str">
            <v>Sample</v>
          </cell>
          <cell r="N314" t="str">
            <v>MOLDED</v>
          </cell>
          <cell r="O314" t="str">
            <v>Sample</v>
          </cell>
          <cell r="P314">
            <v>46118</v>
          </cell>
          <cell r="Q314">
            <v>46128</v>
          </cell>
          <cell r="R314">
            <v>46125</v>
          </cell>
          <cell r="S314">
            <v>6</v>
          </cell>
          <cell r="T314">
            <v>10</v>
          </cell>
          <cell r="U314">
            <v>9.8000000000000007</v>
          </cell>
          <cell r="V314">
            <v>7.1429999999999993E-2</v>
          </cell>
          <cell r="W314">
            <v>3</v>
          </cell>
        </row>
        <row r="315">
          <cell r="A315" t="str">
            <v>S-2026-04-15</v>
          </cell>
          <cell r="B315"/>
          <cell r="C315" t="str">
            <v>RPRO-260407-0420</v>
          </cell>
          <cell r="D315" t="str">
            <v>thuy.tao@ortholite.vn</v>
          </cell>
          <cell r="E315" t="str">
            <v>BDB-000103</v>
          </cell>
          <cell r="F315" t="str">
            <v>PVN-003499</v>
          </cell>
          <cell r="G315" t="str">
            <v>OrthoLite Eco LT-Hybrid SEEDPEARL/12-0703TPX Hybrid 0.085D 25+/-4 Asker C 1.1M 2M 5.5mm</v>
          </cell>
          <cell r="H315">
            <v>5</v>
          </cell>
          <cell r="I315">
            <v>5</v>
          </cell>
          <cell r="J315">
            <v>5</v>
          </cell>
          <cell r="K315">
            <v>0</v>
          </cell>
          <cell r="L315" t="str">
            <v>New Balance</v>
          </cell>
          <cell r="M315" t="str">
            <v>Sample</v>
          </cell>
          <cell r="N315" t="str">
            <v>INSOLE/ MOLDED</v>
          </cell>
          <cell r="O315" t="str">
            <v>Sample</v>
          </cell>
          <cell r="P315">
            <v>46119</v>
          </cell>
          <cell r="Q315">
            <v>46128</v>
          </cell>
          <cell r="R315">
            <v>46125</v>
          </cell>
          <cell r="S315">
            <v>6</v>
          </cell>
          <cell r="T315">
            <v>9</v>
          </cell>
          <cell r="U315">
            <v>5.5</v>
          </cell>
          <cell r="V315">
            <v>0.04</v>
          </cell>
          <cell r="W315">
            <v>1</v>
          </cell>
        </row>
        <row r="316">
          <cell r="A316" t="str">
            <v>S-2026-04-16</v>
          </cell>
          <cell r="B316"/>
          <cell r="C316" t="str">
            <v>RPRO-260409-0346</v>
          </cell>
          <cell r="D316" t="str">
            <v>PUR2604080002S</v>
          </cell>
          <cell r="E316" t="str">
            <v>BDB-000179</v>
          </cell>
          <cell r="F316" t="str">
            <v>PVN-004383</v>
          </cell>
          <cell r="G316" t="str">
            <v>OrthoLite X-55 RED/19-1764TPX Flat Sheet 0.16D 25+/-4 Asker C 1.1M 1.7M 2.5mm</v>
          </cell>
          <cell r="H316">
            <v>30</v>
          </cell>
          <cell r="I316">
            <v>30</v>
          </cell>
          <cell r="J316">
            <v>30</v>
          </cell>
          <cell r="K316">
            <v>0</v>
          </cell>
          <cell r="L316" t="str">
            <v>ON RUNNING</v>
          </cell>
          <cell r="M316" t="str">
            <v>SSO-2604-00243/sample</v>
          </cell>
          <cell r="N316" t="str">
            <v>OV-0464</v>
          </cell>
          <cell r="O316" t="str">
            <v>Sample</v>
          </cell>
          <cell r="P316">
            <v>46120</v>
          </cell>
          <cell r="Q316">
            <v>46129</v>
          </cell>
          <cell r="R316">
            <v>46126</v>
          </cell>
          <cell r="S316">
            <v>6</v>
          </cell>
          <cell r="T316">
            <v>9</v>
          </cell>
          <cell r="U316">
            <v>2.5</v>
          </cell>
          <cell r="V316">
            <v>1.754E-2</v>
          </cell>
          <cell r="W316">
            <v>1</v>
          </cell>
        </row>
        <row r="317">
          <cell r="A317" t="str">
            <v>S-2026-04-17</v>
          </cell>
          <cell r="B317"/>
          <cell r="C317" t="str">
            <v>RPRO-260409-0347</v>
          </cell>
          <cell r="D317" t="str">
            <v>PUR2600400900002S</v>
          </cell>
          <cell r="E317" t="str">
            <v>BDB-000262</v>
          </cell>
          <cell r="F317" t="str">
            <v>PVN-004251</v>
          </cell>
          <cell r="G317" t="str">
            <v>OrthoLite Ultra-Hybrid SEEDPEARL/12-0703TPX Hybrid Flat Sheet 0.085D 78-90 Asker F 1.1M 2M 16mm</v>
          </cell>
          <cell r="H317">
            <v>40</v>
          </cell>
          <cell r="I317">
            <v>40</v>
          </cell>
          <cell r="J317">
            <v>40</v>
          </cell>
          <cell r="K317">
            <v>0</v>
          </cell>
          <cell r="L317" t="str">
            <v>FOOTJOY</v>
          </cell>
          <cell r="M317" t="str">
            <v>Sample/ URGENT</v>
          </cell>
          <cell r="N317" t="str">
            <v>MOLDED</v>
          </cell>
          <cell r="O317" t="str">
            <v>Sample</v>
          </cell>
          <cell r="P317">
            <v>46121</v>
          </cell>
          <cell r="Q317">
            <v>46129</v>
          </cell>
          <cell r="R317">
            <v>46126</v>
          </cell>
          <cell r="S317">
            <v>6</v>
          </cell>
          <cell r="T317">
            <v>8</v>
          </cell>
          <cell r="U317">
            <v>16</v>
          </cell>
          <cell r="V317">
            <v>0.11111</v>
          </cell>
          <cell r="W317">
            <v>5</v>
          </cell>
        </row>
        <row r="318">
          <cell r="A318" t="str">
            <v>S-2026-04-18</v>
          </cell>
          <cell r="B318"/>
          <cell r="C318" t="str">
            <v>RPRO-260409-0348</v>
          </cell>
          <cell r="D318" t="str">
            <v>PUR2600400900002S</v>
          </cell>
          <cell r="E318" t="str">
            <v>BDB-000123</v>
          </cell>
          <cell r="F318" t="str">
            <v>PVN-003815</v>
          </cell>
          <cell r="G318" t="str">
            <v>OrthoLite Ultra-Hybrid SEEDPEARL/12-0703TPX Hybrid Flat Sheet 0.085D 25+/-4 Asker C 1.1M 2M 6mm</v>
          </cell>
          <cell r="H318">
            <v>40</v>
          </cell>
          <cell r="I318">
            <v>40</v>
          </cell>
          <cell r="J318">
            <v>40</v>
          </cell>
          <cell r="K318">
            <v>0</v>
          </cell>
          <cell r="L318" t="str">
            <v>FOOTJOY</v>
          </cell>
          <cell r="M318" t="str">
            <v>Sample/ URGENT</v>
          </cell>
          <cell r="N318" t="str">
            <v>MOLDED</v>
          </cell>
          <cell r="O318" t="str">
            <v>Sample</v>
          </cell>
          <cell r="P318">
            <v>46121</v>
          </cell>
          <cell r="Q318">
            <v>46129</v>
          </cell>
          <cell r="R318">
            <v>46126</v>
          </cell>
          <cell r="S318">
            <v>6</v>
          </cell>
          <cell r="T318">
            <v>8</v>
          </cell>
          <cell r="U318">
            <v>6</v>
          </cell>
          <cell r="V318">
            <v>4.3479999999999998E-2</v>
          </cell>
          <cell r="W318">
            <v>2</v>
          </cell>
        </row>
        <row r="319">
          <cell r="A319" t="str">
            <v>S-2026-04-19</v>
          </cell>
          <cell r="B319"/>
          <cell r="C319" t="str">
            <v>RPRO-260409-0349</v>
          </cell>
          <cell r="D319" t="str">
            <v>PUR2600400900002S</v>
          </cell>
          <cell r="E319" t="str">
            <v>BDB-000291</v>
          </cell>
          <cell r="F319" t="str">
            <v>PVN-004250</v>
          </cell>
          <cell r="G319" t="str">
            <v>OrthoLite Regular NEUTRAL GRAY/17-4402TPX Flat Sheet 0.15D 45+/-4 Asker C 1.1M 1.7M 9.8mm</v>
          </cell>
          <cell r="H319">
            <v>40</v>
          </cell>
          <cell r="I319">
            <v>40</v>
          </cell>
          <cell r="J319">
            <v>40</v>
          </cell>
          <cell r="K319">
            <v>0</v>
          </cell>
          <cell r="L319" t="str">
            <v>FOOTJOY</v>
          </cell>
          <cell r="M319" t="str">
            <v>Sample/ URGENT</v>
          </cell>
          <cell r="N319" t="str">
            <v>MOLDED</v>
          </cell>
          <cell r="O319" t="str">
            <v>Sample</v>
          </cell>
          <cell r="P319">
            <v>46121</v>
          </cell>
          <cell r="Q319">
            <v>46130</v>
          </cell>
          <cell r="R319">
            <v>46127</v>
          </cell>
          <cell r="S319">
            <v>6</v>
          </cell>
          <cell r="T319">
            <v>9</v>
          </cell>
          <cell r="U319">
            <v>9.8000000000000007</v>
          </cell>
          <cell r="V319">
            <v>7.1429999999999993E-2</v>
          </cell>
          <cell r="W319">
            <v>3</v>
          </cell>
        </row>
        <row r="320">
          <cell r="A320" t="str">
            <v>S-2026-04-20</v>
          </cell>
          <cell r="B320"/>
          <cell r="C320" t="str">
            <v>RPRO-260409-0350</v>
          </cell>
          <cell r="D320" t="str">
            <v>PUR2600400900002S</v>
          </cell>
          <cell r="E320" t="str">
            <v>BDB-000076</v>
          </cell>
          <cell r="F320" t="str">
            <v>PVN-003745</v>
          </cell>
          <cell r="G320" t="str">
            <v>OrthoLite X-25 BILLIARD/16-5427TPX Flat Sheet 0.12D 20+/-4 Asker C 1.1M 2M 16mm</v>
          </cell>
          <cell r="H320">
            <v>50</v>
          </cell>
          <cell r="I320">
            <v>50</v>
          </cell>
          <cell r="J320">
            <v>50</v>
          </cell>
          <cell r="K320">
            <v>0</v>
          </cell>
          <cell r="L320" t="str">
            <v>FOOTJOY</v>
          </cell>
          <cell r="M320" t="str">
            <v>Sample/ URGENT</v>
          </cell>
          <cell r="N320" t="str">
            <v>MOLDED</v>
          </cell>
          <cell r="O320" t="str">
            <v>Sample</v>
          </cell>
          <cell r="P320">
            <v>46121</v>
          </cell>
          <cell r="Q320">
            <v>46130</v>
          </cell>
          <cell r="R320">
            <v>46127</v>
          </cell>
          <cell r="S320">
            <v>6</v>
          </cell>
          <cell r="T320">
            <v>9</v>
          </cell>
          <cell r="U320">
            <v>16</v>
          </cell>
          <cell r="V320">
            <v>0.125</v>
          </cell>
          <cell r="W320">
            <v>7</v>
          </cell>
        </row>
        <row r="321">
          <cell r="A321" t="str">
            <v>L-2026-04-21</v>
          </cell>
          <cell r="B321"/>
          <cell r="C321" t="str">
            <v>RPRO-260410-0280</v>
          </cell>
          <cell r="D321" t="str">
            <v>jenna.bui@ortholite.vn</v>
          </cell>
          <cell r="E321" t="str">
            <v>BDB-000065</v>
          </cell>
          <cell r="F321" t="str">
            <v>PVN-001254</v>
          </cell>
          <cell r="G321" t="str">
            <v>OrthoLite Ultra FOSSIL/17-0909TPX 0.085D 25+/-4 Asker C 1.1M 2M 4mm</v>
          </cell>
          <cell r="H321">
            <v>10</v>
          </cell>
          <cell r="I321">
            <v>10</v>
          </cell>
          <cell r="J321">
            <v>10</v>
          </cell>
          <cell r="K321">
            <v>0</v>
          </cell>
          <cell r="L321" t="str">
            <v>NIKE - FU LUH</v>
          </cell>
          <cell r="M321" t="str">
            <v xml:space="preserve">Lab test </v>
          </cell>
          <cell r="N321"/>
          <cell r="O321" t="str">
            <v>Lab test</v>
          </cell>
          <cell r="P321">
            <v>46122</v>
          </cell>
          <cell r="Q321">
            <v>46131</v>
          </cell>
          <cell r="R321">
            <v>46128</v>
          </cell>
          <cell r="S321">
            <v>6</v>
          </cell>
          <cell r="T321">
            <v>9</v>
          </cell>
          <cell r="U321">
            <v>4</v>
          </cell>
          <cell r="V321">
            <v>2.8570000000000002E-2</v>
          </cell>
          <cell r="W321">
            <v>1</v>
          </cell>
        </row>
        <row r="322">
          <cell r="A322" t="str">
            <v>L-2026-04-22</v>
          </cell>
          <cell r="B322"/>
          <cell r="C322" t="str">
            <v>RPRO-260410-0281</v>
          </cell>
          <cell r="D322" t="str">
            <v>jenna.bui@ortholite.vn</v>
          </cell>
          <cell r="E322" t="str">
            <v>BDB-000161</v>
          </cell>
          <cell r="F322" t="str">
            <v>PVN-001918</v>
          </cell>
          <cell r="G322" t="str">
            <v>OrthoLite Ultra-Nike FOSSIL/17-0909TPX 0.085D 25+/-4 Asker C 1.1M 2M 10mm</v>
          </cell>
          <cell r="H322">
            <v>10</v>
          </cell>
          <cell r="I322">
            <v>10</v>
          </cell>
          <cell r="J322">
            <v>10</v>
          </cell>
          <cell r="K322">
            <v>0</v>
          </cell>
          <cell r="L322" t="str">
            <v>NIKE - FU LUH</v>
          </cell>
          <cell r="M322" t="str">
            <v xml:space="preserve">Lab test </v>
          </cell>
          <cell r="N322"/>
          <cell r="O322" t="str">
            <v>Lab test</v>
          </cell>
          <cell r="P322">
            <v>46122</v>
          </cell>
          <cell r="Q322">
            <v>46131</v>
          </cell>
          <cell r="R322">
            <v>46128</v>
          </cell>
          <cell r="S322">
            <v>6</v>
          </cell>
          <cell r="T322">
            <v>9</v>
          </cell>
          <cell r="U322">
            <v>10</v>
          </cell>
          <cell r="V322">
            <v>7.6920000000000002E-2</v>
          </cell>
          <cell r="W322">
            <v>1</v>
          </cell>
        </row>
        <row r="323">
          <cell r="A323" t="str">
            <v>S-2026-04-23</v>
          </cell>
          <cell r="B323"/>
          <cell r="C323" t="str">
            <v>RPRO-260410-0282</v>
          </cell>
          <cell r="D323" t="str">
            <v>PUR2600401000002S</v>
          </cell>
          <cell r="E323" t="str">
            <v>BDB-000254</v>
          </cell>
          <cell r="F323" t="str">
            <v>PVN-004328</v>
          </cell>
          <cell r="G323" t="str">
            <v>OrthoLite Regular SEEDPEARL/12-0703TPX Flat Sheet 0.15D 45+/-4 Asker C 1.1M 1.7M 9.8mm</v>
          </cell>
          <cell r="H323">
            <v>10</v>
          </cell>
          <cell r="I323">
            <v>10</v>
          </cell>
          <cell r="J323">
            <v>10</v>
          </cell>
          <cell r="K323">
            <v>0</v>
          </cell>
          <cell r="L323" t="str">
            <v>FOOTJOY</v>
          </cell>
          <cell r="M323" t="str">
            <v>Sample/ URGENT</v>
          </cell>
          <cell r="N323" t="str">
            <v>MOLDED</v>
          </cell>
          <cell r="O323" t="str">
            <v>Sample</v>
          </cell>
          <cell r="P323">
            <v>46122</v>
          </cell>
          <cell r="Q323">
            <v>46132</v>
          </cell>
          <cell r="R323">
            <v>46129</v>
          </cell>
          <cell r="S323">
            <v>6</v>
          </cell>
          <cell r="T323">
            <v>10</v>
          </cell>
          <cell r="U323">
            <v>9.8000000000000007</v>
          </cell>
          <cell r="V323">
            <v>7.1429999999999993E-2</v>
          </cell>
          <cell r="W323">
            <v>1</v>
          </cell>
        </row>
        <row r="324">
          <cell r="A324" t="str">
            <v>S-2026-04-24</v>
          </cell>
          <cell r="B324"/>
          <cell r="C324" t="str">
            <v>RPRO-260410-0283</v>
          </cell>
          <cell r="D324" t="str">
            <v>PUR2600401000002S</v>
          </cell>
          <cell r="E324" t="str">
            <v>BDB-000378</v>
          </cell>
          <cell r="F324" t="str">
            <v>PVN-004336</v>
          </cell>
          <cell r="G324" t="str">
            <v>OrthoLite Regular AMAZON/18-6024TPX Flat Sheet 0.15D 45+/-4 Asker C 1.1M 1.7M 9.8mm</v>
          </cell>
          <cell r="H324">
            <v>10</v>
          </cell>
          <cell r="I324">
            <v>10</v>
          </cell>
          <cell r="J324">
            <v>10</v>
          </cell>
          <cell r="K324">
            <v>0</v>
          </cell>
          <cell r="L324" t="str">
            <v>FOOTJOY</v>
          </cell>
          <cell r="M324" t="str">
            <v>Sample/ URGENT</v>
          </cell>
          <cell r="N324" t="str">
            <v>MOLDED</v>
          </cell>
          <cell r="O324" t="str">
            <v>Sample</v>
          </cell>
          <cell r="P324">
            <v>46122</v>
          </cell>
          <cell r="Q324">
            <v>46132</v>
          </cell>
          <cell r="R324">
            <v>46129</v>
          </cell>
          <cell r="S324">
            <v>6</v>
          </cell>
          <cell r="T324">
            <v>10</v>
          </cell>
          <cell r="U324">
            <v>9.8000000000000007</v>
          </cell>
          <cell r="V324">
            <v>7.1429999999999993E-2</v>
          </cell>
          <cell r="W324">
            <v>1</v>
          </cell>
        </row>
        <row r="325">
          <cell r="A325" t="str">
            <v>S-2026-04-25</v>
          </cell>
          <cell r="B325"/>
          <cell r="C325" t="str">
            <v>RPRO-260410-0284</v>
          </cell>
          <cell r="D325" t="str">
            <v>PUR2600401000002S</v>
          </cell>
          <cell r="E325" t="str">
            <v>BDB-000387</v>
          </cell>
          <cell r="F325" t="str">
            <v>PVN-004385</v>
          </cell>
          <cell r="G325" t="str">
            <v>OrthoLite Regular AMAZON/18-6024TPX Flat Sheet 0.16D 51+/-4 Asker C 1.1M 1.7M 9.5mm</v>
          </cell>
          <cell r="H325">
            <v>10</v>
          </cell>
          <cell r="I325">
            <v>10</v>
          </cell>
          <cell r="J325">
            <v>10</v>
          </cell>
          <cell r="K325">
            <v>0</v>
          </cell>
          <cell r="L325" t="str">
            <v>FOOTJOY</v>
          </cell>
          <cell r="M325" t="str">
            <v>Sample/ URGENT</v>
          </cell>
          <cell r="N325" t="str">
            <v>MOLDED</v>
          </cell>
          <cell r="O325" t="str">
            <v>Sample</v>
          </cell>
          <cell r="P325">
            <v>46122</v>
          </cell>
          <cell r="Q325">
            <v>46132</v>
          </cell>
          <cell r="R325">
            <v>46129</v>
          </cell>
          <cell r="S325">
            <v>6</v>
          </cell>
          <cell r="T325">
            <v>10</v>
          </cell>
          <cell r="U325">
            <v>9.5</v>
          </cell>
          <cell r="V325">
            <v>6.6669999999999993E-2</v>
          </cell>
          <cell r="W325">
            <v>1</v>
          </cell>
        </row>
        <row r="326">
          <cell r="A326" t="str">
            <v>S-2026-04-26</v>
          </cell>
          <cell r="B326"/>
          <cell r="C326" t="str">
            <v>RPRO-260410-0285</v>
          </cell>
          <cell r="D326" t="str">
            <v>PUR2600401000002S</v>
          </cell>
          <cell r="E326" t="str">
            <v>BDB-000221</v>
          </cell>
          <cell r="F326" t="str">
            <v>PVN-004053</v>
          </cell>
          <cell r="G326" t="str">
            <v>OrthoLite X-40-Hybrid-Nike SEEDPEARL/12-0703TPX Hybrid Flat Sheet 0.16D 25+/-4 Asker C 1.1M 1.7M 6mm</v>
          </cell>
          <cell r="H326">
            <v>30</v>
          </cell>
          <cell r="I326">
            <v>30</v>
          </cell>
          <cell r="J326">
            <v>30</v>
          </cell>
          <cell r="K326">
            <v>0</v>
          </cell>
          <cell r="L326" t="str">
            <v>FOOTJOY</v>
          </cell>
          <cell r="M326" t="str">
            <v>Sample</v>
          </cell>
          <cell r="N326" t="str">
            <v>MOLDED</v>
          </cell>
          <cell r="O326" t="str">
            <v>Sample</v>
          </cell>
          <cell r="P326">
            <v>46122</v>
          </cell>
          <cell r="Q326">
            <v>46132</v>
          </cell>
          <cell r="R326">
            <v>46129</v>
          </cell>
          <cell r="S326">
            <v>6</v>
          </cell>
          <cell r="T326">
            <v>10</v>
          </cell>
          <cell r="U326">
            <v>6</v>
          </cell>
          <cell r="V326">
            <v>4.3479999999999998E-2</v>
          </cell>
          <cell r="W326">
            <v>2</v>
          </cell>
        </row>
        <row r="327">
          <cell r="A327" t="str">
            <v>S-2026-04-27</v>
          </cell>
          <cell r="B327"/>
          <cell r="C327" t="str">
            <v>RPRO-260410-0286</v>
          </cell>
          <cell r="D327" t="str">
            <v>PUR2604100003S</v>
          </cell>
          <cell r="E327" t="str">
            <v>BDB-000355</v>
          </cell>
          <cell r="F327" t="str">
            <v>PVN-004313</v>
          </cell>
          <cell r="G327" t="str">
            <v>OrthoLite HybridPlus-Recycled CASTLEROCK/18-0201TPX Hybrid Flat Sheet 0.12D 25+/-4 Asker C 1.1M 2M 6mm</v>
          </cell>
          <cell r="H327">
            <v>20</v>
          </cell>
          <cell r="I327">
            <v>20</v>
          </cell>
          <cell r="J327">
            <v>20</v>
          </cell>
          <cell r="K327">
            <v>0</v>
          </cell>
          <cell r="L327" t="str">
            <v>ON RUNNING</v>
          </cell>
          <cell r="M327" t="str">
            <v>SAMPLE</v>
          </cell>
          <cell r="N327" t="str">
            <v>OV-0408</v>
          </cell>
          <cell r="O327" t="str">
            <v>Sample</v>
          </cell>
          <cell r="P327">
            <v>46122</v>
          </cell>
          <cell r="Q327">
            <v>46136</v>
          </cell>
          <cell r="R327">
            <v>46133</v>
          </cell>
          <cell r="S327">
            <v>6</v>
          </cell>
          <cell r="T327">
            <v>14</v>
          </cell>
          <cell r="U327">
            <v>6</v>
          </cell>
          <cell r="V327">
            <v>4.3479999999999998E-2</v>
          </cell>
          <cell r="W327">
            <v>1</v>
          </cell>
        </row>
        <row r="328">
          <cell r="A328" t="str">
            <v>S-2026-04-28</v>
          </cell>
          <cell r="B328"/>
          <cell r="C328" t="str">
            <v>RPRO-260410-0287</v>
          </cell>
          <cell r="D328" t="str">
            <v>PUR2604100003S</v>
          </cell>
          <cell r="E328" t="str">
            <v>BDB-000209</v>
          </cell>
          <cell r="F328" t="str">
            <v>PVN-003550</v>
          </cell>
          <cell r="G328" t="str">
            <v>OrthoLite HybridPlus-Recycled MINT GREEN/11-4805TPX Hybrid 0.12D 25+/-4 Asker C 1.1M 2M 6mm</v>
          </cell>
          <cell r="H328">
            <v>50</v>
          </cell>
          <cell r="I328">
            <v>50</v>
          </cell>
          <cell r="J328">
            <v>50</v>
          </cell>
          <cell r="K328">
            <v>0</v>
          </cell>
          <cell r="L328" t="str">
            <v>ON RUNNING</v>
          </cell>
          <cell r="M328" t="str">
            <v>SAMPLE</v>
          </cell>
          <cell r="N328" t="str">
            <v>OV-0408/OV-0465</v>
          </cell>
          <cell r="O328" t="str">
            <v>Sample</v>
          </cell>
          <cell r="P328">
            <v>46122</v>
          </cell>
          <cell r="Q328">
            <v>46133</v>
          </cell>
          <cell r="R328">
            <v>46130</v>
          </cell>
          <cell r="S328">
            <v>6</v>
          </cell>
          <cell r="T328">
            <v>11</v>
          </cell>
          <cell r="U328">
            <v>6</v>
          </cell>
          <cell r="V328">
            <v>4.3479999999999998E-2</v>
          </cell>
          <cell r="W328">
            <v>3</v>
          </cell>
        </row>
        <row r="329">
          <cell r="A329" t="str">
            <v>S-2026-04-29</v>
          </cell>
          <cell r="B329" t="str">
            <v>đon ETD 16.3</v>
          </cell>
          <cell r="C329" t="str">
            <v>RPRO-260410-0298</v>
          </cell>
          <cell r="D329" t="str">
            <v xml:space="preserve">PUR2604100004S   </v>
          </cell>
          <cell r="E329" t="str">
            <v>BDB-000324</v>
          </cell>
          <cell r="F329" t="str">
            <v>PVN-004386</v>
          </cell>
          <cell r="G329" t="str">
            <v>OrthoLite X-40 TRUE BLUE/19-4057TPX Flat Sheet 0.16D 25+/-4 Asker C 1.1M 2M 8mm</v>
          </cell>
          <cell r="H329">
            <v>10</v>
          </cell>
          <cell r="I329">
            <v>10</v>
          </cell>
          <cell r="J329">
            <v>10</v>
          </cell>
          <cell r="K329">
            <v>0</v>
          </cell>
          <cell r="L329" t="str">
            <v>ADIDAS</v>
          </cell>
          <cell r="M329" t="str">
            <v>SSO-2604-00389</v>
          </cell>
          <cell r="N329" t="str">
            <v>Molded</v>
          </cell>
          <cell r="O329" t="str">
            <v>Sample</v>
          </cell>
          <cell r="P329">
            <v>46122</v>
          </cell>
          <cell r="Q329">
            <v>46128</v>
          </cell>
          <cell r="R329">
            <v>46126</v>
          </cell>
          <cell r="S329">
            <v>6</v>
          </cell>
          <cell r="T329">
            <v>6</v>
          </cell>
          <cell r="U329">
            <v>8</v>
          </cell>
          <cell r="V329">
            <v>5.5559999999999998E-2</v>
          </cell>
          <cell r="W329">
            <v>1</v>
          </cell>
        </row>
        <row r="330">
          <cell r="A330" t="str">
            <v>S-2026-04-30</v>
          </cell>
          <cell r="B330"/>
          <cell r="C330" t="str">
            <v>RPRO-260414-0202</v>
          </cell>
          <cell r="D330" t="str">
            <v>PUR2600401000005S</v>
          </cell>
          <cell r="E330" t="str">
            <v>BDB-000388</v>
          </cell>
          <cell r="F330" t="str">
            <v>PVN-004387</v>
          </cell>
          <cell r="G330" t="str">
            <v>OrthoLite Ultra-Nike SEEDPEARL/12-0703TPX Flat Sheet 0.085D 25+/-4 Asker C 1.1M 1.47M 4mm</v>
          </cell>
          <cell r="H330">
            <v>15</v>
          </cell>
          <cell r="I330">
            <v>15</v>
          </cell>
          <cell r="J330">
            <v>15</v>
          </cell>
          <cell r="K330">
            <v>0</v>
          </cell>
          <cell r="L330" t="str">
            <v>NIKE</v>
          </cell>
          <cell r="M330" t="str">
            <v>Sample</v>
          </cell>
          <cell r="N330" t="str">
            <v>MOLDED</v>
          </cell>
          <cell r="O330" t="str">
            <v>Sample</v>
          </cell>
          <cell r="P330">
            <v>46122</v>
          </cell>
          <cell r="Q330">
            <v>46133</v>
          </cell>
          <cell r="R330">
            <v>46130</v>
          </cell>
          <cell r="S330">
            <v>6</v>
          </cell>
          <cell r="T330">
            <v>11</v>
          </cell>
          <cell r="U330">
            <v>4</v>
          </cell>
          <cell r="V330">
            <v>2.8570000000000002E-2</v>
          </cell>
          <cell r="W330">
            <v>1</v>
          </cell>
        </row>
        <row r="331">
          <cell r="A331" t="str">
            <v>S-2026-04-31</v>
          </cell>
          <cell r="B331"/>
          <cell r="C331" t="str">
            <v>RPRO-260414-0203</v>
          </cell>
          <cell r="D331" t="str">
            <v>PUR2604130001S</v>
          </cell>
          <cell r="E331" t="str">
            <v>BDB-000016</v>
          </cell>
          <cell r="F331" t="str">
            <v>PVN-000179</v>
          </cell>
          <cell r="G331" t="str">
            <v>OrthoLite Regular GREEN/16-5932TPX Flat Sheet 0.13D 35+/-4 Asker C 1.1M 2M 5mm</v>
          </cell>
          <cell r="H331">
            <v>5</v>
          </cell>
          <cell r="I331">
            <v>5</v>
          </cell>
          <cell r="J331">
            <v>5</v>
          </cell>
          <cell r="K331">
            <v>0</v>
          </cell>
          <cell r="L331" t="str">
            <v>ADIDAS</v>
          </cell>
          <cell r="M331" t="str">
            <v>SSO-2604-00447 - URGENT (4-20)</v>
          </cell>
          <cell r="N331" t="str">
            <v>Flat sheet</v>
          </cell>
          <cell r="O331" t="str">
            <v>Sample</v>
          </cell>
          <cell r="P331">
            <v>46125</v>
          </cell>
          <cell r="Q331">
            <v>46132</v>
          </cell>
          <cell r="R331">
            <v>46129</v>
          </cell>
          <cell r="S331">
            <v>6</v>
          </cell>
          <cell r="T331">
            <v>7</v>
          </cell>
          <cell r="U331">
            <v>5</v>
          </cell>
          <cell r="V331">
            <v>3.5709999999999999E-2</v>
          </cell>
          <cell r="W331">
            <v>1</v>
          </cell>
        </row>
        <row r="332">
          <cell r="A332" t="str">
            <v>S-2026-04-32</v>
          </cell>
          <cell r="B332"/>
          <cell r="C332" t="str">
            <v>RPRO-260414-0204</v>
          </cell>
          <cell r="D332" t="str">
            <v>PUR2604130002S</v>
          </cell>
          <cell r="E332" t="str">
            <v>BDB-000083</v>
          </cell>
          <cell r="F332" t="str">
            <v>PVN-004390</v>
          </cell>
          <cell r="G332" t="str">
            <v>OrthoLite Eco LT 300C(ADIDAS BLUEBIRD) Flat Sheet 0.11D 25+/-4 Asker C 1.1M 2M 14mm</v>
          </cell>
          <cell r="H332">
            <v>5</v>
          </cell>
          <cell r="I332">
            <v>5</v>
          </cell>
          <cell r="J332">
            <v>5</v>
          </cell>
          <cell r="K332">
            <v>0</v>
          </cell>
          <cell r="L332" t="str">
            <v>ADIDAS</v>
          </cell>
          <cell r="M332" t="str">
            <v>SSO-2604-00445 - URGENT (4-20)</v>
          </cell>
          <cell r="N332" t="str">
            <v>Molded</v>
          </cell>
          <cell r="O332" t="str">
            <v>Sample</v>
          </cell>
          <cell r="P332">
            <v>46125</v>
          </cell>
          <cell r="Q332">
            <v>46132</v>
          </cell>
          <cell r="R332">
            <v>46129</v>
          </cell>
          <cell r="S332">
            <v>6</v>
          </cell>
          <cell r="T332">
            <v>7</v>
          </cell>
          <cell r="U332">
            <v>14</v>
          </cell>
          <cell r="V332">
            <v>0.11111</v>
          </cell>
          <cell r="W332">
            <v>1</v>
          </cell>
        </row>
        <row r="333">
          <cell r="A333" t="str">
            <v>S-2026-04-33</v>
          </cell>
          <cell r="B333"/>
          <cell r="C333" t="str">
            <v>RPRO-260414-0205</v>
          </cell>
          <cell r="D333" t="str">
            <v xml:space="preserve"> PUR2600401300003S</v>
          </cell>
          <cell r="E333" t="str">
            <v>BDB-000157</v>
          </cell>
          <cell r="F333" t="str">
            <v>PVN-003573</v>
          </cell>
          <cell r="G333" t="str">
            <v>OrthoLite X-35-Hybrid-Nike SEEDPEARL/12-0703TPX Hybrid Flat Sheet 0.145D 25+/-4 Asker C 1.1M 2M 4.2mm</v>
          </cell>
          <cell r="H333">
            <v>50</v>
          </cell>
          <cell r="I333">
            <v>50</v>
          </cell>
          <cell r="J333">
            <v>50</v>
          </cell>
          <cell r="K333">
            <v>0</v>
          </cell>
          <cell r="L333" t="str">
            <v>NIKE</v>
          </cell>
          <cell r="M333" t="str">
            <v>Sample</v>
          </cell>
          <cell r="N333" t="str">
            <v>MOLDED</v>
          </cell>
          <cell r="O333" t="str">
            <v>Sample</v>
          </cell>
          <cell r="P333">
            <v>46125</v>
          </cell>
          <cell r="Q333">
            <v>46135</v>
          </cell>
          <cell r="R333">
            <v>46132</v>
          </cell>
          <cell r="S333">
            <v>6</v>
          </cell>
          <cell r="T333">
            <v>10</v>
          </cell>
          <cell r="U333">
            <v>4.2</v>
          </cell>
          <cell r="V333">
            <v>3.0300000000000001E-2</v>
          </cell>
          <cell r="W333">
            <v>2</v>
          </cell>
        </row>
        <row r="334">
          <cell r="A334" t="str">
            <v>S-2026-04-34</v>
          </cell>
          <cell r="B334"/>
          <cell r="C334" t="str">
            <v>RPRO-260414-0206</v>
          </cell>
          <cell r="D334" t="str">
            <v xml:space="preserve"> PUR2600401300003S</v>
          </cell>
          <cell r="E334" t="str">
            <v>BDB-000221</v>
          </cell>
          <cell r="F334" t="str">
            <v>PVN-004053</v>
          </cell>
          <cell r="G334" t="str">
            <v>OrthoLite X-40-Hybrid-Nike SEEDPEARL/12-0703TPX Hybrid Flat Sheet 0.16D 25+/-4 Asker C 1.1M 1.7M 6mm</v>
          </cell>
          <cell r="H334">
            <v>40</v>
          </cell>
          <cell r="I334">
            <v>40</v>
          </cell>
          <cell r="J334">
            <v>40</v>
          </cell>
          <cell r="K334">
            <v>0</v>
          </cell>
          <cell r="L334" t="str">
            <v>NIKE</v>
          </cell>
          <cell r="M334" t="str">
            <v>Sample</v>
          </cell>
          <cell r="N334" t="str">
            <v>MOLDED</v>
          </cell>
          <cell r="O334" t="str">
            <v>Sample</v>
          </cell>
          <cell r="P334">
            <v>46125</v>
          </cell>
          <cell r="Q334">
            <v>46135</v>
          </cell>
          <cell r="R334">
            <v>46132</v>
          </cell>
          <cell r="S334">
            <v>6</v>
          </cell>
          <cell r="T334">
            <v>10</v>
          </cell>
          <cell r="U334">
            <v>6</v>
          </cell>
          <cell r="V334">
            <v>4.3479999999999998E-2</v>
          </cell>
          <cell r="W334">
            <v>2</v>
          </cell>
        </row>
        <row r="335">
          <cell r="A335" t="str">
            <v>S-2026-04-35</v>
          </cell>
          <cell r="B335"/>
          <cell r="C335" t="str">
            <v>RPRO-260414-0207</v>
          </cell>
          <cell r="D335" t="str">
            <v xml:space="preserve"> PUR2600401300003S</v>
          </cell>
          <cell r="E335" t="str">
            <v>BDB-000123</v>
          </cell>
          <cell r="F335" t="str">
            <v>PVN-003815</v>
          </cell>
          <cell r="G335" t="str">
            <v>OrthoLite Ultra-Hybrid SEEDPEARL/12-0703TPX Hybrid Flat Sheet 0.085D 25+/-4 Asker C 1.1M 2M 6mm</v>
          </cell>
          <cell r="H335">
            <v>40</v>
          </cell>
          <cell r="I335">
            <v>40</v>
          </cell>
          <cell r="J335">
            <v>40</v>
          </cell>
          <cell r="K335">
            <v>0</v>
          </cell>
          <cell r="L335" t="str">
            <v>FOOTJOY</v>
          </cell>
          <cell r="M335" t="str">
            <v>Sample</v>
          </cell>
          <cell r="N335" t="str">
            <v>MOLDED</v>
          </cell>
          <cell r="O335" t="str">
            <v>Sample</v>
          </cell>
          <cell r="P335">
            <v>46125</v>
          </cell>
          <cell r="Q335">
            <v>46135</v>
          </cell>
          <cell r="R335">
            <v>46132</v>
          </cell>
          <cell r="S335">
            <v>6</v>
          </cell>
          <cell r="T335">
            <v>10</v>
          </cell>
          <cell r="U335">
            <v>6</v>
          </cell>
          <cell r="V335">
            <v>4.3479999999999998E-2</v>
          </cell>
          <cell r="W335">
            <v>2</v>
          </cell>
        </row>
        <row r="336">
          <cell r="A336" t="str">
            <v>S-2026-04-36</v>
          </cell>
          <cell r="B336"/>
          <cell r="C336" t="str">
            <v>RPRO-260414-0208</v>
          </cell>
          <cell r="D336" t="str">
            <v xml:space="preserve"> PUR2600401300003S</v>
          </cell>
          <cell r="E336" t="str">
            <v>BDB-000164</v>
          </cell>
          <cell r="F336" t="str">
            <v>PVN-001618</v>
          </cell>
          <cell r="G336" t="str">
            <v>OrthoLite Ultra-Nike GREY/17-1501TPX Flat Sheet 0.085D 25+/-4 Asker C 1.1M 2M 4mm</v>
          </cell>
          <cell r="H336">
            <v>20</v>
          </cell>
          <cell r="I336">
            <v>20</v>
          </cell>
          <cell r="J336">
            <v>20</v>
          </cell>
          <cell r="K336">
            <v>0</v>
          </cell>
          <cell r="L336" t="str">
            <v>NIKE</v>
          </cell>
          <cell r="M336" t="str">
            <v>Sample</v>
          </cell>
          <cell r="N336" t="str">
            <v>DIE CUT</v>
          </cell>
          <cell r="O336" t="str">
            <v>Sample</v>
          </cell>
          <cell r="P336">
            <v>46125</v>
          </cell>
          <cell r="Q336">
            <v>46136</v>
          </cell>
          <cell r="R336">
            <v>46133</v>
          </cell>
          <cell r="S336">
            <v>6</v>
          </cell>
          <cell r="T336">
            <v>11</v>
          </cell>
          <cell r="U336">
            <v>4</v>
          </cell>
          <cell r="V336">
            <v>2.8570000000000002E-2</v>
          </cell>
          <cell r="W336">
            <v>1</v>
          </cell>
        </row>
        <row r="337">
          <cell r="A337" t="str">
            <v>S-2026-04-37</v>
          </cell>
          <cell r="B337"/>
          <cell r="C337" t="str">
            <v>RPRO-260414-0209</v>
          </cell>
          <cell r="D337" t="str">
            <v xml:space="preserve"> PUR2600401300003S</v>
          </cell>
          <cell r="E337" t="str">
            <v>BDB-000175</v>
          </cell>
          <cell r="F337" t="str">
            <v>PVN-003018</v>
          </cell>
          <cell r="G337" t="str">
            <v>OrthoLite Ultra-Hybrid-Nike SEEDPEARL/12-0703TPX Hybrid Flat Sheet 0.085D 25+/-4 Asker C 1.1M 2M 2mm</v>
          </cell>
          <cell r="H337">
            <v>20</v>
          </cell>
          <cell r="I337">
            <v>20</v>
          </cell>
          <cell r="J337">
            <v>20</v>
          </cell>
          <cell r="K337">
            <v>0</v>
          </cell>
          <cell r="L337" t="str">
            <v>NIKE</v>
          </cell>
          <cell r="M337" t="str">
            <v>Sample</v>
          </cell>
          <cell r="N337" t="str">
            <v>DIE CUT</v>
          </cell>
          <cell r="O337" t="str">
            <v>Sample</v>
          </cell>
          <cell r="P337">
            <v>46125</v>
          </cell>
          <cell r="Q337">
            <v>46136</v>
          </cell>
          <cell r="R337">
            <v>46133</v>
          </cell>
          <cell r="S337">
            <v>6</v>
          </cell>
          <cell r="T337">
            <v>11</v>
          </cell>
          <cell r="U337">
            <v>2</v>
          </cell>
          <cell r="V337">
            <v>1.4290000000000001E-2</v>
          </cell>
          <cell r="W337">
            <v>1</v>
          </cell>
        </row>
        <row r="338">
          <cell r="A338" t="str">
            <v>S-2026-04-38</v>
          </cell>
          <cell r="B338"/>
          <cell r="C338" t="str">
            <v>RPRO-260414-0210</v>
          </cell>
          <cell r="D338" t="str">
            <v xml:space="preserve"> PUR2600401300003S</v>
          </cell>
          <cell r="E338" t="str">
            <v>BDB-000183</v>
          </cell>
          <cell r="F338" t="str">
            <v>PVN-003674</v>
          </cell>
          <cell r="G338" t="str">
            <v>OrthoLite Regular-Nike SEEDPEARL/12-0703TPX Flat Sheet 0.11D 25+/-4 Asker C 1.1M 2M 5mm</v>
          </cell>
          <cell r="H338">
            <v>30</v>
          </cell>
          <cell r="I338">
            <v>30</v>
          </cell>
          <cell r="J338">
            <v>30</v>
          </cell>
          <cell r="K338">
            <v>0</v>
          </cell>
          <cell r="L338" t="str">
            <v>NIKE</v>
          </cell>
          <cell r="M338" t="str">
            <v>Sample</v>
          </cell>
          <cell r="N338" t="str">
            <v>DIE CUT</v>
          </cell>
          <cell r="O338" t="str">
            <v>Sample</v>
          </cell>
          <cell r="P338">
            <v>46125</v>
          </cell>
          <cell r="Q338">
            <v>46136</v>
          </cell>
          <cell r="R338">
            <v>46133</v>
          </cell>
          <cell r="S338">
            <v>6</v>
          </cell>
          <cell r="T338">
            <v>11</v>
          </cell>
          <cell r="U338">
            <v>5</v>
          </cell>
          <cell r="V338">
            <v>3.5709999999999999E-2</v>
          </cell>
          <cell r="W338">
            <v>2</v>
          </cell>
        </row>
        <row r="339">
          <cell r="A339" t="str">
            <v>S-2026-04-39</v>
          </cell>
          <cell r="B339"/>
          <cell r="C339" t="str">
            <v>RPRO-260414-0211</v>
          </cell>
          <cell r="D339" t="str">
            <v xml:space="preserve"> PUR2600401300003S</v>
          </cell>
          <cell r="E339" t="str">
            <v>BDB-000175</v>
          </cell>
          <cell r="F339" t="str">
            <v>PVN-002875</v>
          </cell>
          <cell r="G339" t="str">
            <v>OrthoLite Ultra-Hybrid-Nike SEEDPEARL/12-0703TPX Hybrid Flat Sheet 0.085D 25+/-4 Asker C 1.1M 2M 3mm</v>
          </cell>
          <cell r="H339">
            <v>30</v>
          </cell>
          <cell r="I339">
            <v>30</v>
          </cell>
          <cell r="J339">
            <v>30</v>
          </cell>
          <cell r="K339">
            <v>0</v>
          </cell>
          <cell r="L339" t="str">
            <v>NIKE</v>
          </cell>
          <cell r="M339" t="str">
            <v>Sample</v>
          </cell>
          <cell r="N339" t="str">
            <v>DIE CUT</v>
          </cell>
          <cell r="O339" t="str">
            <v>Sample</v>
          </cell>
          <cell r="P339">
            <v>46125</v>
          </cell>
          <cell r="Q339">
            <v>46136</v>
          </cell>
          <cell r="R339">
            <v>46133</v>
          </cell>
          <cell r="S339">
            <v>6</v>
          </cell>
          <cell r="T339">
            <v>11</v>
          </cell>
          <cell r="U339">
            <v>3</v>
          </cell>
          <cell r="V339">
            <v>2.1739999999999999E-2</v>
          </cell>
          <cell r="W339">
            <v>1</v>
          </cell>
        </row>
        <row r="340">
          <cell r="A340" t="str">
            <v>S-2026-04-40</v>
          </cell>
          <cell r="B340"/>
          <cell r="C340" t="str">
            <v>RPRO-260414-0212</v>
          </cell>
          <cell r="D340" t="str">
            <v>PUR2604130005S</v>
          </cell>
          <cell r="E340" t="str">
            <v>BDB-000352</v>
          </cell>
          <cell r="F340" t="str">
            <v>PVN-004372</v>
          </cell>
          <cell r="G340" t="str">
            <v>OrthoLite Float-Hybrid SEEDPEARL/12-0703TPX Hybrid Flat Sheet 0.12D 21+/-4 Asker C 1.1M 2M 3.5mm</v>
          </cell>
          <cell r="H340">
            <v>20</v>
          </cell>
          <cell r="I340">
            <v>20</v>
          </cell>
          <cell r="J340">
            <v>20</v>
          </cell>
          <cell r="K340">
            <v>0</v>
          </cell>
          <cell r="L340" t="str">
            <v>VIOLET</v>
          </cell>
          <cell r="M340" t="str">
            <v>Sample</v>
          </cell>
          <cell r="N340" t="str">
            <v>Molded - OV-0495</v>
          </cell>
          <cell r="O340" t="str">
            <v>Sample</v>
          </cell>
          <cell r="P340">
            <v>46125</v>
          </cell>
          <cell r="Q340">
            <v>46136</v>
          </cell>
          <cell r="R340">
            <v>46133</v>
          </cell>
          <cell r="S340">
            <v>6</v>
          </cell>
          <cell r="T340">
            <v>11</v>
          </cell>
          <cell r="U340">
            <v>3.5</v>
          </cell>
          <cell r="V340">
            <v>2.5000000000000001E-2</v>
          </cell>
          <cell r="W340">
            <v>1</v>
          </cell>
        </row>
        <row r="341">
          <cell r="A341" t="str">
            <v>L-2026-04-41</v>
          </cell>
          <cell r="B341" t="str">
            <v xml:space="preserve">gấp </v>
          </cell>
          <cell r="C341" t="str">
            <v>RPRO-260417-0096</v>
          </cell>
          <cell r="D341" t="str">
            <v>jenna.bui@ortholite.vn</v>
          </cell>
          <cell r="E341" t="str">
            <v>BDB-000162</v>
          </cell>
          <cell r="F341" t="str">
            <v>PVN-001735</v>
          </cell>
          <cell r="G341" t="str">
            <v>OrthoLite Ultra-Nike SEEDPEARL/12-0703TPX 0.085D 25+/-4 Asker C 1.1M 2M 10mm</v>
          </cell>
          <cell r="H341">
            <v>2</v>
          </cell>
          <cell r="I341">
            <v>2</v>
          </cell>
          <cell r="J341">
            <v>2</v>
          </cell>
          <cell r="K341">
            <v>0</v>
          </cell>
          <cell r="L341" t="str">
            <v>NIKE</v>
          </cell>
          <cell r="M341" t="str">
            <v xml:space="preserve">Lab test </v>
          </cell>
          <cell r="N341"/>
          <cell r="O341" t="str">
            <v>Lab test</v>
          </cell>
          <cell r="P341">
            <v>46128</v>
          </cell>
          <cell r="Q341">
            <v>46132</v>
          </cell>
          <cell r="R341">
            <v>46129</v>
          </cell>
          <cell r="S341">
            <v>6</v>
          </cell>
          <cell r="T341">
            <v>4</v>
          </cell>
          <cell r="U341">
            <v>10</v>
          </cell>
          <cell r="V341">
            <v>7.6920000000000002E-2</v>
          </cell>
          <cell r="W341">
            <v>1</v>
          </cell>
        </row>
        <row r="342">
          <cell r="A342" t="str">
            <v>L-2026-04-42</v>
          </cell>
          <cell r="B342" t="str">
            <v xml:space="preserve">gấp </v>
          </cell>
          <cell r="C342" t="str">
            <v>RPRO-260417-0097</v>
          </cell>
          <cell r="D342" t="str">
            <v>jenna.bui@ortholite.vn</v>
          </cell>
          <cell r="E342" t="str">
            <v>BDB-000162</v>
          </cell>
          <cell r="F342" t="str">
            <v>PVN-001566</v>
          </cell>
          <cell r="G342" t="str">
            <v>OrthoLite Ultra-Nike SEEDPEARL/12-0703TPX 0.085D 25+/-4 Asker C 1.1M 2M 4mm</v>
          </cell>
          <cell r="H342">
            <v>2</v>
          </cell>
          <cell r="I342">
            <v>2</v>
          </cell>
          <cell r="J342">
            <v>2</v>
          </cell>
          <cell r="K342">
            <v>0</v>
          </cell>
          <cell r="L342" t="str">
            <v>NIKE</v>
          </cell>
          <cell r="M342" t="str">
            <v xml:space="preserve">Lab test </v>
          </cell>
          <cell r="N342"/>
          <cell r="O342" t="str">
            <v>Lab test</v>
          </cell>
          <cell r="P342">
            <v>46128</v>
          </cell>
          <cell r="Q342">
            <v>46132</v>
          </cell>
          <cell r="R342">
            <v>46129</v>
          </cell>
          <cell r="S342">
            <v>6</v>
          </cell>
          <cell r="T342">
            <v>4</v>
          </cell>
          <cell r="U342">
            <v>4</v>
          </cell>
          <cell r="V342">
            <v>2.8570000000000002E-2</v>
          </cell>
          <cell r="W342">
            <v>1</v>
          </cell>
        </row>
        <row r="343">
          <cell r="A343" t="str">
            <v>S-2026-04-43</v>
          </cell>
          <cell r="B343"/>
          <cell r="C343" t="str">
            <v>RPRO-260417-0243</v>
          </cell>
          <cell r="D343" t="str">
            <v xml:space="preserve">PUR2604170001S </v>
          </cell>
          <cell r="E343" t="str">
            <v>BDB-000348</v>
          </cell>
          <cell r="F343" t="str">
            <v>PVN-004195</v>
          </cell>
          <cell r="G343" t="str">
            <v>OrthoLite IMPERIAL SEEDPEARL/12-0703TPX Flat Sheet 0.22D 25+/-4 Asker C 1.1M 1.47M 4mm</v>
          </cell>
          <cell r="H343">
            <v>50</v>
          </cell>
          <cell r="I343">
            <v>50</v>
          </cell>
          <cell r="J343">
            <v>50</v>
          </cell>
          <cell r="K343">
            <v>0</v>
          </cell>
          <cell r="L343" t="str">
            <v>ADIDAS</v>
          </cell>
          <cell r="M343" t="str">
            <v>SSO-2604-00656 - URGENT (4-24)</v>
          </cell>
          <cell r="N343" t="str">
            <v>Molded</v>
          </cell>
          <cell r="O343" t="str">
            <v>Sample</v>
          </cell>
          <cell r="P343">
            <v>46129</v>
          </cell>
          <cell r="Q343">
            <v>46136</v>
          </cell>
          <cell r="R343">
            <v>46133</v>
          </cell>
          <cell r="S343">
            <v>6</v>
          </cell>
          <cell r="T343">
            <v>7</v>
          </cell>
          <cell r="U343">
            <v>4</v>
          </cell>
          <cell r="V343">
            <v>2.8570000000000002E-2</v>
          </cell>
          <cell r="W343">
            <v>2</v>
          </cell>
        </row>
        <row r="344">
          <cell r="A344" t="str">
            <v>S-2026-04-44</v>
          </cell>
          <cell r="B344"/>
          <cell r="C344" t="str">
            <v>RPRO-260417-0244</v>
          </cell>
          <cell r="D344" t="str">
            <v>PUR2600401700002S</v>
          </cell>
          <cell r="E344" t="str">
            <v>BDB-000224</v>
          </cell>
          <cell r="F344" t="str">
            <v>PVN-004393</v>
          </cell>
          <cell r="G344" t="str">
            <v>OrthoLite R&amp;R CASTLEROCK/18-0201TPX Flat Sheet 0.16D 15+/-4 Asker C 1.1M 1.7M 12.5mm</v>
          </cell>
          <cell r="H344">
            <v>40</v>
          </cell>
          <cell r="I344">
            <v>40</v>
          </cell>
          <cell r="J344">
            <v>40</v>
          </cell>
          <cell r="K344">
            <v>0</v>
          </cell>
          <cell r="L344" t="str">
            <v>FOOTJOY</v>
          </cell>
          <cell r="M344" t="str">
            <v>Sample</v>
          </cell>
          <cell r="N344" t="str">
            <v>MOLDED</v>
          </cell>
          <cell r="O344" t="str">
            <v>Sample</v>
          </cell>
          <cell r="P344">
            <v>46129</v>
          </cell>
          <cell r="Q344">
            <v>46155</v>
          </cell>
          <cell r="R344">
            <v>46152</v>
          </cell>
          <cell r="S344">
            <v>6</v>
          </cell>
          <cell r="T344">
            <v>26</v>
          </cell>
          <cell r="U344">
            <v>12.5</v>
          </cell>
          <cell r="V344">
            <v>9.0910000000000005E-2</v>
          </cell>
          <cell r="W344">
            <v>4</v>
          </cell>
        </row>
        <row r="345">
          <cell r="A345" t="str">
            <v>S-2026-04-45</v>
          </cell>
          <cell r="B345"/>
          <cell r="C345" t="str">
            <v>RPRO-260417-0245</v>
          </cell>
          <cell r="D345" t="str">
            <v>PUR2600401700002S</v>
          </cell>
          <cell r="E345" t="str">
            <v>BDB-000224</v>
          </cell>
          <cell r="F345" t="str">
            <v>PVN-004329</v>
          </cell>
          <cell r="G345" t="str">
            <v>OrthoLite R&amp;R CASTLEROCK/18-0201TPX Flat Sheet 0.16D 15+/-4 Asker C 1.1M 1.7M 17mm</v>
          </cell>
          <cell r="H345">
            <v>40</v>
          </cell>
          <cell r="I345">
            <v>40</v>
          </cell>
          <cell r="J345">
            <v>40</v>
          </cell>
          <cell r="K345">
            <v>0</v>
          </cell>
          <cell r="L345" t="str">
            <v>FOOTJOY</v>
          </cell>
          <cell r="M345" t="str">
            <v>Sample</v>
          </cell>
          <cell r="N345" t="str">
            <v>MOLDED</v>
          </cell>
          <cell r="O345" t="str">
            <v>Sample</v>
          </cell>
          <cell r="P345">
            <v>46129</v>
          </cell>
          <cell r="Q345">
            <v>46146</v>
          </cell>
          <cell r="R345">
            <v>46143</v>
          </cell>
          <cell r="S345">
            <v>6</v>
          </cell>
          <cell r="T345">
            <v>17</v>
          </cell>
          <cell r="U345">
            <v>17</v>
          </cell>
          <cell r="V345">
            <v>0.125</v>
          </cell>
          <cell r="W345">
            <v>6</v>
          </cell>
        </row>
        <row r="346">
          <cell r="A346" t="str">
            <v>S-2026-04-46</v>
          </cell>
          <cell r="B346"/>
          <cell r="C346" t="str">
            <v>RPRO-260417-0246</v>
          </cell>
          <cell r="D346" t="str">
            <v>PUR2600401700002S</v>
          </cell>
          <cell r="E346" t="str">
            <v>BDB-000156</v>
          </cell>
          <cell r="F346" t="str">
            <v>PVN-003243</v>
          </cell>
          <cell r="G346" t="str">
            <v>OrthoLite X-35-Hybrid-Nike AMAZON/18-6024TPX Hybrid Flat Sheet 0.145D 25+/-4 Asker C 1.1M 2M 5.2mm</v>
          </cell>
          <cell r="H346">
            <v>30</v>
          </cell>
          <cell r="I346">
            <v>30</v>
          </cell>
          <cell r="J346">
            <v>30</v>
          </cell>
          <cell r="K346">
            <v>0</v>
          </cell>
          <cell r="L346" t="str">
            <v>NIKE</v>
          </cell>
          <cell r="M346" t="str">
            <v>Sample</v>
          </cell>
          <cell r="N346" t="str">
            <v>MOLDED</v>
          </cell>
          <cell r="O346" t="str">
            <v>Sample</v>
          </cell>
          <cell r="P346">
            <v>46129</v>
          </cell>
          <cell r="Q346">
            <v>46141</v>
          </cell>
          <cell r="R346">
            <v>46138</v>
          </cell>
          <cell r="S346">
            <v>6</v>
          </cell>
          <cell r="T346">
            <v>12</v>
          </cell>
          <cell r="U346">
            <v>5.2</v>
          </cell>
          <cell r="V346">
            <v>3.8460000000000001E-2</v>
          </cell>
          <cell r="W346">
            <v>2</v>
          </cell>
        </row>
        <row r="347">
          <cell r="A347" t="str">
            <v>S-2026-04-47</v>
          </cell>
          <cell r="B347"/>
          <cell r="C347" t="str">
            <v>RPRO-260417-0247</v>
          </cell>
          <cell r="D347" t="str">
            <v>PUR2600401700002S</v>
          </cell>
          <cell r="E347" t="str">
            <v>BDB-000160</v>
          </cell>
          <cell r="F347" t="str">
            <v>PVN-001562</v>
          </cell>
          <cell r="G347" t="str">
            <v>OrthoLite Ultra-Nike LIME GREEN/14-0452TPX Flat Sheet 0.085D 25+/-4 Asker C 1.1M 2M 4mm</v>
          </cell>
          <cell r="H347">
            <v>40</v>
          </cell>
          <cell r="I347">
            <v>40</v>
          </cell>
          <cell r="J347">
            <v>40</v>
          </cell>
          <cell r="K347">
            <v>0</v>
          </cell>
          <cell r="L347" t="str">
            <v>NIKE</v>
          </cell>
          <cell r="M347" t="str">
            <v>Sample</v>
          </cell>
          <cell r="N347" t="str">
            <v>DIE CUT</v>
          </cell>
          <cell r="O347" t="str">
            <v>Sample</v>
          </cell>
          <cell r="P347">
            <v>46129</v>
          </cell>
          <cell r="Q347">
            <v>46141</v>
          </cell>
          <cell r="R347">
            <v>46138</v>
          </cell>
          <cell r="S347">
            <v>6</v>
          </cell>
          <cell r="T347">
            <v>12</v>
          </cell>
          <cell r="U347">
            <v>4</v>
          </cell>
          <cell r="V347">
            <v>2.8570000000000002E-2</v>
          </cell>
          <cell r="W347">
            <v>2</v>
          </cell>
        </row>
        <row r="348">
          <cell r="A348" t="str">
            <v>S-2026-04-48</v>
          </cell>
          <cell r="B348"/>
          <cell r="C348" t="str">
            <v>RPRO-260421-0623</v>
          </cell>
          <cell r="D348" t="str">
            <v>PUR2604200001S</v>
          </cell>
          <cell r="E348" t="str">
            <v>BDB-000355</v>
          </cell>
          <cell r="F348" t="str">
            <v>PVN-004313</v>
          </cell>
          <cell r="G348" t="str">
            <v>OrthoLite HybridPlus-Recycled CASTLEROCK/18-0201TPX Hybrid Flat Sheet 0.12D 25+/-4 Asker C 1.1M 2M 6mm</v>
          </cell>
          <cell r="H348">
            <v>20</v>
          </cell>
          <cell r="I348">
            <v>20</v>
          </cell>
          <cell r="J348">
            <v>20</v>
          </cell>
          <cell r="K348">
            <v>0</v>
          </cell>
          <cell r="L348" t="str">
            <v>ON RUNNING</v>
          </cell>
          <cell r="M348" t="str">
            <v>SAMPLE</v>
          </cell>
          <cell r="N348" t="str">
            <v>OV-0408</v>
          </cell>
          <cell r="O348" t="str">
            <v>Sample</v>
          </cell>
          <cell r="P348">
            <v>46132</v>
          </cell>
          <cell r="Q348">
            <v>46148</v>
          </cell>
          <cell r="R348">
            <v>46145</v>
          </cell>
          <cell r="S348">
            <v>6</v>
          </cell>
          <cell r="T348">
            <v>16</v>
          </cell>
          <cell r="U348">
            <v>6</v>
          </cell>
          <cell r="V348">
            <v>4.3479999999999998E-2</v>
          </cell>
          <cell r="W348">
            <v>1</v>
          </cell>
        </row>
        <row r="349">
          <cell r="A349" t="str">
            <v>S-2026-04-49</v>
          </cell>
          <cell r="B349"/>
          <cell r="C349" t="str">
            <v>RPRO-260421-0624</v>
          </cell>
          <cell r="D349" t="str">
            <v>PUR2604200001S</v>
          </cell>
          <cell r="E349" t="str">
            <v>BDB-000209</v>
          </cell>
          <cell r="F349" t="str">
            <v>PVN-003550</v>
          </cell>
          <cell r="G349" t="str">
            <v>OrthoLite HybridPlus-Recycled MINT GREEN/11-4805TPX Hybrid 0.12D 25+/-4 Asker C 1.1M 2M 6mm</v>
          </cell>
          <cell r="H349">
            <v>50</v>
          </cell>
          <cell r="I349">
            <v>50</v>
          </cell>
          <cell r="J349">
            <v>50</v>
          </cell>
          <cell r="K349">
            <v>0</v>
          </cell>
          <cell r="L349" t="str">
            <v>ON RUNNING</v>
          </cell>
          <cell r="M349" t="str">
            <v>SAMPLE</v>
          </cell>
          <cell r="N349" t="str">
            <v>OV-0408/OV-0465</v>
          </cell>
          <cell r="O349" t="str">
            <v>Sample</v>
          </cell>
          <cell r="P349">
            <v>46132</v>
          </cell>
          <cell r="Q349">
            <v>46148</v>
          </cell>
          <cell r="R349">
            <v>46145</v>
          </cell>
          <cell r="S349">
            <v>6</v>
          </cell>
          <cell r="T349">
            <v>16</v>
          </cell>
          <cell r="U349">
            <v>6</v>
          </cell>
          <cell r="V349">
            <v>4.3479999999999998E-2</v>
          </cell>
          <cell r="W349">
            <v>3</v>
          </cell>
        </row>
        <row r="350">
          <cell r="A350" t="str">
            <v>S-2026-04-50</v>
          </cell>
          <cell r="B350"/>
          <cell r="C350" t="str">
            <v>RPRO-260421-0625</v>
          </cell>
          <cell r="D350" t="str">
            <v>PUR2604200001S</v>
          </cell>
          <cell r="E350" t="str">
            <v>BDB-000347</v>
          </cell>
          <cell r="F350" t="str">
            <v>PVN-004346</v>
          </cell>
          <cell r="G350" t="str">
            <v>OrthoLite X-55-Hybrid SEEDPEARL/12-0703TPX Hybrid Flat Sheet 0.16D 25+/-4 Asker C 1.1M 2M 4.5mm</v>
          </cell>
          <cell r="H350">
            <v>20</v>
          </cell>
          <cell r="I350">
            <v>20</v>
          </cell>
          <cell r="J350">
            <v>20</v>
          </cell>
          <cell r="K350">
            <v>0</v>
          </cell>
          <cell r="L350" t="str">
            <v>ON RUNNING</v>
          </cell>
          <cell r="M350" t="str">
            <v>SAMPLE</v>
          </cell>
          <cell r="N350" t="str">
            <v>OV-0492</v>
          </cell>
          <cell r="O350" t="str">
            <v>Sample</v>
          </cell>
          <cell r="P350">
            <v>46132</v>
          </cell>
          <cell r="Q350">
            <v>46148</v>
          </cell>
          <cell r="R350">
            <v>46145</v>
          </cell>
          <cell r="S350">
            <v>6</v>
          </cell>
          <cell r="T350">
            <v>16</v>
          </cell>
          <cell r="U350">
            <v>4.5</v>
          </cell>
          <cell r="V350">
            <v>3.125E-2</v>
          </cell>
          <cell r="W350">
            <v>1</v>
          </cell>
        </row>
        <row r="351">
          <cell r="A351" t="str">
            <v>S-2026-04-51</v>
          </cell>
          <cell r="B351"/>
          <cell r="C351" t="str">
            <v>RPRO-260421-0626</v>
          </cell>
          <cell r="D351" t="str">
            <v xml:space="preserve">PUR2604200001S   </v>
          </cell>
          <cell r="E351" t="str">
            <v>BDB-000081</v>
          </cell>
          <cell r="F351" t="str">
            <v>PVN-004361</v>
          </cell>
          <cell r="G351" t="str">
            <v>OrthoLite X-35 FOSSIL/17-0909TPX Flat Sheet 0.145D 25+/-4 Asker C 1.1M 2M 14mm</v>
          </cell>
          <cell r="H351">
            <v>30</v>
          </cell>
          <cell r="I351">
            <v>30</v>
          </cell>
          <cell r="J351">
            <v>30</v>
          </cell>
          <cell r="K351">
            <v>0</v>
          </cell>
          <cell r="L351" t="str">
            <v>ADIDAS</v>
          </cell>
          <cell r="M351" t="str">
            <v>SSO-2604-00732 - URGENT (5-2)</v>
          </cell>
          <cell r="N351" t="str">
            <v>Molded</v>
          </cell>
          <cell r="O351" t="str">
            <v>Sample</v>
          </cell>
          <cell r="P351">
            <v>46132</v>
          </cell>
          <cell r="Q351">
            <v>46146</v>
          </cell>
          <cell r="R351">
            <v>46143</v>
          </cell>
          <cell r="S351">
            <v>6</v>
          </cell>
          <cell r="T351">
            <v>14</v>
          </cell>
          <cell r="U351">
            <v>14</v>
          </cell>
          <cell r="V351">
            <v>0.1</v>
          </cell>
          <cell r="W351">
            <v>4</v>
          </cell>
        </row>
        <row r="352">
          <cell r="A352" t="str">
            <v>S-2026-04-52</v>
          </cell>
          <cell r="B352"/>
          <cell r="C352" t="str">
            <v>RPRO-260421-0627</v>
          </cell>
          <cell r="D352" t="str">
            <v>PUR-202604200003S</v>
          </cell>
          <cell r="E352" t="str">
            <v>BDB-000117</v>
          </cell>
          <cell r="F352" t="str">
            <v>PVN-003148</v>
          </cell>
          <cell r="G352" t="str">
            <v>OrthoLite X-35-Hybrid SEEDPEARL/12-0703TPX Hybrid 0.145D 25+/-4 Asker C 1.1M 2M 4.5mm</v>
          </cell>
          <cell r="H352">
            <v>40</v>
          </cell>
          <cell r="I352">
            <v>40</v>
          </cell>
          <cell r="J352">
            <v>40</v>
          </cell>
          <cell r="K352">
            <v>0</v>
          </cell>
          <cell r="L352" t="str">
            <v>WILSON</v>
          </cell>
          <cell r="M352" t="str">
            <v>Sample</v>
          </cell>
          <cell r="N352" t="str">
            <v>MOLDED</v>
          </cell>
          <cell r="O352" t="str">
            <v>Sample</v>
          </cell>
          <cell r="P352">
            <v>46132</v>
          </cell>
          <cell r="Q352">
            <v>46148</v>
          </cell>
          <cell r="R352">
            <v>46145</v>
          </cell>
          <cell r="S352">
            <v>6</v>
          </cell>
          <cell r="T352">
            <v>16</v>
          </cell>
          <cell r="U352">
            <v>4.5</v>
          </cell>
          <cell r="V352">
            <v>3.2259999999999997E-2</v>
          </cell>
          <cell r="W352">
            <v>2</v>
          </cell>
        </row>
        <row r="353">
          <cell r="A353" t="str">
            <v>S-2026-04-53</v>
          </cell>
          <cell r="B353"/>
          <cell r="C353" t="str">
            <v>RPRO-260421-0628</v>
          </cell>
          <cell r="D353" t="str">
            <v>PUR-202604200003S</v>
          </cell>
          <cell r="E353" t="str">
            <v>BDB-000235</v>
          </cell>
          <cell r="F353" t="str">
            <v>PVN-003576</v>
          </cell>
          <cell r="G353" t="str">
            <v>OrthoLite X-55-Hybrid FOSSIL/17-0909TPX Hybrid 0.16D 25+/-4 Asker C 1.1M 1.7M 12mm</v>
          </cell>
          <cell r="H353">
            <v>40</v>
          </cell>
          <cell r="I353">
            <v>40</v>
          </cell>
          <cell r="J353">
            <v>40</v>
          </cell>
          <cell r="K353">
            <v>0</v>
          </cell>
          <cell r="L353" t="str">
            <v>ASICS</v>
          </cell>
          <cell r="M353" t="str">
            <v>Sample</v>
          </cell>
          <cell r="N353" t="str">
            <v>MOLDED</v>
          </cell>
          <cell r="O353" t="str">
            <v>Sample</v>
          </cell>
          <cell r="P353">
            <v>46132</v>
          </cell>
          <cell r="Q353">
            <v>46149</v>
          </cell>
          <cell r="R353">
            <v>46146</v>
          </cell>
          <cell r="S353">
            <v>6</v>
          </cell>
          <cell r="T353">
            <v>17</v>
          </cell>
          <cell r="U353">
            <v>12</v>
          </cell>
          <cell r="V353">
            <v>9.0909999999999991E-2</v>
          </cell>
          <cell r="W353">
            <v>4</v>
          </cell>
        </row>
        <row r="354">
          <cell r="A354" t="str">
            <v>S-2026-04-54</v>
          </cell>
          <cell r="B354"/>
          <cell r="C354" t="str">
            <v>RPRO-260421-0629</v>
          </cell>
          <cell r="D354" t="str">
            <v>PUR-202604200003S</v>
          </cell>
          <cell r="E354" t="str">
            <v>BDB-000235</v>
          </cell>
          <cell r="F354" t="str">
            <v>PVN-004021</v>
          </cell>
          <cell r="G354" t="str">
            <v>OrthoLite X-55-Hybrid FOSSIL/17-0909TPX Hybrid Flat Sheet 0.16D 25+/-4 Asker C 1.1M 1.7M 6mm</v>
          </cell>
          <cell r="H354">
            <v>20</v>
          </cell>
          <cell r="I354">
            <v>20</v>
          </cell>
          <cell r="J354">
            <v>20</v>
          </cell>
          <cell r="K354">
            <v>0</v>
          </cell>
          <cell r="L354" t="str">
            <v>ASICS</v>
          </cell>
          <cell r="M354" t="str">
            <v>Sample</v>
          </cell>
          <cell r="N354" t="str">
            <v>MOLDED</v>
          </cell>
          <cell r="O354" t="str">
            <v>Sample</v>
          </cell>
          <cell r="P354">
            <v>46132</v>
          </cell>
          <cell r="Q354">
            <v>46149</v>
          </cell>
          <cell r="R354">
            <v>46146</v>
          </cell>
          <cell r="S354">
            <v>6</v>
          </cell>
          <cell r="T354">
            <v>17</v>
          </cell>
          <cell r="U354">
            <v>6</v>
          </cell>
          <cell r="V354">
            <v>4.3479999999999998E-2</v>
          </cell>
          <cell r="W354">
            <v>1</v>
          </cell>
        </row>
        <row r="355">
          <cell r="A355" t="str">
            <v>S-2026-04-55</v>
          </cell>
          <cell r="B355"/>
          <cell r="C355" t="str">
            <v>RPRO-260421-0630</v>
          </cell>
          <cell r="D355" t="str">
            <v>PUR-202604200003S</v>
          </cell>
          <cell r="E355" t="str">
            <v>BDB-000321</v>
          </cell>
          <cell r="F355" t="str">
            <v>PVN-004104</v>
          </cell>
          <cell r="G355" t="str">
            <v>OrthoLite Float BLUE ATOLL/16-4535TPX Flat Sheet 0.12D 21+/-4 Asker C 1.1M 2M 5mm</v>
          </cell>
          <cell r="H355">
            <v>20</v>
          </cell>
          <cell r="I355">
            <v>20</v>
          </cell>
          <cell r="J355">
            <v>20</v>
          </cell>
          <cell r="K355">
            <v>0</v>
          </cell>
          <cell r="L355" t="str">
            <v>LOWA</v>
          </cell>
          <cell r="M355" t="str">
            <v>Sample</v>
          </cell>
          <cell r="N355" t="str">
            <v>MOLDED</v>
          </cell>
          <cell r="O355" t="str">
            <v>Sample</v>
          </cell>
          <cell r="P355">
            <v>46132</v>
          </cell>
          <cell r="Q355">
            <v>46149</v>
          </cell>
          <cell r="R355">
            <v>46146</v>
          </cell>
          <cell r="S355">
            <v>6</v>
          </cell>
          <cell r="T355">
            <v>17</v>
          </cell>
          <cell r="U355">
            <v>5</v>
          </cell>
          <cell r="V355">
            <v>3.5709999999999999E-2</v>
          </cell>
          <cell r="W355">
            <v>1</v>
          </cell>
        </row>
        <row r="356">
          <cell r="A356" t="str">
            <v>S-2026-04-56</v>
          </cell>
          <cell r="B356"/>
          <cell r="C356" t="str">
            <v>RPRO-260421-0631</v>
          </cell>
          <cell r="D356" t="str">
            <v>PUR-202604200003S</v>
          </cell>
          <cell r="E356" t="str">
            <v>BDB-000051</v>
          </cell>
          <cell r="F356" t="str">
            <v>PVN-004057</v>
          </cell>
          <cell r="G356" t="str">
            <v>OrthoLite X-40 TRUE BLUE/19-4057TPX Flat Sheet 0.16D 25+/-4 Asker C 1.1M 1.7M 14.5mm</v>
          </cell>
          <cell r="H356">
            <v>20</v>
          </cell>
          <cell r="I356">
            <v>20</v>
          </cell>
          <cell r="J356">
            <v>20</v>
          </cell>
          <cell r="K356">
            <v>0</v>
          </cell>
          <cell r="L356" t="str">
            <v>LOWA</v>
          </cell>
          <cell r="M356" t="str">
            <v>Sample</v>
          </cell>
          <cell r="N356" t="str">
            <v>MOLDED</v>
          </cell>
          <cell r="O356" t="str">
            <v>Sample</v>
          </cell>
          <cell r="P356">
            <v>46132</v>
          </cell>
          <cell r="Q356">
            <v>46149</v>
          </cell>
          <cell r="R356">
            <v>46146</v>
          </cell>
          <cell r="S356">
            <v>6</v>
          </cell>
          <cell r="T356">
            <v>17</v>
          </cell>
          <cell r="U356">
            <v>14.5</v>
          </cell>
          <cell r="V356">
            <v>0.11111</v>
          </cell>
          <cell r="W356">
            <v>3</v>
          </cell>
        </row>
        <row r="357">
          <cell r="A357" t="str">
            <v>S-2026-04-57</v>
          </cell>
          <cell r="B357"/>
          <cell r="C357" t="str">
            <v>RPRO-260421-0632</v>
          </cell>
          <cell r="D357" t="str">
            <v>PUR2604200004S</v>
          </cell>
          <cell r="E357" t="str">
            <v>BDB-000016</v>
          </cell>
          <cell r="F357" t="str">
            <v>PVN-000179</v>
          </cell>
          <cell r="G357" t="str">
            <v>OrthoLite Regular GREEN/16-5932TPX Flat Sheet 0.13D 35+/-4 Asker C 1.1M 2M 5mm</v>
          </cell>
          <cell r="H357">
            <v>15</v>
          </cell>
          <cell r="I357">
            <v>15</v>
          </cell>
          <cell r="J357">
            <v>15</v>
          </cell>
          <cell r="K357">
            <v>0</v>
          </cell>
          <cell r="L357" t="str">
            <v>ADIDAS</v>
          </cell>
          <cell r="M357" t="str">
            <v>SSO-2604-00765 - URGENT (5-2)</v>
          </cell>
          <cell r="N357" t="str">
            <v>Flat sheet</v>
          </cell>
          <cell r="O357" t="str">
            <v>Sample</v>
          </cell>
          <cell r="P357">
            <v>46132</v>
          </cell>
          <cell r="Q357">
            <v>46146</v>
          </cell>
          <cell r="R357">
            <v>46143</v>
          </cell>
          <cell r="S357">
            <v>6</v>
          </cell>
          <cell r="T357">
            <v>14</v>
          </cell>
          <cell r="U357">
            <v>5</v>
          </cell>
          <cell r="V357">
            <v>3.5709999999999999E-2</v>
          </cell>
          <cell r="W357">
            <v>1</v>
          </cell>
        </row>
        <row r="358">
          <cell r="A358" t="str">
            <v>S-2026-04-58</v>
          </cell>
          <cell r="B358"/>
          <cell r="C358" t="str">
            <v>RPRO-260421-0633</v>
          </cell>
          <cell r="D358" t="str">
            <v>PUR2604200004S</v>
          </cell>
          <cell r="E358" t="str">
            <v>BDB-000056</v>
          </cell>
          <cell r="F358" t="str">
            <v>PVN-001983</v>
          </cell>
          <cell r="G358" t="str">
            <v>OrthoLite X-40 SEEDPEARL/12-0703TPX Flat Sheet 0.16D 25+/-4 Asker C 1.1M 1.7M 5mm</v>
          </cell>
          <cell r="H358">
            <v>25</v>
          </cell>
          <cell r="I358">
            <v>25</v>
          </cell>
          <cell r="J358">
            <v>25</v>
          </cell>
          <cell r="K358">
            <v>0</v>
          </cell>
          <cell r="L358" t="str">
            <v>ADIDAS</v>
          </cell>
          <cell r="M358" t="str">
            <v>SSO-2604-00770 - URGENT (5-2)</v>
          </cell>
          <cell r="N358" t="str">
            <v>Flat sheet</v>
          </cell>
          <cell r="O358" t="str">
            <v>Sample</v>
          </cell>
          <cell r="P358">
            <v>46132</v>
          </cell>
          <cell r="Q358">
            <v>46146</v>
          </cell>
          <cell r="R358">
            <v>46143</v>
          </cell>
          <cell r="S358">
            <v>6</v>
          </cell>
          <cell r="T358">
            <v>14</v>
          </cell>
          <cell r="U358">
            <v>5</v>
          </cell>
          <cell r="V358">
            <v>3.5709999999999999E-2</v>
          </cell>
          <cell r="W358">
            <v>1</v>
          </cell>
        </row>
        <row r="359">
          <cell r="A359" t="str">
            <v>S-2026-04-59</v>
          </cell>
          <cell r="B359"/>
          <cell r="C359" t="str">
            <v>RPRO-260422-0268</v>
          </cell>
          <cell r="D359" t="str">
            <v xml:space="preserve">PUR2604220002S </v>
          </cell>
          <cell r="E359" t="str">
            <v>BDB-000341</v>
          </cell>
          <cell r="F359" t="str">
            <v>PVN-004181</v>
          </cell>
          <cell r="G359" t="str">
            <v>Ortholite X-25 GREY/17-1501TPX Flat Sheet 0.12D 20+/-4 Asker C 1.1M 2M 4mm</v>
          </cell>
          <cell r="H359">
            <v>10</v>
          </cell>
          <cell r="I359">
            <v>10</v>
          </cell>
          <cell r="J359">
            <v>10</v>
          </cell>
          <cell r="K359">
            <v>0</v>
          </cell>
          <cell r="L359" t="str">
            <v>ADIDAS</v>
          </cell>
          <cell r="M359" t="str">
            <v>Sample</v>
          </cell>
          <cell r="N359" t="str">
            <v>Die Cut</v>
          </cell>
          <cell r="O359" t="str">
            <v>Sample</v>
          </cell>
          <cell r="P359">
            <v>46134</v>
          </cell>
          <cell r="Q359">
            <v>46150</v>
          </cell>
          <cell r="R359">
            <v>46147</v>
          </cell>
          <cell r="S359">
            <v>6</v>
          </cell>
          <cell r="T359">
            <v>16</v>
          </cell>
          <cell r="U359">
            <v>4</v>
          </cell>
          <cell r="V359">
            <v>2.8570000000000002E-2</v>
          </cell>
          <cell r="W359">
            <v>1</v>
          </cell>
        </row>
        <row r="360">
          <cell r="A360" t="str">
            <v>S-2026-04-60</v>
          </cell>
          <cell r="B360"/>
          <cell r="C360" t="str">
            <v>RPRO-260423-0486</v>
          </cell>
          <cell r="D360" t="str">
            <v>PUR2604230001S</v>
          </cell>
          <cell r="E360" t="str">
            <v>BDB-000055</v>
          </cell>
          <cell r="F360" t="str">
            <v>PVN-004155</v>
          </cell>
          <cell r="G360" t="str">
            <v>OrthoLite X-40 TRUE BLUE/19-4057TPX Flat Sheet 0.16D 35+/-4 Asker C 1.1M 1.7M 3.2mm</v>
          </cell>
          <cell r="H360">
            <v>10</v>
          </cell>
          <cell r="I360">
            <v>10</v>
          </cell>
          <cell r="J360">
            <v>10</v>
          </cell>
          <cell r="K360">
            <v>0</v>
          </cell>
          <cell r="L360" t="str">
            <v>ADIDAS</v>
          </cell>
          <cell r="M360" t="str">
            <v>Sample</v>
          </cell>
          <cell r="N360" t="str">
            <v>Molded</v>
          </cell>
          <cell r="O360" t="str">
            <v>Sample</v>
          </cell>
          <cell r="P360">
            <v>46135</v>
          </cell>
          <cell r="Q360">
            <v>46151</v>
          </cell>
          <cell r="R360">
            <v>46148</v>
          </cell>
          <cell r="S360">
            <v>6</v>
          </cell>
          <cell r="T360">
            <v>16</v>
          </cell>
          <cell r="U360">
            <v>3.2</v>
          </cell>
          <cell r="V360">
            <v>2.3259999999999999E-2</v>
          </cell>
          <cell r="W360">
            <v>1</v>
          </cell>
        </row>
        <row r="361">
          <cell r="A361" t="str">
            <v>S-2026-04-61</v>
          </cell>
          <cell r="B361"/>
          <cell r="C361" t="str">
            <v>RPRO-260423-0487</v>
          </cell>
          <cell r="D361" t="str">
            <v>PUR2604230001S</v>
          </cell>
          <cell r="E361" t="str">
            <v>BDB-000028</v>
          </cell>
          <cell r="F361" t="str">
            <v>PVN-004397</v>
          </cell>
          <cell r="G361" t="str">
            <v>OrthoLite Regular LIME GREEN/14-0452TPX Flat Sheet 0.13D 35+/-4 Asker C 1.1M 2M 5.5mm</v>
          </cell>
          <cell r="H361">
            <v>5</v>
          </cell>
          <cell r="I361">
            <v>5</v>
          </cell>
          <cell r="J361">
            <v>5</v>
          </cell>
          <cell r="K361">
            <v>0</v>
          </cell>
          <cell r="L361" t="str">
            <v>ADIDAS</v>
          </cell>
          <cell r="M361" t="str">
            <v>SSO-2604-00888</v>
          </cell>
          <cell r="N361" t="str">
            <v>Molded</v>
          </cell>
          <cell r="O361" t="str">
            <v>Sample</v>
          </cell>
          <cell r="P361">
            <v>46135</v>
          </cell>
          <cell r="Q361">
            <v>46151</v>
          </cell>
          <cell r="R361">
            <v>46148</v>
          </cell>
          <cell r="S361">
            <v>6</v>
          </cell>
          <cell r="T361">
            <v>16</v>
          </cell>
          <cell r="U361">
            <v>5.5</v>
          </cell>
          <cell r="V361">
            <v>0.04</v>
          </cell>
          <cell r="W361">
            <v>1</v>
          </cell>
        </row>
        <row r="362">
          <cell r="A362" t="str">
            <v>S-2026-04-62</v>
          </cell>
          <cell r="B362"/>
          <cell r="C362" t="str">
            <v>RPRO-260424-1197</v>
          </cell>
          <cell r="D362" t="str">
            <v xml:space="preserve"> PUR2604230002S</v>
          </cell>
          <cell r="E362" t="str">
            <v>BDB-000384</v>
          </cell>
          <cell r="F362" t="str">
            <v>PVN-004399</v>
          </cell>
          <cell r="G362" t="str">
            <v>OrthoLite Impressions SEEDPEARL/12-0703TPX Flat Sheet 0.15D 70-80 Asker F 1.1M 1.7M 4mm</v>
          </cell>
          <cell r="H362">
            <v>20</v>
          </cell>
          <cell r="I362">
            <v>20</v>
          </cell>
          <cell r="J362">
            <v>20</v>
          </cell>
          <cell r="K362">
            <v>0</v>
          </cell>
          <cell r="L362" t="str">
            <v>ADIDAS</v>
          </cell>
          <cell r="M362" t="str">
            <v>SSO-2604-00956 - URGENT (5-8)</v>
          </cell>
          <cell r="N362" t="str">
            <v>Flat sheet</v>
          </cell>
          <cell r="O362" t="str">
            <v>Sample</v>
          </cell>
          <cell r="P362">
            <v>46135</v>
          </cell>
          <cell r="Q362">
            <v>46155</v>
          </cell>
          <cell r="R362">
            <v>46152</v>
          </cell>
          <cell r="S362">
            <v>6</v>
          </cell>
          <cell r="T362">
            <v>20</v>
          </cell>
          <cell r="U362">
            <v>4</v>
          </cell>
          <cell r="V362">
            <v>2.8570000000000002E-2</v>
          </cell>
          <cell r="W362">
            <v>1</v>
          </cell>
        </row>
        <row r="363">
          <cell r="A363" t="str">
            <v>S-2026-04-63</v>
          </cell>
          <cell r="B363"/>
          <cell r="C363" t="str">
            <v>RPRO-260424-1198</v>
          </cell>
          <cell r="D363" t="str">
            <v xml:space="preserve"> PUR2604230002S</v>
          </cell>
          <cell r="E363" t="str">
            <v>BDB-000384</v>
          </cell>
          <cell r="F363" t="str">
            <v>PVN-004377</v>
          </cell>
          <cell r="G363" t="str">
            <v>OrthoLite Impressions SEEDPEARL/12-0703TPX Flat Sheet 0.15D 70-80 Asker F 1.1M 1.7M 6mm</v>
          </cell>
          <cell r="H363">
            <v>15</v>
          </cell>
          <cell r="I363">
            <v>15</v>
          </cell>
          <cell r="J363">
            <v>15</v>
          </cell>
          <cell r="K363">
            <v>0</v>
          </cell>
          <cell r="L363" t="str">
            <v>ADIDAS</v>
          </cell>
          <cell r="M363" t="str">
            <v>SSO-2604-00956 - URGENT (5-8)</v>
          </cell>
          <cell r="N363" t="str">
            <v>Flat sheet</v>
          </cell>
          <cell r="O363" t="str">
            <v>Sample</v>
          </cell>
          <cell r="P363">
            <v>46135</v>
          </cell>
          <cell r="Q363">
            <v>46155</v>
          </cell>
          <cell r="R363">
            <v>46152</v>
          </cell>
          <cell r="S363">
            <v>6</v>
          </cell>
          <cell r="T363">
            <v>20</v>
          </cell>
          <cell r="U363">
            <v>6</v>
          </cell>
          <cell r="V363">
            <v>4.3479999999999998E-2</v>
          </cell>
          <cell r="W363">
            <v>1</v>
          </cell>
        </row>
        <row r="364">
          <cell r="A364" t="str">
            <v>S-2026-04-64</v>
          </cell>
          <cell r="B364"/>
          <cell r="C364" t="str">
            <v>RPRO-260424-1199</v>
          </cell>
          <cell r="D364" t="str">
            <v xml:space="preserve"> PUR2604230002S</v>
          </cell>
          <cell r="E364" t="str">
            <v>BDB-000384</v>
          </cell>
          <cell r="F364" t="str">
            <v>PVN-004378</v>
          </cell>
          <cell r="G364" t="str">
            <v>OrthoLite Impressions SEEDPEARL/12-0703TPX Flat Sheet 0.15D 70-80 Asker F 1.1M 1.7M 8mm</v>
          </cell>
          <cell r="H364">
            <v>15</v>
          </cell>
          <cell r="I364">
            <v>15</v>
          </cell>
          <cell r="J364">
            <v>15</v>
          </cell>
          <cell r="K364">
            <v>0</v>
          </cell>
          <cell r="L364" t="str">
            <v>ADIDAS</v>
          </cell>
          <cell r="M364" t="str">
            <v>SSO-2604-00956 - URGENT (5-8)</v>
          </cell>
          <cell r="N364" t="str">
            <v>Flat sheet</v>
          </cell>
          <cell r="O364" t="str">
            <v>Sample</v>
          </cell>
          <cell r="P364">
            <v>46135</v>
          </cell>
          <cell r="Q364">
            <v>46155</v>
          </cell>
          <cell r="R364">
            <v>46152</v>
          </cell>
          <cell r="S364">
            <v>6</v>
          </cell>
          <cell r="T364">
            <v>20</v>
          </cell>
          <cell r="U364">
            <v>8</v>
          </cell>
          <cell r="V364">
            <v>5.8819999999999997E-2</v>
          </cell>
          <cell r="W364">
            <v>1</v>
          </cell>
        </row>
        <row r="365">
          <cell r="A365" t="str">
            <v>S-2026-04-65</v>
          </cell>
          <cell r="B365"/>
          <cell r="C365" t="str">
            <v>RPRO-260424-1200</v>
          </cell>
          <cell r="D365" t="str">
            <v xml:space="preserve"> PUR2604230002S</v>
          </cell>
          <cell r="E365" t="str">
            <v>BDB-000058</v>
          </cell>
          <cell r="F365" t="str">
            <v>PVN-001277</v>
          </cell>
          <cell r="G365" t="str">
            <v>OrthoLite Ultra GREEN/16-5932TPX Flat Sheet 0.085D 25+/-4 Asker C 1.1M 2M 4mm</v>
          </cell>
          <cell r="H365">
            <v>40</v>
          </cell>
          <cell r="I365">
            <v>40</v>
          </cell>
          <cell r="J365">
            <v>40</v>
          </cell>
          <cell r="K365">
            <v>0</v>
          </cell>
          <cell r="L365" t="str">
            <v>ADIDAS</v>
          </cell>
          <cell r="M365" t="str">
            <v>SSO-2604-00956 - URGENT (5-8)</v>
          </cell>
          <cell r="N365" t="str">
            <v>Flat sheet</v>
          </cell>
          <cell r="O365" t="str">
            <v>Sample</v>
          </cell>
          <cell r="P365">
            <v>46135</v>
          </cell>
          <cell r="Q365">
            <v>46150</v>
          </cell>
          <cell r="R365">
            <v>46147</v>
          </cell>
          <cell r="S365">
            <v>6</v>
          </cell>
          <cell r="T365">
            <v>15</v>
          </cell>
          <cell r="U365">
            <v>4</v>
          </cell>
          <cell r="V365">
            <v>2.8570000000000002E-2</v>
          </cell>
          <cell r="W365">
            <v>2</v>
          </cell>
        </row>
        <row r="366">
          <cell r="A366" t="str">
            <v>S-2026-04-66</v>
          </cell>
          <cell r="B366"/>
          <cell r="C366" t="str">
            <v>RPRO-260424-1201</v>
          </cell>
          <cell r="D366" t="str">
            <v>PUR-202604240001S</v>
          </cell>
          <cell r="E366" t="str">
            <v>BDB-000123</v>
          </cell>
          <cell r="F366" t="str">
            <v>PVN-002973</v>
          </cell>
          <cell r="G366" t="str">
            <v>UltraLite-Hybrid OrthoLite SEEDPEARL/12-0703TPX Hybrid Flat Sheet 0.085D 25+/-4 Asker C 1.1M 2M 4.5mm</v>
          </cell>
          <cell r="H366">
            <v>30</v>
          </cell>
          <cell r="I366">
            <v>30</v>
          </cell>
          <cell r="J366">
            <v>30</v>
          </cell>
          <cell r="K366">
            <v>0</v>
          </cell>
          <cell r="L366" t="str">
            <v>SALOMON</v>
          </cell>
          <cell r="M366" t="str">
            <v>Sample</v>
          </cell>
          <cell r="N366" t="str">
            <v>MOLDED</v>
          </cell>
          <cell r="O366" t="str">
            <v>Sample</v>
          </cell>
          <cell r="P366">
            <v>46136</v>
          </cell>
          <cell r="Q366">
            <v>46152</v>
          </cell>
          <cell r="R366">
            <v>46149</v>
          </cell>
          <cell r="S366">
            <v>6</v>
          </cell>
          <cell r="T366">
            <v>16</v>
          </cell>
          <cell r="U366">
            <v>4.5</v>
          </cell>
          <cell r="V366">
            <v>3.2259999999999997E-2</v>
          </cell>
          <cell r="W366">
            <v>1</v>
          </cell>
        </row>
        <row r="367">
          <cell r="A367" t="str">
            <v>S-2026-04-67</v>
          </cell>
          <cell r="B367" t="str">
            <v>ok</v>
          </cell>
          <cell r="C367" t="str">
            <v>RPRO-260424-1202</v>
          </cell>
          <cell r="D367" t="str">
            <v>PUR-202604240001S</v>
          </cell>
          <cell r="E367" t="str">
            <v>BDB-000229</v>
          </cell>
          <cell r="F367" t="str">
            <v>PVN-004373</v>
          </cell>
          <cell r="G367" t="str">
            <v>OrthoLite Ultra-Hybrid SEEDPEARL/12-0703TPX Hybrid Flat Sheet 0.095D 33+/-4 Asker C 1.1M 2M 5.2mm</v>
          </cell>
          <cell r="H367">
            <v>20</v>
          </cell>
          <cell r="I367">
            <v>20</v>
          </cell>
          <cell r="J367">
            <v>20</v>
          </cell>
          <cell r="K367">
            <v>0</v>
          </cell>
          <cell r="L367" t="str">
            <v>SALOMON</v>
          </cell>
          <cell r="M367" t="str">
            <v>Sample</v>
          </cell>
          <cell r="N367" t="str">
            <v>MOLDED</v>
          </cell>
          <cell r="O367" t="str">
            <v>Sample</v>
          </cell>
          <cell r="P367">
            <v>46136</v>
          </cell>
          <cell r="Q367">
            <v>46155</v>
          </cell>
          <cell r="R367">
            <v>46152</v>
          </cell>
          <cell r="S367">
            <v>6</v>
          </cell>
          <cell r="T367">
            <v>19</v>
          </cell>
          <cell r="U367">
            <v>5.2</v>
          </cell>
          <cell r="V367">
            <v>3.8460000000000001E-2</v>
          </cell>
          <cell r="W367">
            <v>1</v>
          </cell>
        </row>
        <row r="368">
          <cell r="A368" t="str">
            <v>S-2026-04-68</v>
          </cell>
          <cell r="B368"/>
          <cell r="C368" t="str">
            <v>RPRO-260424-1203</v>
          </cell>
          <cell r="D368" t="str">
            <v>PUR-202604240001S</v>
          </cell>
          <cell r="E368" t="str">
            <v>BDB-000097</v>
          </cell>
          <cell r="F368" t="str">
            <v>PVN-002473</v>
          </cell>
          <cell r="G368" t="str">
            <v>OrthoLite Eco LT-Hybrid SEEDPEARL/12-0703TPX Hybrid 0.11D 25+/-4 Asker C 1.1M 2M 5mm</v>
          </cell>
          <cell r="H368">
            <v>20</v>
          </cell>
          <cell r="I368">
            <v>20</v>
          </cell>
          <cell r="J368">
            <v>20</v>
          </cell>
          <cell r="K368">
            <v>0</v>
          </cell>
          <cell r="L368" t="str">
            <v>NEW BALANCE</v>
          </cell>
          <cell r="M368" t="str">
            <v>Sample</v>
          </cell>
          <cell r="N368" t="str">
            <v>DIE-CUT</v>
          </cell>
          <cell r="O368" t="str">
            <v>Sample</v>
          </cell>
          <cell r="P368">
            <v>46136</v>
          </cell>
          <cell r="Q368">
            <v>46152</v>
          </cell>
          <cell r="R368">
            <v>46149</v>
          </cell>
          <cell r="S368">
            <v>6</v>
          </cell>
          <cell r="T368">
            <v>16</v>
          </cell>
          <cell r="U368">
            <v>5</v>
          </cell>
          <cell r="V368">
            <v>3.5709999999999999E-2</v>
          </cell>
          <cell r="W368">
            <v>1</v>
          </cell>
        </row>
        <row r="369">
          <cell r="A369" t="str">
            <v>S-2026-04-69</v>
          </cell>
          <cell r="B369"/>
          <cell r="C369" t="str">
            <v>RPRO-260424-1204</v>
          </cell>
          <cell r="D369" t="str">
            <v>PUR-202604240001S</v>
          </cell>
          <cell r="E369" t="str">
            <v>BDB-000123</v>
          </cell>
          <cell r="F369" t="str">
            <v>PVN-003298</v>
          </cell>
          <cell r="G369" t="str">
            <v>OrthoLite Ultra-Hybrid SEEDPEARL/12-0703TPX Hybrid 0.085D 25+/-4 Asker C 1.1M 2M 4mm</v>
          </cell>
          <cell r="H369">
            <v>100</v>
          </cell>
          <cell r="I369">
            <v>100</v>
          </cell>
          <cell r="J369">
            <v>100</v>
          </cell>
          <cell r="K369">
            <v>0</v>
          </cell>
          <cell r="L369" t="str">
            <v>SALOMON</v>
          </cell>
          <cell r="M369" t="str">
            <v>Sample</v>
          </cell>
          <cell r="N369" t="str">
            <v>FL SHEET</v>
          </cell>
          <cell r="O369" t="str">
            <v>Sample</v>
          </cell>
          <cell r="P369">
            <v>46136</v>
          </cell>
          <cell r="Q369">
            <v>46152</v>
          </cell>
          <cell r="R369">
            <v>46149</v>
          </cell>
          <cell r="S369">
            <v>6</v>
          </cell>
          <cell r="T369">
            <v>16</v>
          </cell>
          <cell r="U369">
            <v>4</v>
          </cell>
          <cell r="V369">
            <v>2.8570000000000002E-2</v>
          </cell>
          <cell r="W369">
            <v>3</v>
          </cell>
        </row>
        <row r="370">
          <cell r="A370" t="str">
            <v>S-2026-04-70</v>
          </cell>
          <cell r="B370"/>
          <cell r="C370" t="str">
            <v>RPRO-260424-1205</v>
          </cell>
          <cell r="D370" t="str">
            <v>PUR-202604240001S</v>
          </cell>
          <cell r="E370" t="str">
            <v>BDB-000339</v>
          </cell>
          <cell r="F370" t="str">
            <v>PVN-004334</v>
          </cell>
          <cell r="G370" t="str">
            <v>OrthoLite Float NEUTRAL GRAY/17-4402TPX Flat Sheet 0.12D 21+/-4 Asker C 1.1M 2M 4.5mm</v>
          </cell>
          <cell r="H370">
            <v>20</v>
          </cell>
          <cell r="I370">
            <v>20</v>
          </cell>
          <cell r="J370">
            <v>20</v>
          </cell>
          <cell r="K370">
            <v>0</v>
          </cell>
          <cell r="L370" t="str">
            <v>PUMA</v>
          </cell>
          <cell r="M370" t="str">
            <v>Sample</v>
          </cell>
          <cell r="N370" t="str">
            <v>MOLDED</v>
          </cell>
          <cell r="O370" t="str">
            <v>Sample</v>
          </cell>
          <cell r="P370">
            <v>46136</v>
          </cell>
          <cell r="Q370">
            <v>46152</v>
          </cell>
          <cell r="R370">
            <v>46149</v>
          </cell>
          <cell r="S370">
            <v>6</v>
          </cell>
          <cell r="T370">
            <v>16</v>
          </cell>
          <cell r="U370">
            <v>4.5</v>
          </cell>
          <cell r="V370">
            <v>3.2259999999999997E-2</v>
          </cell>
          <cell r="W370">
            <v>1</v>
          </cell>
        </row>
        <row r="371">
          <cell r="A371" t="str">
            <v>S-2026-04-71</v>
          </cell>
          <cell r="B371"/>
          <cell r="C371" t="str">
            <v>RPRO-260424-1206</v>
          </cell>
          <cell r="D371" t="str">
            <v>PUR2604240002S</v>
          </cell>
          <cell r="E371" t="str">
            <v>BDB-000386</v>
          </cell>
          <cell r="F371" t="str">
            <v>PVN-004384</v>
          </cell>
          <cell r="G371" t="str">
            <v>OrthoLite Impressions TAWNY PORT/19-1725TPX 0.15D 70-80 Asker F 1.1M 1.7M 3mm</v>
          </cell>
          <cell r="H371">
            <v>5</v>
          </cell>
          <cell r="I371">
            <v>5</v>
          </cell>
          <cell r="J371">
            <v>5</v>
          </cell>
          <cell r="K371">
            <v>0</v>
          </cell>
          <cell r="L371" t="str">
            <v>TIMBERLAND</v>
          </cell>
          <cell r="M371" t="str">
            <v>SSO-2604-00918 - URGENT (5-5)</v>
          </cell>
          <cell r="N371" t="str">
            <v>Flat sheet</v>
          </cell>
          <cell r="O371" t="str">
            <v>Sample</v>
          </cell>
          <cell r="P371">
            <v>46136</v>
          </cell>
          <cell r="Q371">
            <v>46152</v>
          </cell>
          <cell r="R371">
            <v>46149</v>
          </cell>
          <cell r="S371">
            <v>6</v>
          </cell>
          <cell r="T371">
            <v>16</v>
          </cell>
          <cell r="U371">
            <v>3</v>
          </cell>
          <cell r="V371">
            <v>2.1739999999999999E-2</v>
          </cell>
          <cell r="W371">
            <v>1</v>
          </cell>
        </row>
        <row r="372">
          <cell r="A372" t="str">
            <v>S-2026-04-72</v>
          </cell>
          <cell r="B372"/>
          <cell r="C372" t="str">
            <v>RPRO-260428-0920</v>
          </cell>
          <cell r="D372" t="str">
            <v>PUR2604250001S</v>
          </cell>
          <cell r="E372" t="str">
            <v>BDB-000209</v>
          </cell>
          <cell r="F372" t="str">
            <v>PVN-003537</v>
          </cell>
          <cell r="G372" t="str">
            <v>OrthoLite HybridPlus-Recycled MINT GREEN/11-4805TPX Hybrid 0.12D 25+/-4 Asker C 1.1M 2M 4.5mm</v>
          </cell>
          <cell r="H372">
            <v>70</v>
          </cell>
          <cell r="I372">
            <v>70</v>
          </cell>
          <cell r="J372">
            <v>70</v>
          </cell>
          <cell r="K372">
            <v>0</v>
          </cell>
          <cell r="L372" t="str">
            <v>ON RUNNING</v>
          </cell>
          <cell r="M372" t="str">
            <v>SAMPLE</v>
          </cell>
          <cell r="N372" t="str">
            <v>OV-0256 - URGENT</v>
          </cell>
          <cell r="O372" t="str">
            <v>Sample</v>
          </cell>
          <cell r="P372">
            <v>46137</v>
          </cell>
          <cell r="Q372">
            <v>46149</v>
          </cell>
          <cell r="R372">
            <v>46146</v>
          </cell>
          <cell r="S372">
            <v>6</v>
          </cell>
          <cell r="T372">
            <v>12</v>
          </cell>
          <cell r="U372">
            <v>4.5</v>
          </cell>
          <cell r="V372">
            <v>3.2259999999999997E-2</v>
          </cell>
          <cell r="W372">
            <v>3</v>
          </cell>
        </row>
        <row r="373">
          <cell r="A373" t="str">
            <v>S-2026-04-73</v>
          </cell>
          <cell r="B373"/>
          <cell r="C373" t="str">
            <v>RPRO-260429-0109</v>
          </cell>
          <cell r="D373" t="str">
            <v>PUR2604280001S</v>
          </cell>
          <cell r="E373" t="str">
            <v>BDB-000123</v>
          </cell>
          <cell r="F373" t="str">
            <v>PVN-003299</v>
          </cell>
          <cell r="G373" t="str">
            <v>OrthoLite Ultra-Hybrid SEEDPEARL/12-0703TPX Hybrid Flat Sheet 0.085D 25+/-4 Asker C 1.1M 2M 3mm</v>
          </cell>
          <cell r="H373">
            <v>50</v>
          </cell>
          <cell r="I373">
            <v>50</v>
          </cell>
          <cell r="J373">
            <v>50</v>
          </cell>
          <cell r="K373">
            <v>0</v>
          </cell>
          <cell r="L373" t="str">
            <v>ADIDAS</v>
          </cell>
          <cell r="M373" t="str">
            <v>SSO-2604-01058 - URGENT (5-6)</v>
          </cell>
          <cell r="N373" t="str">
            <v>Flat sheet</v>
          </cell>
          <cell r="O373" t="str">
            <v>Sample</v>
          </cell>
          <cell r="P373">
            <v>46140</v>
          </cell>
          <cell r="Q373">
            <v>46148</v>
          </cell>
          <cell r="R373">
            <v>46145</v>
          </cell>
          <cell r="S373">
            <v>6</v>
          </cell>
          <cell r="T373">
            <v>8</v>
          </cell>
          <cell r="U373">
            <v>3</v>
          </cell>
          <cell r="V373">
            <v>2.1739999999999999E-2</v>
          </cell>
          <cell r="W373">
            <v>2</v>
          </cell>
        </row>
        <row r="374">
          <cell r="A374" t="str">
            <v>S-2026-04-74</v>
          </cell>
          <cell r="B374"/>
          <cell r="C374" t="str">
            <v>RPRO-260429-0110</v>
          </cell>
          <cell r="D374" t="str">
            <v>PUR2604290001S</v>
          </cell>
          <cell r="E374" t="str">
            <v>BDB-000016</v>
          </cell>
          <cell r="F374" t="str">
            <v>PVN-001814</v>
          </cell>
          <cell r="G374" t="str">
            <v>OrthoLite Regular GREEN/16-5932TPX Flat Sheet 0.13D 35+/-4 Asker C 1.1M 2M 3.5mm</v>
          </cell>
          <cell r="H374">
            <v>20</v>
          </cell>
          <cell r="I374">
            <v>20</v>
          </cell>
          <cell r="J374">
            <v>20</v>
          </cell>
          <cell r="K374">
            <v>0</v>
          </cell>
          <cell r="L374" t="str">
            <v>ADIDAS</v>
          </cell>
          <cell r="M374" t="str">
            <v>SSO-2604-01151 - URGENT (5-6)</v>
          </cell>
          <cell r="N374" t="str">
            <v>Flat sheet</v>
          </cell>
          <cell r="O374" t="str">
            <v>Sample</v>
          </cell>
          <cell r="P374">
            <v>46141</v>
          </cell>
          <cell r="Q374">
            <v>46149</v>
          </cell>
          <cell r="R374">
            <v>46146</v>
          </cell>
          <cell r="S374">
            <v>6</v>
          </cell>
          <cell r="T374">
            <v>8</v>
          </cell>
          <cell r="U374">
            <v>3.5</v>
          </cell>
          <cell r="V374">
            <v>2.5000000000000001E-2</v>
          </cell>
          <cell r="W374">
            <v>1</v>
          </cell>
        </row>
        <row r="375">
          <cell r="A375" t="str">
            <v>S-2026-04-75</v>
          </cell>
          <cell r="B375"/>
          <cell r="C375" t="str">
            <v>RPRO-260429-0126</v>
          </cell>
          <cell r="D375" t="str">
            <v>PUR2600402900002S</v>
          </cell>
          <cell r="E375" t="str">
            <v>BDB-000389</v>
          </cell>
          <cell r="F375" t="str">
            <v>PVN-004404</v>
          </cell>
          <cell r="G375" t="str">
            <v>OrthoLite Float-Nike BLUE ATOLL/16-4535TPX Flat Sheet 0.12D 21+/-4 Asker C 1.1M 2M 5.2mm</v>
          </cell>
          <cell r="H375">
            <v>20</v>
          </cell>
          <cell r="I375">
            <v>20</v>
          </cell>
          <cell r="J375">
            <v>20</v>
          </cell>
          <cell r="K375">
            <v>0</v>
          </cell>
          <cell r="L375" t="str">
            <v>NIKE</v>
          </cell>
          <cell r="M375" t="str">
            <v>Sample</v>
          </cell>
          <cell r="N375" t="str">
            <v>MOLDED</v>
          </cell>
          <cell r="O375" t="str">
            <v>Sample</v>
          </cell>
          <cell r="P375">
            <v>46141</v>
          </cell>
          <cell r="Q375">
            <v>46155</v>
          </cell>
          <cell r="R375">
            <v>46152</v>
          </cell>
          <cell r="S375">
            <v>6</v>
          </cell>
          <cell r="T375">
            <v>14</v>
          </cell>
          <cell r="U375">
            <v>5.2</v>
          </cell>
          <cell r="V375">
            <v>3.8460000000000001E-2</v>
          </cell>
          <cell r="W375">
            <v>1</v>
          </cell>
        </row>
        <row r="376">
          <cell r="A376" t="str">
            <v>S-2026-04-76</v>
          </cell>
          <cell r="B376"/>
          <cell r="C376" t="str">
            <v>RPRO-260429-0127</v>
          </cell>
          <cell r="D376" t="str">
            <v>PUR2600402900002S</v>
          </cell>
          <cell r="E376" t="str">
            <v>BDB-000129</v>
          </cell>
          <cell r="F376" t="str">
            <v>PVN-001550</v>
          </cell>
          <cell r="G376" t="str">
            <v>OrthoLite Regular-Nike AIR BLUE/16-4134TPX Flat Sheet 0.11D 25+/-4 Asker C 1.1M 1.7M 2mm</v>
          </cell>
          <cell r="H376">
            <v>40</v>
          </cell>
          <cell r="I376">
            <v>40</v>
          </cell>
          <cell r="J376">
            <v>40</v>
          </cell>
          <cell r="K376">
            <v>0</v>
          </cell>
          <cell r="L376" t="str">
            <v>NIKE</v>
          </cell>
          <cell r="M376" t="str">
            <v>Sample/ URGENT</v>
          </cell>
          <cell r="N376" t="str">
            <v>MOLDED</v>
          </cell>
          <cell r="O376" t="str">
            <v>Sample</v>
          </cell>
          <cell r="P376">
            <v>46141</v>
          </cell>
          <cell r="Q376">
            <v>46151</v>
          </cell>
          <cell r="R376">
            <v>46148</v>
          </cell>
          <cell r="S376">
            <v>6</v>
          </cell>
          <cell r="T376">
            <v>10</v>
          </cell>
          <cell r="U376">
            <v>2</v>
          </cell>
          <cell r="V376">
            <v>1.4290000000000001E-2</v>
          </cell>
          <cell r="W376">
            <v>1</v>
          </cell>
        </row>
        <row r="377">
          <cell r="A377" t="str">
            <v>S-2026-05-01</v>
          </cell>
          <cell r="B377"/>
          <cell r="C377" t="str">
            <v>RPRO-260505-0654</v>
          </cell>
          <cell r="D377" t="str">
            <v>PUR2600402900003S</v>
          </cell>
          <cell r="E377" t="str">
            <v>BDB-000371</v>
          </cell>
          <cell r="F377" t="str">
            <v>PVN-004391</v>
          </cell>
          <cell r="G377" t="str">
            <v>OrthoLite SloMo LIME GREEN/14-0452TPX Flat Sheet 0.085D 5-10 Asker C 1.1M 2M 5.5mm</v>
          </cell>
          <cell r="H377">
            <v>10</v>
          </cell>
          <cell r="I377">
            <v>10</v>
          </cell>
          <cell r="J377">
            <v>10</v>
          </cell>
          <cell r="K377">
            <v>0</v>
          </cell>
          <cell r="L377" t="str">
            <v>ADIDAS</v>
          </cell>
          <cell r="M377" t="str">
            <v>Sample - Sale</v>
          </cell>
          <cell r="N377" t="str">
            <v>Molded</v>
          </cell>
          <cell r="O377" t="str">
            <v>Sample</v>
          </cell>
          <cell r="P377">
            <v>46146</v>
          </cell>
          <cell r="Q377">
            <v>46156</v>
          </cell>
          <cell r="R377">
            <v>46153</v>
          </cell>
          <cell r="S377">
            <v>6</v>
          </cell>
          <cell r="T377">
            <v>10</v>
          </cell>
          <cell r="U377">
            <v>5.5</v>
          </cell>
          <cell r="V377">
            <v>0.04</v>
          </cell>
          <cell r="W377">
            <v>1</v>
          </cell>
        </row>
        <row r="378">
          <cell r="A378" t="str">
            <v>S-2026-05-02</v>
          </cell>
          <cell r="B378" t="str">
            <v>dđôn 9/5</v>
          </cell>
          <cell r="C378" t="str">
            <v>RPRO-260505-0655</v>
          </cell>
          <cell r="D378" t="str">
            <v>PUR260050400001S</v>
          </cell>
          <cell r="E378" t="str">
            <v>BDB-000125</v>
          </cell>
          <cell r="F378" t="str">
            <v>PVN-002413</v>
          </cell>
          <cell r="G378" t="str">
            <v>OrthoLite Regular-Nike AIR BLUE/16-4134TPX Flat Sheet 0.11D 25+/-4 Asker C 1.1M 2M 4.2mm</v>
          </cell>
          <cell r="H378">
            <v>100</v>
          </cell>
          <cell r="I378">
            <v>100</v>
          </cell>
          <cell r="J378">
            <v>100</v>
          </cell>
          <cell r="K378">
            <v>0</v>
          </cell>
          <cell r="L378" t="str">
            <v>NIKE</v>
          </cell>
          <cell r="M378" t="str">
            <v>Sample</v>
          </cell>
          <cell r="N378" t="str">
            <v>MOLDED</v>
          </cell>
          <cell r="O378" t="str">
            <v>Sample</v>
          </cell>
          <cell r="P378">
            <v>46146</v>
          </cell>
          <cell r="Q378">
            <v>46156</v>
          </cell>
          <cell r="R378">
            <v>46150</v>
          </cell>
          <cell r="S378">
            <v>6</v>
          </cell>
          <cell r="T378">
            <v>10</v>
          </cell>
          <cell r="U378">
            <v>4.2</v>
          </cell>
          <cell r="V378">
            <v>3.0300000000000001E-2</v>
          </cell>
          <cell r="W378">
            <v>4</v>
          </cell>
        </row>
        <row r="379">
          <cell r="A379" t="str">
            <v>S-2026-05-03</v>
          </cell>
          <cell r="B379"/>
          <cell r="C379" t="str">
            <v>RPRO-260505-0656</v>
          </cell>
          <cell r="D379" t="str">
            <v xml:space="preserve">PUR-202605040002S   </v>
          </cell>
          <cell r="E379" t="str">
            <v>BDB-000117</v>
          </cell>
          <cell r="F379" t="str">
            <v>PVN-003234</v>
          </cell>
          <cell r="G379" t="str">
            <v>OrthoLite X-35-Hybrid SEEDPEARL/12-0703TPX Hybrid Flat Sheet 0.145D 25+/-4 Asker C 1.1M 2M 5.5mm</v>
          </cell>
          <cell r="H379">
            <v>20</v>
          </cell>
          <cell r="I379">
            <v>20</v>
          </cell>
          <cell r="J379">
            <v>20</v>
          </cell>
          <cell r="K379">
            <v>0</v>
          </cell>
          <cell r="L379" t="str">
            <v>PUMA</v>
          </cell>
          <cell r="M379" t="str">
            <v>Sample</v>
          </cell>
          <cell r="N379" t="str">
            <v>MOLDED</v>
          </cell>
          <cell r="O379" t="str">
            <v>Sample</v>
          </cell>
          <cell r="P379">
            <v>46146</v>
          </cell>
          <cell r="Q379">
            <v>46156</v>
          </cell>
          <cell r="R379">
            <v>46153</v>
          </cell>
          <cell r="S379">
            <v>6</v>
          </cell>
          <cell r="T379">
            <v>10</v>
          </cell>
          <cell r="U379">
            <v>5.5</v>
          </cell>
          <cell r="V379">
            <v>0.04</v>
          </cell>
          <cell r="W379">
            <v>1</v>
          </cell>
        </row>
        <row r="380">
          <cell r="A380" t="str">
            <v>S-2026-05-04</v>
          </cell>
          <cell r="B380"/>
          <cell r="C380" t="str">
            <v>RPRO-260505-0657</v>
          </cell>
          <cell r="D380" t="str">
            <v xml:space="preserve">PUR-202605040002S   </v>
          </cell>
          <cell r="E380" t="str">
            <v>BDB-000039</v>
          </cell>
          <cell r="F380" t="str">
            <v>PVN-002019</v>
          </cell>
          <cell r="G380" t="str">
            <v>Regular OrthoLite NEUTRAL GRAY/17-4402TPX Flat Sheet 0.11D 25+/-4 Asker C 1.1M 2M 13mm</v>
          </cell>
          <cell r="H380">
            <v>10</v>
          </cell>
          <cell r="I380">
            <v>10</v>
          </cell>
          <cell r="J380">
            <v>10</v>
          </cell>
          <cell r="K380">
            <v>0</v>
          </cell>
          <cell r="L380" t="str">
            <v>NEW BALANCE</v>
          </cell>
          <cell r="M380" t="str">
            <v>Sample</v>
          </cell>
          <cell r="N380" t="str">
            <v>MOLDED</v>
          </cell>
          <cell r="O380" t="str">
            <v>Sample</v>
          </cell>
          <cell r="P380">
            <v>46146</v>
          </cell>
          <cell r="Q380">
            <v>46156</v>
          </cell>
          <cell r="R380">
            <v>46153</v>
          </cell>
          <cell r="S380">
            <v>6</v>
          </cell>
          <cell r="T380">
            <v>10</v>
          </cell>
          <cell r="U380">
            <v>13</v>
          </cell>
          <cell r="V380">
            <v>0.1</v>
          </cell>
          <cell r="W380">
            <v>1</v>
          </cell>
        </row>
        <row r="381">
          <cell r="A381" t="str">
            <v>S-2026-05-05</v>
          </cell>
          <cell r="B381"/>
          <cell r="C381" t="str">
            <v>RPRO-260505-0658</v>
          </cell>
          <cell r="D381" t="str">
            <v xml:space="preserve">PUR-202605040002S   </v>
          </cell>
          <cell r="E381" t="str">
            <v>BDB-000054</v>
          </cell>
          <cell r="F381" t="str">
            <v>PVN-003895</v>
          </cell>
          <cell r="G381" t="str">
            <v>OrthoLite X-40 RED/19-1764TPX Flat Sheet 0.16D 25+/-4 Asker C 1.1M 1.7M 5mm</v>
          </cell>
          <cell r="H381">
            <v>30</v>
          </cell>
          <cell r="I381">
            <v>30</v>
          </cell>
          <cell r="J381">
            <v>30</v>
          </cell>
          <cell r="K381">
            <v>0</v>
          </cell>
          <cell r="L381" t="str">
            <v>PAYNTR</v>
          </cell>
          <cell r="M381" t="str">
            <v>Sample</v>
          </cell>
          <cell r="N381" t="str">
            <v>MOLDED</v>
          </cell>
          <cell r="O381" t="str">
            <v>Sample</v>
          </cell>
          <cell r="P381">
            <v>46146</v>
          </cell>
          <cell r="Q381">
            <v>46156</v>
          </cell>
          <cell r="R381">
            <v>46153</v>
          </cell>
          <cell r="S381">
            <v>6</v>
          </cell>
          <cell r="T381">
            <v>10</v>
          </cell>
          <cell r="U381">
            <v>5</v>
          </cell>
          <cell r="V381">
            <v>3.5709999999999999E-2</v>
          </cell>
          <cell r="W381">
            <v>2</v>
          </cell>
        </row>
        <row r="382">
          <cell r="A382" t="str">
            <v>S-2026-05-06</v>
          </cell>
          <cell r="B382"/>
          <cell r="C382" t="str">
            <v>RPRO-260505-0659</v>
          </cell>
          <cell r="D382" t="str">
            <v xml:space="preserve">PUR-202605040002S   </v>
          </cell>
          <cell r="E382" t="str">
            <v>BDB-000113</v>
          </cell>
          <cell r="F382" t="str">
            <v>PVN-002688</v>
          </cell>
          <cell r="G382" t="str">
            <v>OrthoLite Regular-Hybrid SEEDPEARL/12-0703TPX Hybrid 0.11D 25+/-4 Asker C 1.1M 2M 6mm</v>
          </cell>
          <cell r="H382">
            <v>70</v>
          </cell>
          <cell r="I382">
            <v>70</v>
          </cell>
          <cell r="J382">
            <v>70</v>
          </cell>
          <cell r="K382">
            <v>0</v>
          </cell>
          <cell r="L382" t="str">
            <v>ASICS</v>
          </cell>
          <cell r="M382" t="str">
            <v>Sample</v>
          </cell>
          <cell r="N382" t="str">
            <v>MOLDED</v>
          </cell>
          <cell r="O382" t="str">
            <v>Sample</v>
          </cell>
          <cell r="P382">
            <v>46146</v>
          </cell>
          <cell r="Q382">
            <v>46156</v>
          </cell>
          <cell r="R382">
            <v>46153</v>
          </cell>
          <cell r="S382">
            <v>6</v>
          </cell>
          <cell r="T382">
            <v>10</v>
          </cell>
          <cell r="U382">
            <v>6</v>
          </cell>
          <cell r="V382">
            <v>4.3479999999999998E-2</v>
          </cell>
          <cell r="W382">
            <v>4</v>
          </cell>
        </row>
        <row r="383">
          <cell r="A383" t="str">
            <v>S-2026-05-07</v>
          </cell>
          <cell r="B383"/>
          <cell r="C383" t="str">
            <v>RPRO-260505-0660</v>
          </cell>
          <cell r="D383" t="str">
            <v xml:space="preserve">PUR-202605040002S   </v>
          </cell>
          <cell r="E383" t="str">
            <v>BDB-000097</v>
          </cell>
          <cell r="F383" t="str">
            <v>PVN-002478</v>
          </cell>
          <cell r="G383" t="str">
            <v>OrthoLite Eco LT-Hybrid SEEDPEARL/12-0703TPX Hybrid 0.11D 25+/-4 Asker C 1.1M 2M 4mm</v>
          </cell>
          <cell r="H383">
            <v>30</v>
          </cell>
          <cell r="I383">
            <v>30</v>
          </cell>
          <cell r="J383">
            <v>30</v>
          </cell>
          <cell r="K383">
            <v>0</v>
          </cell>
          <cell r="L383" t="str">
            <v>NEW BALANCE</v>
          </cell>
          <cell r="M383" t="str">
            <v>Sample</v>
          </cell>
          <cell r="N383" t="str">
            <v>DIE-CUT</v>
          </cell>
          <cell r="O383" t="str">
            <v>Sample</v>
          </cell>
          <cell r="P383">
            <v>46146</v>
          </cell>
          <cell r="Q383">
            <v>46157</v>
          </cell>
          <cell r="R383">
            <v>46154</v>
          </cell>
          <cell r="S383">
            <v>6</v>
          </cell>
          <cell r="T383">
            <v>11</v>
          </cell>
          <cell r="U383">
            <v>4</v>
          </cell>
          <cell r="V383">
            <v>2.8570000000000002E-2</v>
          </cell>
          <cell r="W383">
            <v>1</v>
          </cell>
        </row>
        <row r="384">
          <cell r="A384" t="str">
            <v>S-2026-05-08</v>
          </cell>
          <cell r="B384" t="str">
            <v>gaaps</v>
          </cell>
          <cell r="C384" t="str">
            <v>RPRO-260505-0661</v>
          </cell>
          <cell r="D384" t="str">
            <v xml:space="preserve">PUR-202605040002S   </v>
          </cell>
          <cell r="E384" t="str">
            <v>BDB-000234</v>
          </cell>
          <cell r="F384" t="str">
            <v>PVN-003581</v>
          </cell>
          <cell r="G384" t="str">
            <v>OrthoLite X-30-Hybrid BROWN SUGAR/17-1134TPX Hybrid Flat Sheet 0.13D 25+/-4 Asker C 1.1M 2M 12mm</v>
          </cell>
          <cell r="H384">
            <v>40</v>
          </cell>
          <cell r="I384">
            <v>40</v>
          </cell>
          <cell r="J384">
            <v>40</v>
          </cell>
          <cell r="K384">
            <v>0</v>
          </cell>
          <cell r="L384" t="str">
            <v>ASICS</v>
          </cell>
          <cell r="M384" t="str">
            <v>Sample</v>
          </cell>
          <cell r="N384" t="str">
            <v>MOLDED</v>
          </cell>
          <cell r="O384" t="str">
            <v>Sample</v>
          </cell>
          <cell r="P384">
            <v>46146</v>
          </cell>
          <cell r="Q384">
            <v>46153</v>
          </cell>
          <cell r="R384">
            <v>46150</v>
          </cell>
          <cell r="S384">
            <v>6</v>
          </cell>
          <cell r="T384">
            <v>7</v>
          </cell>
          <cell r="U384">
            <v>12</v>
          </cell>
          <cell r="V384">
            <v>9.0909999999999991E-2</v>
          </cell>
          <cell r="W384">
            <v>4</v>
          </cell>
        </row>
        <row r="385">
          <cell r="A385" t="str">
            <v>S-2026-05-09</v>
          </cell>
          <cell r="B385"/>
          <cell r="C385" t="str">
            <v>RPRO-260505-0662</v>
          </cell>
          <cell r="D385" t="str">
            <v>PUR2605040003S</v>
          </cell>
          <cell r="E385" t="str">
            <v>BDB-000358</v>
          </cell>
          <cell r="F385" t="str">
            <v>PVN-004243</v>
          </cell>
          <cell r="G385" t="str">
            <v>OrthoLite X-25 FOSSIL/17-0909TPX Flat Sheet 0.12D 20+/-4 Asker C 1.1M 2M 7.5mm</v>
          </cell>
          <cell r="H385">
            <v>20</v>
          </cell>
          <cell r="I385">
            <v>20</v>
          </cell>
          <cell r="J385">
            <v>20</v>
          </cell>
          <cell r="K385">
            <v>0</v>
          </cell>
          <cell r="L385" t="str">
            <v>BABOLAT</v>
          </cell>
          <cell r="M385" t="str">
            <v>SAMPLE</v>
          </cell>
          <cell r="N385" t="str">
            <v>OE-0702-2</v>
          </cell>
          <cell r="O385" t="str">
            <v>Sample</v>
          </cell>
          <cell r="P385">
            <v>46146</v>
          </cell>
          <cell r="Q385">
            <v>46157</v>
          </cell>
          <cell r="R385">
            <v>46154</v>
          </cell>
          <cell r="S385">
            <v>6</v>
          </cell>
          <cell r="T385">
            <v>11</v>
          </cell>
          <cell r="U385">
            <v>7.5</v>
          </cell>
          <cell r="V385">
            <v>5.5559999999999998E-2</v>
          </cell>
          <cell r="W385">
            <v>2</v>
          </cell>
        </row>
        <row r="386">
          <cell r="A386" t="str">
            <v>S-2026-05-10</v>
          </cell>
          <cell r="B386"/>
          <cell r="C386" t="str">
            <v>RPRO-260505-0663</v>
          </cell>
          <cell r="D386" t="str">
            <v>PUR2605040003S</v>
          </cell>
          <cell r="E386" t="str">
            <v>BDB-000318</v>
          </cell>
          <cell r="F386" t="str">
            <v>PVN-004406</v>
          </cell>
          <cell r="G386" t="str">
            <v>OrthoLite X-55 RED/19-1764TPX Flat Sheet 0.16D 25+/-4 Asker C 1.1M 2M 11mm</v>
          </cell>
          <cell r="H386">
            <v>20</v>
          </cell>
          <cell r="I386">
            <v>20</v>
          </cell>
          <cell r="J386">
            <v>20</v>
          </cell>
          <cell r="K386">
            <v>0</v>
          </cell>
          <cell r="L386" t="str">
            <v>ZAMBERLAN</v>
          </cell>
          <cell r="M386" t="str">
            <v>SSO-2604-00496</v>
          </cell>
          <cell r="N386" t="str">
            <v>OE-0111A - TOP URGENT (8/5)</v>
          </cell>
          <cell r="O386" t="str">
            <v>Sample</v>
          </cell>
          <cell r="P386">
            <v>46146</v>
          </cell>
          <cell r="Q386">
            <v>46153</v>
          </cell>
          <cell r="R386">
            <v>46150</v>
          </cell>
          <cell r="S386">
            <v>6</v>
          </cell>
          <cell r="T386">
            <v>7</v>
          </cell>
          <cell r="U386">
            <v>11</v>
          </cell>
          <cell r="V386">
            <v>7.6920000000000002E-2</v>
          </cell>
          <cell r="W386">
            <v>2</v>
          </cell>
        </row>
        <row r="387">
          <cell r="A387" t="str">
            <v>S-2026-05-11</v>
          </cell>
          <cell r="B387" t="str">
            <v>ok</v>
          </cell>
          <cell r="C387" t="str">
            <v>RPRO-260505-0664</v>
          </cell>
          <cell r="D387" t="str">
            <v>PUR2605040001S</v>
          </cell>
          <cell r="E387" t="str">
            <v>BDB-000055</v>
          </cell>
          <cell r="F387" t="str">
            <v>PVN-003326</v>
          </cell>
          <cell r="G387" t="str">
            <v>OrthoLite X-40 TRUE BLUE/19-4057TPX Flat Sheet 0.16D 35+/-4 Asker C 1.1M 1.7M 14mm</v>
          </cell>
          <cell r="H387">
            <v>10</v>
          </cell>
          <cell r="I387">
            <v>10</v>
          </cell>
          <cell r="J387">
            <v>10</v>
          </cell>
          <cell r="K387">
            <v>0</v>
          </cell>
          <cell r="L387" t="str">
            <v>ADIDAS</v>
          </cell>
          <cell r="M387" t="str">
            <v>Sample</v>
          </cell>
          <cell r="N387" t="str">
            <v>Molded</v>
          </cell>
          <cell r="O387" t="str">
            <v>Sample</v>
          </cell>
          <cell r="P387">
            <v>46146</v>
          </cell>
          <cell r="Q387">
            <v>46157</v>
          </cell>
          <cell r="R387">
            <v>46154</v>
          </cell>
          <cell r="S387">
            <v>6</v>
          </cell>
          <cell r="T387">
            <v>11</v>
          </cell>
          <cell r="U387">
            <v>14</v>
          </cell>
          <cell r="V387">
            <v>0.11111</v>
          </cell>
          <cell r="W387">
            <v>2</v>
          </cell>
        </row>
        <row r="388">
          <cell r="A388" t="str">
            <v>S-2026-05-12</v>
          </cell>
          <cell r="B388"/>
          <cell r="C388" t="str">
            <v>RPRO-260505-0802</v>
          </cell>
          <cell r="D388" t="str">
            <v>PUR2600500500002S</v>
          </cell>
          <cell r="E388" t="str">
            <v>BDB-000162</v>
          </cell>
          <cell r="F388" t="str">
            <v>PVN-001566</v>
          </cell>
          <cell r="G388" t="str">
            <v>OrthoLite Ultra-Nike SEEDPEARL/12-0703TPX Flat Sheet 0.085D 25+/-4 Asker C 1.1M 2M 4mm</v>
          </cell>
          <cell r="H388">
            <v>50</v>
          </cell>
          <cell r="I388">
            <v>50</v>
          </cell>
          <cell r="J388">
            <v>50</v>
          </cell>
          <cell r="K388">
            <v>0</v>
          </cell>
          <cell r="L388" t="str">
            <v>NIKE</v>
          </cell>
          <cell r="M388" t="str">
            <v>Sample</v>
          </cell>
          <cell r="N388" t="str">
            <v>MOLDED</v>
          </cell>
          <cell r="O388" t="str">
            <v>Sample</v>
          </cell>
          <cell r="P388">
            <v>46147</v>
          </cell>
          <cell r="Q388">
            <v>46158</v>
          </cell>
          <cell r="R388">
            <v>46155</v>
          </cell>
          <cell r="S388">
            <v>6</v>
          </cell>
          <cell r="T388">
            <v>11</v>
          </cell>
          <cell r="U388">
            <v>4</v>
          </cell>
          <cell r="V388">
            <v>2.8570000000000002E-2</v>
          </cell>
          <cell r="W388">
            <v>2</v>
          </cell>
        </row>
        <row r="389">
          <cell r="A389" t="str">
            <v>S-2026-05-13</v>
          </cell>
          <cell r="B389"/>
          <cell r="C389" t="str">
            <v>RPRO-260505-0803</v>
          </cell>
          <cell r="D389" t="str">
            <v>PUR2600500500002S</v>
          </cell>
          <cell r="E389" t="str">
            <v>BDB-000129</v>
          </cell>
          <cell r="F389" t="str">
            <v>PVN-001550</v>
          </cell>
          <cell r="G389" t="str">
            <v>OrthoLite Regular-Nike AIR BLUE/16-4134TPX Flat Sheet 0.11D 25+/-4 Asker C 1.1M 1.7M 2mm</v>
          </cell>
          <cell r="H389">
            <v>50</v>
          </cell>
          <cell r="I389">
            <v>50</v>
          </cell>
          <cell r="J389">
            <v>50</v>
          </cell>
          <cell r="K389">
            <v>0</v>
          </cell>
          <cell r="L389" t="str">
            <v>NIKE</v>
          </cell>
          <cell r="M389" t="str">
            <v>Sample/ URGENT</v>
          </cell>
          <cell r="N389" t="str">
            <v>MOLDED</v>
          </cell>
          <cell r="O389" t="str">
            <v>Sample</v>
          </cell>
          <cell r="P389">
            <v>46147</v>
          </cell>
          <cell r="Q389">
            <v>46154</v>
          </cell>
          <cell r="R389">
            <v>46151</v>
          </cell>
          <cell r="S389">
            <v>6</v>
          </cell>
          <cell r="T389">
            <v>7</v>
          </cell>
          <cell r="U389">
            <v>2</v>
          </cell>
          <cell r="V389">
            <v>1.4290000000000001E-2</v>
          </cell>
          <cell r="W389">
            <v>1</v>
          </cell>
        </row>
        <row r="390">
          <cell r="A390" t="str">
            <v>S-2026-05-14</v>
          </cell>
          <cell r="B390"/>
          <cell r="C390" t="str">
            <v>RPRO-260506-0394</v>
          </cell>
          <cell r="D390" t="str">
            <v>PUR2605060001S</v>
          </cell>
          <cell r="E390" t="str">
            <v>BDB-000371</v>
          </cell>
          <cell r="F390" t="str">
            <v>PVN-004391</v>
          </cell>
          <cell r="G390" t="str">
            <v>OrthoLite SloMo LIME GREEN/14-0452TPX Flat Sheet 0.085D 5-10 Asker C 1.1M 2M 5.5mm</v>
          </cell>
          <cell r="H390">
            <v>20</v>
          </cell>
          <cell r="I390">
            <v>20</v>
          </cell>
          <cell r="J390">
            <v>20</v>
          </cell>
          <cell r="K390">
            <v>0</v>
          </cell>
          <cell r="L390" t="str">
            <v>ADIDAS</v>
          </cell>
          <cell r="M390" t="str">
            <v>Sample - Đặt trước Andy</v>
          </cell>
          <cell r="N390" t="str">
            <v>Molded</v>
          </cell>
          <cell r="O390" t="str">
            <v>Sample</v>
          </cell>
          <cell r="P390">
            <v>46148</v>
          </cell>
          <cell r="Q390">
            <v>46156</v>
          </cell>
          <cell r="R390">
            <v>46153</v>
          </cell>
          <cell r="S390">
            <v>6</v>
          </cell>
          <cell r="T390">
            <v>8</v>
          </cell>
          <cell r="U390">
            <v>5.5</v>
          </cell>
          <cell r="V390">
            <v>0.04</v>
          </cell>
          <cell r="W390">
            <v>1</v>
          </cell>
        </row>
        <row r="391">
          <cell r="A391" t="str">
            <v>S-2026-05-15</v>
          </cell>
          <cell r="B391"/>
          <cell r="C391" t="str">
            <v>RPRO-260506-0395</v>
          </cell>
          <cell r="D391" t="str">
            <v>PUR2605060001S</v>
          </cell>
          <cell r="E391" t="str">
            <v>BDB-000348</v>
          </cell>
          <cell r="F391" t="str">
            <v>PVN-004195</v>
          </cell>
          <cell r="G391" t="str">
            <v>OrthoLite IMPERIAL SEEDPEARL/12-0703TPX Flat Sheet 0.22D 25+/-4 Asker C 1.1M 1.47M 4mm</v>
          </cell>
          <cell r="H391">
            <v>150</v>
          </cell>
          <cell r="I391">
            <v>150</v>
          </cell>
          <cell r="J391">
            <v>150</v>
          </cell>
          <cell r="K391">
            <v>0</v>
          </cell>
          <cell r="L391" t="str">
            <v>ADIDAS</v>
          </cell>
          <cell r="M391" t="str">
            <v>SSO-2605-00171 - URGENT (5-14)</v>
          </cell>
          <cell r="N391" t="str">
            <v>Flat sheet</v>
          </cell>
          <cell r="O391" t="str">
            <v>Sample</v>
          </cell>
          <cell r="P391">
            <v>46148</v>
          </cell>
          <cell r="Q391">
            <v>46156</v>
          </cell>
          <cell r="R391">
            <v>46153</v>
          </cell>
          <cell r="S391">
            <v>6</v>
          </cell>
          <cell r="T391">
            <v>8</v>
          </cell>
          <cell r="U391">
            <v>4</v>
          </cell>
          <cell r="V391">
            <v>2.8570000000000002E-2</v>
          </cell>
          <cell r="W391">
            <v>5</v>
          </cell>
        </row>
        <row r="392">
          <cell r="A392" t="str">
            <v>S-2026-05-16</v>
          </cell>
          <cell r="B392"/>
          <cell r="C392" t="str">
            <v>RPRO-260506-0396</v>
          </cell>
          <cell r="D392" t="str">
            <v>PUR2605060001S</v>
          </cell>
          <cell r="E392" t="str">
            <v>BDB-000123</v>
          </cell>
          <cell r="F392" t="str">
            <v>PVN-003298</v>
          </cell>
          <cell r="G392" t="str">
            <v>OrthoLite Ultra-Hybrid SEEDPEARL/12-0703TPX Hybrid Flat Sheet 0.085D 25+/-4 Asker C 1.1M 2M 4mm</v>
          </cell>
          <cell r="H392">
            <v>150</v>
          </cell>
          <cell r="I392">
            <v>150</v>
          </cell>
          <cell r="J392">
            <v>150</v>
          </cell>
          <cell r="K392">
            <v>0</v>
          </cell>
          <cell r="L392" t="str">
            <v>ADIDAS</v>
          </cell>
          <cell r="M392" t="str">
            <v>SSO-2605-00172 - URGENT (5-14)</v>
          </cell>
          <cell r="N392" t="str">
            <v>Flat sheet</v>
          </cell>
          <cell r="O392" t="str">
            <v>Sample</v>
          </cell>
          <cell r="P392">
            <v>46148</v>
          </cell>
          <cell r="Q392">
            <v>46156</v>
          </cell>
          <cell r="R392">
            <v>46153</v>
          </cell>
          <cell r="S392">
            <v>6</v>
          </cell>
          <cell r="T392">
            <v>8</v>
          </cell>
          <cell r="U392">
            <v>4</v>
          </cell>
          <cell r="V392">
            <v>2.8570000000000002E-2</v>
          </cell>
          <cell r="W392">
            <v>5</v>
          </cell>
        </row>
        <row r="393">
          <cell r="A393" t="str">
            <v>S-2026-05-17</v>
          </cell>
          <cell r="B393"/>
          <cell r="C393" t="str">
            <v>RPRO-260506-0397</v>
          </cell>
          <cell r="D393" t="str">
            <v>PUR2605060001S</v>
          </cell>
          <cell r="E393" t="str">
            <v>BDB-000058</v>
          </cell>
          <cell r="F393" t="str">
            <v>PVN-003630</v>
          </cell>
          <cell r="G393" t="str">
            <v>OrthoLite Ultra GREEN/16-5932TPX Flat Sheet 0.085D 25+/-4 Asker C 1.1M 2M 2mm</v>
          </cell>
          <cell r="H393">
            <v>30</v>
          </cell>
          <cell r="I393">
            <v>30</v>
          </cell>
          <cell r="J393">
            <v>30</v>
          </cell>
          <cell r="K393">
            <v>0</v>
          </cell>
          <cell r="L393" t="str">
            <v>UNDER ARMOUR</v>
          </cell>
          <cell r="M393" t="str">
            <v>SSO-2605-00185  - URGENT (5-12)</v>
          </cell>
          <cell r="N393" t="str">
            <v>Flat sheet</v>
          </cell>
          <cell r="O393" t="str">
            <v>Sample</v>
          </cell>
          <cell r="P393">
            <v>46148</v>
          </cell>
          <cell r="Q393">
            <v>46154</v>
          </cell>
          <cell r="R393">
            <v>46151</v>
          </cell>
          <cell r="S393">
            <v>6</v>
          </cell>
          <cell r="T393">
            <v>6</v>
          </cell>
          <cell r="U393">
            <v>2</v>
          </cell>
          <cell r="V393">
            <v>1.4290000000000001E-2</v>
          </cell>
          <cell r="W393">
            <v>1</v>
          </cell>
        </row>
        <row r="394">
          <cell r="A394" t="str">
            <v>S-2026-05-18</v>
          </cell>
          <cell r="B394"/>
          <cell r="C394" t="str">
            <v>RPRO-260506-0415</v>
          </cell>
          <cell r="D394" t="str">
            <v xml:space="preserve">PUR2605060002S   </v>
          </cell>
          <cell r="E394" t="str">
            <v>BDB-000348</v>
          </cell>
          <cell r="F394" t="str">
            <v>PVN-004405</v>
          </cell>
          <cell r="G394" t="str">
            <v>OrthoLite IMPERIAL SEEDPEARL/12-0703TPX Flat Sheet 0.22D 25+/-4 Asker C 1.1M 1.47M 6mm</v>
          </cell>
          <cell r="H394">
            <v>10</v>
          </cell>
          <cell r="I394">
            <v>10</v>
          </cell>
          <cell r="J394">
            <v>10</v>
          </cell>
          <cell r="K394">
            <v>0</v>
          </cell>
          <cell r="L394" t="str">
            <v>ADIDAS</v>
          </cell>
          <cell r="M394" t="str">
            <v>SSO-2605-00194 - URGENT (5-15)</v>
          </cell>
          <cell r="N394" t="str">
            <v>Molded</v>
          </cell>
          <cell r="O394" t="str">
            <v>Sample</v>
          </cell>
          <cell r="P394">
            <v>46148</v>
          </cell>
          <cell r="Q394">
            <v>46157</v>
          </cell>
          <cell r="R394">
            <v>46154</v>
          </cell>
          <cell r="S394">
            <v>6</v>
          </cell>
          <cell r="T394">
            <v>9</v>
          </cell>
          <cell r="U394">
            <v>6</v>
          </cell>
          <cell r="V394">
            <v>4.1669999999999999E-2</v>
          </cell>
          <cell r="W394">
            <v>1</v>
          </cell>
        </row>
        <row r="395">
          <cell r="A395" t="str">
            <v>S-2026-05-19</v>
          </cell>
          <cell r="B395"/>
          <cell r="C395" t="str">
            <v>RPRO-260508-0581</v>
          </cell>
          <cell r="D395" t="str">
            <v>PUR-202605080001S</v>
          </cell>
          <cell r="E395" t="str">
            <v>BDB-000113</v>
          </cell>
          <cell r="F395" t="str">
            <v>PVN-002465</v>
          </cell>
          <cell r="G395" t="str">
            <v>OrthoLite Regular-Hybrid SEEDPEARL/12-0703TPX Hybrid Flat Sheet 0.11D 25+/-4 Asker C 1.1M 2M 5mm</v>
          </cell>
          <cell r="H395">
            <v>70</v>
          </cell>
          <cell r="I395">
            <v>70</v>
          </cell>
          <cell r="J395">
            <v>70</v>
          </cell>
          <cell r="K395">
            <v>0</v>
          </cell>
          <cell r="L395" t="str">
            <v>ASICS</v>
          </cell>
          <cell r="M395" t="str">
            <v>Sample</v>
          </cell>
          <cell r="N395" t="str">
            <v>DIE-CUT</v>
          </cell>
          <cell r="O395" t="str">
            <v>Sample</v>
          </cell>
          <cell r="P395">
            <v>46150</v>
          </cell>
          <cell r="Q395">
            <v>46160</v>
          </cell>
          <cell r="R395">
            <v>46157</v>
          </cell>
          <cell r="S395">
            <v>6</v>
          </cell>
          <cell r="T395">
            <v>10</v>
          </cell>
          <cell r="U395">
            <v>5</v>
          </cell>
          <cell r="V395">
            <v>3.5709999999999999E-2</v>
          </cell>
          <cell r="W395">
            <v>3</v>
          </cell>
        </row>
        <row r="396">
          <cell r="A396" t="str">
            <v>S-2026-05-20</v>
          </cell>
          <cell r="B396"/>
          <cell r="C396" t="str">
            <v>RPRO-260508-0582</v>
          </cell>
          <cell r="D396" t="str">
            <v>PUR-202605080001S</v>
          </cell>
          <cell r="E396" t="str">
            <v>BDB-000113</v>
          </cell>
          <cell r="F396" t="str">
            <v>PVN-003414</v>
          </cell>
          <cell r="G396" t="str">
            <v>OrthoLite Regular-Hybrid SEEDPEARL/12-0703TPX Hybrid 0.11D 25+/-4 Asker C 1.1M 2M 12mm</v>
          </cell>
          <cell r="H396">
            <v>50</v>
          </cell>
          <cell r="I396">
            <v>50</v>
          </cell>
          <cell r="J396">
            <v>50</v>
          </cell>
          <cell r="K396">
            <v>0</v>
          </cell>
          <cell r="L396" t="str">
            <v>ASICS</v>
          </cell>
          <cell r="M396" t="str">
            <v>Sample</v>
          </cell>
          <cell r="N396" t="str">
            <v>MOLDED</v>
          </cell>
          <cell r="O396" t="str">
            <v>Sample</v>
          </cell>
          <cell r="P396">
            <v>46150</v>
          </cell>
          <cell r="Q396">
            <v>46160</v>
          </cell>
          <cell r="R396">
            <v>46157</v>
          </cell>
          <cell r="S396">
            <v>6</v>
          </cell>
          <cell r="T396">
            <v>10</v>
          </cell>
          <cell r="U396">
            <v>12</v>
          </cell>
          <cell r="V396">
            <v>9.0909999999999991E-2</v>
          </cell>
          <cell r="W396">
            <v>5</v>
          </cell>
        </row>
        <row r="397">
          <cell r="A397" t="str">
            <v>S-2026-05-21</v>
          </cell>
          <cell r="B397"/>
          <cell r="C397" t="str">
            <v>RPRO-260508-0583</v>
          </cell>
          <cell r="D397" t="str">
            <v>PUR-202605080001S</v>
          </cell>
          <cell r="E397" t="str">
            <v>BDB-000011</v>
          </cell>
          <cell r="F397" t="str">
            <v>PVN-000258</v>
          </cell>
          <cell r="G397" t="str">
            <v>OrthoLite Regular AIR BLUE/16-4134TPX Flat Sheet 0.13D 35+/-4 Asker C 1.1M 2M 2.5mm</v>
          </cell>
          <cell r="H397">
            <v>30</v>
          </cell>
          <cell r="I397">
            <v>30</v>
          </cell>
          <cell r="J397">
            <v>30</v>
          </cell>
          <cell r="K397">
            <v>0</v>
          </cell>
          <cell r="L397" t="str">
            <v>ASICS</v>
          </cell>
          <cell r="M397" t="str">
            <v>Sample</v>
          </cell>
          <cell r="N397" t="str">
            <v>FL SHEET</v>
          </cell>
          <cell r="O397" t="str">
            <v>Sample</v>
          </cell>
          <cell r="P397">
            <v>46150</v>
          </cell>
          <cell r="Q397">
            <v>46160</v>
          </cell>
          <cell r="R397">
            <v>46157</v>
          </cell>
          <cell r="S397">
            <v>6</v>
          </cell>
          <cell r="T397">
            <v>10</v>
          </cell>
          <cell r="U397">
            <v>2.5</v>
          </cell>
          <cell r="V397">
            <v>1.7860000000000001E-2</v>
          </cell>
          <cell r="W397">
            <v>1</v>
          </cell>
        </row>
        <row r="398">
          <cell r="A398" t="str">
            <v>S-2026-05-22</v>
          </cell>
          <cell r="B398"/>
          <cell r="C398" t="str">
            <v>RPRO-260508-0584</v>
          </cell>
          <cell r="D398" t="str">
            <v>PUR-202605080001S</v>
          </cell>
          <cell r="E398" t="str">
            <v>BDB-000179</v>
          </cell>
          <cell r="F398" t="str">
            <v>PVN-004059</v>
          </cell>
          <cell r="G398" t="str">
            <v>OrthoLite X-55 RED/19-1764TPX Flat Sheet 0.16D 25+/-4 Asker C 1.1M 1.7M 5.2mm</v>
          </cell>
          <cell r="H398">
            <v>20</v>
          </cell>
          <cell r="I398">
            <v>20</v>
          </cell>
          <cell r="J398">
            <v>20</v>
          </cell>
          <cell r="K398">
            <v>0</v>
          </cell>
          <cell r="L398" t="str">
            <v>NEW BALANCE</v>
          </cell>
          <cell r="M398" t="str">
            <v>Sample</v>
          </cell>
          <cell r="N398" t="str">
            <v>MOLDED</v>
          </cell>
          <cell r="O398" t="str">
            <v>Sample</v>
          </cell>
          <cell r="P398">
            <v>46150</v>
          </cell>
          <cell r="Q398">
            <v>46160</v>
          </cell>
          <cell r="R398">
            <v>46157</v>
          </cell>
          <cell r="S398">
            <v>6</v>
          </cell>
          <cell r="T398">
            <v>10</v>
          </cell>
          <cell r="U398">
            <v>5.2</v>
          </cell>
          <cell r="V398">
            <v>3.8460000000000001E-2</v>
          </cell>
          <cell r="W398">
            <v>1</v>
          </cell>
        </row>
        <row r="399">
          <cell r="A399" t="str">
            <v>S-2026-05-23</v>
          </cell>
          <cell r="B399"/>
          <cell r="C399" t="str">
            <v>RPRO-260508-0585</v>
          </cell>
          <cell r="D399" t="str">
            <v>PUR-202605080001S</v>
          </cell>
          <cell r="E399" t="str">
            <v>BDB-000113</v>
          </cell>
          <cell r="F399" t="str">
            <v>PVN-002688</v>
          </cell>
          <cell r="G399" t="str">
            <v>OrthoLite Regular-Hybrid SEEDPEARL/12-0703TPX Hybrid 0.11D 25+/-4 Asker C 1.1M 2M 6mm</v>
          </cell>
          <cell r="H399">
            <v>70</v>
          </cell>
          <cell r="I399">
            <v>70</v>
          </cell>
          <cell r="J399">
            <v>70</v>
          </cell>
          <cell r="K399">
            <v>0</v>
          </cell>
          <cell r="L399" t="str">
            <v>ASICS</v>
          </cell>
          <cell r="M399" t="str">
            <v>Sample</v>
          </cell>
          <cell r="N399" t="str">
            <v>MOLDED</v>
          </cell>
          <cell r="O399" t="str">
            <v>Sample</v>
          </cell>
          <cell r="P399">
            <v>46150</v>
          </cell>
          <cell r="Q399">
            <v>46160</v>
          </cell>
          <cell r="R399">
            <v>46157</v>
          </cell>
          <cell r="S399">
            <v>6</v>
          </cell>
          <cell r="T399">
            <v>10</v>
          </cell>
          <cell r="U399">
            <v>6</v>
          </cell>
          <cell r="V399">
            <v>4.3479999999999998E-2</v>
          </cell>
          <cell r="W399">
            <v>4</v>
          </cell>
        </row>
        <row r="400">
          <cell r="A400" t="str">
            <v>S-2026-05-24</v>
          </cell>
          <cell r="B400"/>
          <cell r="C400" t="str">
            <v>RPRO-260508-0586</v>
          </cell>
          <cell r="D400" t="str">
            <v>PUR-202605080001S</v>
          </cell>
          <cell r="E400" t="str">
            <v>BDB-000235</v>
          </cell>
          <cell r="F400" t="str">
            <v>PVN-004021</v>
          </cell>
          <cell r="G400" t="str">
            <v>OrthoLite X-55-Hybrid FOSSIL/17-0909TPX Hybrid Flat Sheet 0.16D 25+/-4 Asker C 1.1M 1.7M 6mm</v>
          </cell>
          <cell r="H400">
            <v>30</v>
          </cell>
          <cell r="I400">
            <v>30</v>
          </cell>
          <cell r="J400">
            <v>30</v>
          </cell>
          <cell r="K400">
            <v>0</v>
          </cell>
          <cell r="L400" t="str">
            <v>ASICS</v>
          </cell>
          <cell r="M400" t="str">
            <v>Sample</v>
          </cell>
          <cell r="N400" t="str">
            <v>MOLDED</v>
          </cell>
          <cell r="O400" t="str">
            <v>Sample</v>
          </cell>
          <cell r="P400">
            <v>46150</v>
          </cell>
          <cell r="Q400">
            <v>46160</v>
          </cell>
          <cell r="R400">
            <v>46157</v>
          </cell>
          <cell r="S400">
            <v>6</v>
          </cell>
          <cell r="T400">
            <v>10</v>
          </cell>
          <cell r="U400">
            <v>6</v>
          </cell>
          <cell r="V400">
            <v>4.3479999999999998E-2</v>
          </cell>
          <cell r="W400">
            <v>2</v>
          </cell>
        </row>
        <row r="401">
          <cell r="A401" t="str">
            <v>S-2026-05-25</v>
          </cell>
          <cell r="B401"/>
          <cell r="C401" t="str">
            <v>RPRO-260508-0587</v>
          </cell>
          <cell r="D401" t="str">
            <v>PUR2605080002S</v>
          </cell>
          <cell r="E401" t="str">
            <v>BDB-000123</v>
          </cell>
          <cell r="F401" t="str">
            <v>PVN-003298</v>
          </cell>
          <cell r="G401" t="str">
            <v>OrthoLite Ultra-Hybrid SEEDPEARL/12-0703TPX Hybrid Flat Sheet 0.085D 25+/-4 Asker C 1.1M 2M 4mm</v>
          </cell>
          <cell r="H401">
            <v>150</v>
          </cell>
          <cell r="I401">
            <v>150</v>
          </cell>
          <cell r="J401">
            <v>150</v>
          </cell>
          <cell r="K401">
            <v>0</v>
          </cell>
          <cell r="L401" t="str">
            <v>ADIDAS</v>
          </cell>
          <cell r="M401" t="str">
            <v>SSO-2605-00328 - URGENT (5-15)</v>
          </cell>
          <cell r="N401" t="str">
            <v>Flat sheet</v>
          </cell>
          <cell r="O401" t="str">
            <v>Sample</v>
          </cell>
          <cell r="P401">
            <v>46150</v>
          </cell>
          <cell r="Q401">
            <v>46157</v>
          </cell>
          <cell r="R401">
            <v>46154</v>
          </cell>
          <cell r="S401">
            <v>6</v>
          </cell>
          <cell r="T401">
            <v>7</v>
          </cell>
          <cell r="U401">
            <v>4</v>
          </cell>
          <cell r="V401">
            <v>2.8570000000000002E-2</v>
          </cell>
          <cell r="W401">
            <v>5</v>
          </cell>
        </row>
        <row r="402">
          <cell r="A402" t="str">
            <v>S-2026-05-26</v>
          </cell>
          <cell r="B402"/>
          <cell r="C402" t="str">
            <v>RPRO-260508-0588</v>
          </cell>
          <cell r="D402" t="str">
            <v>PUR2605080003S</v>
          </cell>
          <cell r="E402" t="str">
            <v>BDB-000123</v>
          </cell>
          <cell r="F402" t="str">
            <v>PVN-003315</v>
          </cell>
          <cell r="G402" t="str">
            <v>OrthoLite Ultra-Hybrid SEEDPEARL/12-0703TPX Hybrid Flat Sheet 0.085D 25+/-4 Asker C 1.1M 2M 3.5mm</v>
          </cell>
          <cell r="H402">
            <v>50</v>
          </cell>
          <cell r="I402">
            <v>50</v>
          </cell>
          <cell r="J402">
            <v>50</v>
          </cell>
          <cell r="K402">
            <v>0</v>
          </cell>
          <cell r="L402" t="str">
            <v>ADIDAS</v>
          </cell>
          <cell r="M402" t="str">
            <v>SSO-2605-00337 - URGENT (5-15)</v>
          </cell>
          <cell r="N402" t="str">
            <v>Flat sheet</v>
          </cell>
          <cell r="O402" t="str">
            <v>Sample</v>
          </cell>
          <cell r="P402">
            <v>46150</v>
          </cell>
          <cell r="Q402">
            <v>46157</v>
          </cell>
          <cell r="R402">
            <v>46154</v>
          </cell>
          <cell r="S402">
            <v>6</v>
          </cell>
          <cell r="T402">
            <v>7</v>
          </cell>
          <cell r="U402">
            <v>3.5</v>
          </cell>
          <cell r="V402">
            <v>2.5000000000000001E-2</v>
          </cell>
          <cell r="W402">
            <v>2</v>
          </cell>
        </row>
        <row r="403">
          <cell r="A403" t="str">
            <v>S-2026-05-27</v>
          </cell>
          <cell r="B403"/>
          <cell r="C403" t="str">
            <v>RPRO-260512-0580</v>
          </cell>
          <cell r="D403" t="str">
            <v>thuy.tao@ortholite.vn</v>
          </cell>
          <cell r="E403" t="str">
            <v>BDB-000321</v>
          </cell>
          <cell r="F403" t="str">
            <v>PVN-004414</v>
          </cell>
          <cell r="G403" t="str">
            <v>OrthoLite Float BLUE ATOLL/16-4535TPX Flat Sheet 0.12D 21+/-4 Asker C 1.1M 2M 16.5mm</v>
          </cell>
          <cell r="H403">
            <v>1</v>
          </cell>
          <cell r="I403">
            <v>1</v>
          </cell>
          <cell r="J403">
            <v>1</v>
          </cell>
          <cell r="K403">
            <v>0</v>
          </cell>
          <cell r="L403" t="str">
            <v>TBS</v>
          </cell>
          <cell r="M403"/>
          <cell r="N403" t="str">
            <v>INSOLE/ MOLDED</v>
          </cell>
          <cell r="O403" t="str">
            <v>Sample</v>
          </cell>
          <cell r="P403">
            <v>46153</v>
          </cell>
          <cell r="Q403">
            <v>46164</v>
          </cell>
          <cell r="R403">
            <v>46161</v>
          </cell>
          <cell r="S403">
            <v>6</v>
          </cell>
          <cell r="T403">
            <v>11</v>
          </cell>
          <cell r="U403">
            <v>16.5</v>
          </cell>
          <cell r="V403">
            <v>0.125</v>
          </cell>
          <cell r="W403">
            <v>1</v>
          </cell>
        </row>
        <row r="404">
          <cell r="A404" t="str">
            <v>S-2026-05-28</v>
          </cell>
          <cell r="B404"/>
          <cell r="C404" t="str">
            <v>RPRO-260512-0581</v>
          </cell>
          <cell r="D404" t="str">
            <v>thuy.tao@ortholite.vn</v>
          </cell>
          <cell r="E404" t="str">
            <v>BDB-000058</v>
          </cell>
          <cell r="F404" t="str">
            <v>PVN-004415</v>
          </cell>
          <cell r="G404" t="str">
            <v>OrthoLite Ultra GREEN/16-5932TPX Flat Sheet 0.085D 25+/-4 Asker C 1.1M 2M 16.5mm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 t="str">
            <v>TBS</v>
          </cell>
          <cell r="M404"/>
          <cell r="N404" t="str">
            <v>INSOLE/ MOLDED</v>
          </cell>
          <cell r="O404" t="str">
            <v>Sample</v>
          </cell>
          <cell r="P404">
            <v>46153</v>
          </cell>
          <cell r="Q404">
            <v>46164</v>
          </cell>
          <cell r="R404">
            <v>46161</v>
          </cell>
          <cell r="S404">
            <v>6</v>
          </cell>
          <cell r="T404">
            <v>11</v>
          </cell>
          <cell r="U404">
            <v>16.5</v>
          </cell>
          <cell r="V404">
            <v>0.125</v>
          </cell>
          <cell r="W404">
            <v>1</v>
          </cell>
        </row>
        <row r="405">
          <cell r="A405" t="str">
            <v>S-2026-05-29</v>
          </cell>
          <cell r="B405"/>
          <cell r="C405" t="str">
            <v>RPRO-260512-0582</v>
          </cell>
          <cell r="D405" t="str">
            <v xml:space="preserve">PUR2605110001S   </v>
          </cell>
          <cell r="E405" t="str">
            <v>BDB-000348</v>
          </cell>
          <cell r="F405" t="str">
            <v>PVN-004195</v>
          </cell>
          <cell r="G405" t="str">
            <v>OrthoLite IMPERIAL SEEDPEARL/12-0703TPX Flat Sheet 0.22D 25+/-4 Asker C 1.1M 1.47M 4mm</v>
          </cell>
          <cell r="H405">
            <v>200</v>
          </cell>
          <cell r="I405">
            <v>200</v>
          </cell>
          <cell r="J405">
            <v>200</v>
          </cell>
          <cell r="K405">
            <v>0</v>
          </cell>
          <cell r="L405" t="str">
            <v>ADIDAS</v>
          </cell>
          <cell r="M405" t="str">
            <v>SSO-2605-00450  - URGENT (5-20)</v>
          </cell>
          <cell r="N405" t="str">
            <v>Flat sheet</v>
          </cell>
          <cell r="O405" t="str">
            <v>Sample</v>
          </cell>
          <cell r="P405">
            <v>46153</v>
          </cell>
          <cell r="Q405">
            <v>46162</v>
          </cell>
          <cell r="R405">
            <v>46159</v>
          </cell>
          <cell r="S405">
            <v>6</v>
          </cell>
          <cell r="T405">
            <v>9</v>
          </cell>
          <cell r="U405">
            <v>4</v>
          </cell>
          <cell r="V405">
            <v>2.8570000000000002E-2</v>
          </cell>
          <cell r="W405">
            <v>6</v>
          </cell>
        </row>
        <row r="406">
          <cell r="A406" t="str">
            <v>S-2026-05-30</v>
          </cell>
          <cell r="B406"/>
          <cell r="C406" t="str">
            <v>RPRO-260512-0583</v>
          </cell>
          <cell r="D406" t="str">
            <v xml:space="preserve">PUR2605110001S   </v>
          </cell>
          <cell r="E406" t="str">
            <v>BDB-000348</v>
          </cell>
          <cell r="F406" t="str">
            <v>PVN-004210</v>
          </cell>
          <cell r="G406" t="str">
            <v>OrthoLite IMPERIAL SEEDPEARL/12-0703TPX Flat Sheet 0.22D 25+/-4 Asker C 1.1M 1.47M 5mm</v>
          </cell>
          <cell r="H406">
            <v>50</v>
          </cell>
          <cell r="I406">
            <v>50</v>
          </cell>
          <cell r="J406">
            <v>50</v>
          </cell>
          <cell r="K406">
            <v>0</v>
          </cell>
          <cell r="L406" t="str">
            <v>ADIDAS</v>
          </cell>
          <cell r="M406" t="str">
            <v>Sample</v>
          </cell>
          <cell r="N406" t="str">
            <v>Flat sheet</v>
          </cell>
          <cell r="O406" t="str">
            <v>Sample</v>
          </cell>
          <cell r="P406">
            <v>46153</v>
          </cell>
          <cell r="Q406">
            <v>46164</v>
          </cell>
          <cell r="R406">
            <v>46161</v>
          </cell>
          <cell r="S406">
            <v>6</v>
          </cell>
          <cell r="T406">
            <v>11</v>
          </cell>
          <cell r="U406">
            <v>5</v>
          </cell>
          <cell r="V406">
            <v>3.5709999999999999E-2</v>
          </cell>
          <cell r="W406">
            <v>2</v>
          </cell>
        </row>
        <row r="407">
          <cell r="A407" t="str">
            <v>S-2026-05-31</v>
          </cell>
          <cell r="B407"/>
          <cell r="C407" t="str">
            <v>RPRO-260513-0945</v>
          </cell>
          <cell r="D407" t="str">
            <v xml:space="preserve">PUR-202605130002S </v>
          </cell>
          <cell r="E407" t="str">
            <v>BDB-000097</v>
          </cell>
          <cell r="F407" t="str">
            <v>PVN-003671</v>
          </cell>
          <cell r="G407" t="str">
            <v>OrthoLite Eco LT-Hybrid SEEDPEARL/12-0703TPX Hybrid Flat Sheet 0.11D 25+/-4 Asker C 1.1M 2M 13mm</v>
          </cell>
          <cell r="H407">
            <v>40</v>
          </cell>
          <cell r="I407">
            <v>40</v>
          </cell>
          <cell r="J407">
            <v>40</v>
          </cell>
          <cell r="K407">
            <v>0</v>
          </cell>
          <cell r="L407" t="str">
            <v>NEW BALANCE</v>
          </cell>
          <cell r="M407" t="str">
            <v>Sample</v>
          </cell>
          <cell r="N407" t="str">
            <v>MOLDED</v>
          </cell>
          <cell r="O407" t="str">
            <v>Sample</v>
          </cell>
          <cell r="P407">
            <v>46155</v>
          </cell>
          <cell r="Q407">
            <v>46165</v>
          </cell>
          <cell r="R407">
            <v>46162</v>
          </cell>
          <cell r="S407">
            <v>6</v>
          </cell>
          <cell r="T407">
            <v>10</v>
          </cell>
          <cell r="U407">
            <v>13</v>
          </cell>
          <cell r="V407">
            <v>0.1</v>
          </cell>
          <cell r="W407">
            <v>4</v>
          </cell>
        </row>
        <row r="408">
          <cell r="A408" t="str">
            <v>S-2026-05-32</v>
          </cell>
          <cell r="B408"/>
          <cell r="C408" t="str">
            <v>RPRO-260513-0946</v>
          </cell>
          <cell r="D408" t="str">
            <v xml:space="preserve">PUR-202605130002S </v>
          </cell>
          <cell r="E408" t="str">
            <v>BDB-000117</v>
          </cell>
          <cell r="F408" t="str">
            <v>PVN-003234</v>
          </cell>
          <cell r="G408" t="str">
            <v>OrthoLite X-35-Hybrid SEEDPEARL/12-0703TPX Hybrid Flat Sheet 0.145D 25+/-4 Asker C 1.1M 2M 5.5mm</v>
          </cell>
          <cell r="H408">
            <v>50</v>
          </cell>
          <cell r="I408">
            <v>50</v>
          </cell>
          <cell r="J408">
            <v>50</v>
          </cell>
          <cell r="K408">
            <v>0</v>
          </cell>
          <cell r="L408" t="str">
            <v>PUMA</v>
          </cell>
          <cell r="M408" t="str">
            <v>Sample</v>
          </cell>
          <cell r="N408" t="str">
            <v>MOLDED</v>
          </cell>
          <cell r="O408" t="str">
            <v>Sample</v>
          </cell>
          <cell r="P408">
            <v>46155</v>
          </cell>
          <cell r="Q408">
            <v>46165</v>
          </cell>
          <cell r="R408">
            <v>46162</v>
          </cell>
          <cell r="S408">
            <v>6</v>
          </cell>
          <cell r="T408">
            <v>10</v>
          </cell>
          <cell r="U408">
            <v>5.5</v>
          </cell>
          <cell r="V408">
            <v>0.04</v>
          </cell>
          <cell r="W408">
            <v>2</v>
          </cell>
        </row>
        <row r="409">
          <cell r="A409" t="str">
            <v>S-2026-05-33</v>
          </cell>
          <cell r="B409"/>
          <cell r="C409" t="str">
            <v>RPRO-260513-0947</v>
          </cell>
          <cell r="D409" t="str">
            <v xml:space="preserve">PUR-202605130002S </v>
          </cell>
          <cell r="E409" t="str">
            <v>BDB-000339</v>
          </cell>
          <cell r="F409" t="str">
            <v>PVN-004178</v>
          </cell>
          <cell r="G409" t="str">
            <v>OrthoLite Float NEUTRAL GRAY/17-4402TPX Flat Sheet 0.12D 21+/-4 Asker C 1.1M 2M 5.5mm</v>
          </cell>
          <cell r="H409">
            <v>40</v>
          </cell>
          <cell r="I409">
            <v>40</v>
          </cell>
          <cell r="J409">
            <v>40</v>
          </cell>
          <cell r="K409">
            <v>0</v>
          </cell>
          <cell r="L409" t="str">
            <v>PUMA</v>
          </cell>
          <cell r="M409" t="str">
            <v>Sample</v>
          </cell>
          <cell r="N409" t="str">
            <v>MOLDED</v>
          </cell>
          <cell r="O409" t="str">
            <v>Sample</v>
          </cell>
          <cell r="P409">
            <v>46155</v>
          </cell>
          <cell r="Q409">
            <v>46165</v>
          </cell>
          <cell r="R409">
            <v>46162</v>
          </cell>
          <cell r="S409">
            <v>6</v>
          </cell>
          <cell r="T409">
            <v>10</v>
          </cell>
          <cell r="U409">
            <v>5.5</v>
          </cell>
          <cell r="V409">
            <v>0.04</v>
          </cell>
          <cell r="W409">
            <v>2</v>
          </cell>
        </row>
        <row r="410">
          <cell r="A410" t="str">
            <v>S-2026-05-34</v>
          </cell>
          <cell r="B410"/>
          <cell r="C410" t="str">
            <v>RPRO-260513-0948</v>
          </cell>
          <cell r="D410" t="str">
            <v>PUR2605130003S</v>
          </cell>
          <cell r="E410" t="str">
            <v>BDB-000371</v>
          </cell>
          <cell r="F410" t="str">
            <v>PVN-004417</v>
          </cell>
          <cell r="G410" t="str">
            <v>OrthoLite SloMo LIME GREEN/14-0452TPX Flat Sheet 0.085D 5-10 Asker C 1.1M 2M 5mm</v>
          </cell>
          <cell r="H410">
            <v>10</v>
          </cell>
          <cell r="I410">
            <v>10</v>
          </cell>
          <cell r="J410">
            <v>10</v>
          </cell>
          <cell r="K410">
            <v>0</v>
          </cell>
          <cell r="L410" t="str">
            <v>ADIDAS</v>
          </cell>
          <cell r="M410" t="str">
            <v>SSO-2605-00559  - URGENT (5-20)</v>
          </cell>
          <cell r="N410" t="str">
            <v>Flat sheet</v>
          </cell>
          <cell r="O410" t="str">
            <v>Sample</v>
          </cell>
          <cell r="P410">
            <v>46155</v>
          </cell>
          <cell r="Q410">
            <v>46165</v>
          </cell>
          <cell r="R410">
            <v>46162</v>
          </cell>
          <cell r="S410">
            <v>6</v>
          </cell>
          <cell r="T410">
            <v>10</v>
          </cell>
          <cell r="U410">
            <v>5</v>
          </cell>
          <cell r="V410">
            <v>3.5709999999999999E-2</v>
          </cell>
          <cell r="W410">
            <v>1</v>
          </cell>
        </row>
        <row r="411">
          <cell r="A411" t="str">
            <v>S-2026-05-35</v>
          </cell>
          <cell r="B411" t="str">
            <v xml:space="preserve">gaấp </v>
          </cell>
          <cell r="C411" t="str">
            <v>RPRO-260513-0949</v>
          </cell>
          <cell r="D411" t="str">
            <v>PUR2605130005S</v>
          </cell>
          <cell r="E411" t="str">
            <v>BDB-000076</v>
          </cell>
          <cell r="F411" t="str">
            <v>PVN-003979</v>
          </cell>
          <cell r="G411" t="str">
            <v>OrthoLite X-25 BILLIARD/16-5427TPX Flat Sheet 0.12D 20+/-4 Asker C 1.1M 2M 7mm</v>
          </cell>
          <cell r="H411">
            <v>20</v>
          </cell>
          <cell r="I411">
            <v>20</v>
          </cell>
          <cell r="J411">
            <v>20</v>
          </cell>
          <cell r="K411">
            <v>0</v>
          </cell>
          <cell r="L411" t="str">
            <v>ONE8</v>
          </cell>
          <cell r="M411" t="str">
            <v>SAMPLE</v>
          </cell>
          <cell r="N411" t="str">
            <v>OV-0497 - URGENT</v>
          </cell>
          <cell r="O411" t="str">
            <v>Sample</v>
          </cell>
          <cell r="P411">
            <v>46155</v>
          </cell>
          <cell r="Q411">
            <v>46162</v>
          </cell>
          <cell r="R411">
            <v>46159</v>
          </cell>
          <cell r="S411">
            <v>6</v>
          </cell>
          <cell r="T411">
            <v>7</v>
          </cell>
          <cell r="U411">
            <v>7</v>
          </cell>
          <cell r="V411">
            <v>0.05</v>
          </cell>
          <cell r="W411">
            <v>1</v>
          </cell>
        </row>
        <row r="412">
          <cell r="A412" t="str">
            <v>S-2026-05-36</v>
          </cell>
          <cell r="B412"/>
          <cell r="C412" t="str">
            <v>RPRO-260513-0950</v>
          </cell>
          <cell r="D412" t="str">
            <v>PUR2605130006S</v>
          </cell>
          <cell r="E412" t="str">
            <v>BDB-000021</v>
          </cell>
          <cell r="F412" t="str">
            <v>PVN-000446</v>
          </cell>
          <cell r="G412" t="str">
            <v>OrthoLite Regular GREY/17-1501TPX Flat Sheet 0.13D 25+/-4 Asker C 1.1M 2M 4mm</v>
          </cell>
          <cell r="H412">
            <v>10</v>
          </cell>
          <cell r="I412">
            <v>10</v>
          </cell>
          <cell r="J412">
            <v>10</v>
          </cell>
          <cell r="K412">
            <v>0</v>
          </cell>
          <cell r="L412" t="str">
            <v>TRAVIS MATHEW</v>
          </cell>
          <cell r="M412" t="str">
            <v>SSO-2605-00605</v>
          </cell>
          <cell r="N412" t="str">
            <v>FL SHEET URGENT</v>
          </cell>
          <cell r="O412" t="str">
            <v>Sample</v>
          </cell>
          <cell r="P412">
            <v>46155</v>
          </cell>
          <cell r="Q412">
            <v>46162</v>
          </cell>
          <cell r="R412">
            <v>46159</v>
          </cell>
          <cell r="S412">
            <v>6</v>
          </cell>
          <cell r="T412">
            <v>7</v>
          </cell>
          <cell r="U412">
            <v>4</v>
          </cell>
          <cell r="V412">
            <v>2.8570000000000002E-2</v>
          </cell>
          <cell r="W412">
            <v>1</v>
          </cell>
        </row>
        <row r="413">
          <cell r="A413" t="str">
            <v>S-2026-05-37</v>
          </cell>
          <cell r="B413"/>
          <cell r="C413" t="str">
            <v>RPRO-260515-0272</v>
          </cell>
          <cell r="D413" t="str">
            <v>PUR2605150001S</v>
          </cell>
          <cell r="E413" t="str">
            <v>BDB-000076</v>
          </cell>
          <cell r="F413" t="str">
            <v>PVN-004119</v>
          </cell>
          <cell r="G413" t="str">
            <v>OrthoLite X-25 BILLIARD/16-5427TPX Flat Sheet 0.12D 20+/-4 Asker C 1.1M 2M 6.5mm</v>
          </cell>
          <cell r="H413">
            <v>20</v>
          </cell>
          <cell r="I413">
            <v>20</v>
          </cell>
          <cell r="J413">
            <v>20</v>
          </cell>
          <cell r="K413">
            <v>0</v>
          </cell>
          <cell r="L413" t="str">
            <v>ONE8</v>
          </cell>
          <cell r="M413" t="str">
            <v>SSO-2605-00656/sample</v>
          </cell>
          <cell r="N413" t="str">
            <v>OV-0419</v>
          </cell>
          <cell r="O413" t="str">
            <v>Sample</v>
          </cell>
          <cell r="P413">
            <v>46157</v>
          </cell>
          <cell r="Q413">
            <v>46167</v>
          </cell>
          <cell r="R413">
            <v>46164</v>
          </cell>
          <cell r="S413">
            <v>6</v>
          </cell>
          <cell r="T413">
            <v>10</v>
          </cell>
          <cell r="U413">
            <v>6.5</v>
          </cell>
          <cell r="V413">
            <v>4.7620000000000003E-2</v>
          </cell>
          <cell r="W413">
            <v>1</v>
          </cell>
        </row>
        <row r="414">
          <cell r="A414" t="str">
            <v>S-2026-05-38</v>
          </cell>
          <cell r="B414"/>
          <cell r="C414" t="str">
            <v>RPRO-260515-0273</v>
          </cell>
          <cell r="D414" t="str">
            <v xml:space="preserve"> PUR-202605150002S</v>
          </cell>
          <cell r="E414" t="str">
            <v>BDB-000015</v>
          </cell>
          <cell r="F414" t="str">
            <v>PVN-003787</v>
          </cell>
          <cell r="G414" t="str">
            <v>OrthoLite Regular AIR BLUE/16-4134TPX 0.13D 25+/-4 Asker C 1.1M 2M 2mm</v>
          </cell>
          <cell r="H414">
            <v>15</v>
          </cell>
          <cell r="I414">
            <v>15</v>
          </cell>
          <cell r="J414">
            <v>15</v>
          </cell>
          <cell r="K414">
            <v>0</v>
          </cell>
          <cell r="L414" t="str">
            <v>ASICS</v>
          </cell>
          <cell r="M414" t="str">
            <v>Sample</v>
          </cell>
          <cell r="N414" t="str">
            <v>DIE-CUT</v>
          </cell>
          <cell r="O414" t="str">
            <v>Sample</v>
          </cell>
          <cell r="P414">
            <v>46157</v>
          </cell>
          <cell r="Q414">
            <v>46167</v>
          </cell>
          <cell r="R414">
            <v>46164</v>
          </cell>
          <cell r="S414">
            <v>6</v>
          </cell>
          <cell r="T414">
            <v>10</v>
          </cell>
          <cell r="U414">
            <v>2</v>
          </cell>
          <cell r="V414">
            <v>1.4290000000000001E-2</v>
          </cell>
          <cell r="W414">
            <v>1</v>
          </cell>
        </row>
        <row r="415">
          <cell r="A415" t="str">
            <v>S-2026-05-39</v>
          </cell>
          <cell r="B415"/>
          <cell r="C415" t="str">
            <v>RPRO-260515-0274</v>
          </cell>
          <cell r="D415" t="str">
            <v xml:space="preserve"> PUR-202605150002S</v>
          </cell>
          <cell r="E415" t="str">
            <v>BDB-000123</v>
          </cell>
          <cell r="F415" t="str">
            <v>PVN-003298</v>
          </cell>
          <cell r="G415" t="str">
            <v>OrthoLite Ultra-Hybrid SEEDPEARL/12-0703TPX Hybrid 0.085D 25+/-4 Asker C 1.1M 2M 4mm</v>
          </cell>
          <cell r="H415">
            <v>50</v>
          </cell>
          <cell r="I415">
            <v>50</v>
          </cell>
          <cell r="J415">
            <v>50</v>
          </cell>
          <cell r="K415">
            <v>0</v>
          </cell>
          <cell r="L415" t="str">
            <v>SALOMON</v>
          </cell>
          <cell r="M415" t="str">
            <v>Sample</v>
          </cell>
          <cell r="N415" t="str">
            <v>FL SHEET</v>
          </cell>
          <cell r="O415" t="str">
            <v>Sample</v>
          </cell>
          <cell r="P415">
            <v>46157</v>
          </cell>
          <cell r="Q415">
            <v>46167</v>
          </cell>
          <cell r="R415">
            <v>46164</v>
          </cell>
          <cell r="S415">
            <v>6</v>
          </cell>
          <cell r="T415">
            <v>10</v>
          </cell>
          <cell r="U415">
            <v>4</v>
          </cell>
          <cell r="V415">
            <v>2.8570000000000002E-2</v>
          </cell>
          <cell r="W415">
            <v>2</v>
          </cell>
        </row>
        <row r="416">
          <cell r="A416" t="str">
            <v>S-2026-05-40</v>
          </cell>
          <cell r="B416"/>
          <cell r="C416" t="str">
            <v>RPRO-260515-0275</v>
          </cell>
          <cell r="D416" t="str">
            <v xml:space="preserve"> PUR-202605150002S</v>
          </cell>
          <cell r="E416" t="str">
            <v>BDB-000113</v>
          </cell>
          <cell r="F416" t="str">
            <v>PVN-002887</v>
          </cell>
          <cell r="G416" t="str">
            <v>OrthoLite Regular-Hybrid SEEDPEARL/12-0703TPX Hybrid Flat Sheet 0.11D 25+/-4 Asker C 1.1M 2M 5.5mm</v>
          </cell>
          <cell r="H416">
            <v>20</v>
          </cell>
          <cell r="I416">
            <v>20</v>
          </cell>
          <cell r="J416">
            <v>20</v>
          </cell>
          <cell r="K416">
            <v>0</v>
          </cell>
          <cell r="L416" t="str">
            <v>ASICS</v>
          </cell>
          <cell r="M416" t="str">
            <v>Sample</v>
          </cell>
          <cell r="N416" t="str">
            <v>DIE-CUT</v>
          </cell>
          <cell r="O416" t="str">
            <v>Sample</v>
          </cell>
          <cell r="P416">
            <v>46157</v>
          </cell>
          <cell r="Q416">
            <v>46167</v>
          </cell>
          <cell r="R416">
            <v>46164</v>
          </cell>
          <cell r="S416">
            <v>6</v>
          </cell>
          <cell r="T416">
            <v>10</v>
          </cell>
          <cell r="U416">
            <v>5.5</v>
          </cell>
          <cell r="V416">
            <v>0.04</v>
          </cell>
          <cell r="W416">
            <v>1</v>
          </cell>
        </row>
        <row r="417">
          <cell r="A417" t="str">
            <v>S-2026-05-41</v>
          </cell>
          <cell r="B417"/>
          <cell r="C417" t="str">
            <v>RPRO-260515-0276</v>
          </cell>
          <cell r="D417" t="str">
            <v>PUR2605150003S</v>
          </cell>
          <cell r="E417" t="str">
            <v>BDB-000028</v>
          </cell>
          <cell r="F417" t="str">
            <v>PVN-004397</v>
          </cell>
          <cell r="G417" t="str">
            <v>OrthoLite Regular LIME GREEN/14-0452TPX Flat Sheet 0.13D 35+/-4 Asker C 1.1M 2M 5.5mm</v>
          </cell>
          <cell r="H417">
            <v>10</v>
          </cell>
          <cell r="I417">
            <v>10</v>
          </cell>
          <cell r="J417">
            <v>10</v>
          </cell>
          <cell r="K417">
            <v>0</v>
          </cell>
          <cell r="L417" t="str">
            <v>ADIDAS</v>
          </cell>
          <cell r="M417" t="str">
            <v>SSO-2605-00644  - URGENT (5-25)</v>
          </cell>
          <cell r="N417" t="str">
            <v>Molded</v>
          </cell>
          <cell r="O417" t="str">
            <v>Sample</v>
          </cell>
          <cell r="P417">
            <v>46157</v>
          </cell>
          <cell r="Q417">
            <v>46167</v>
          </cell>
          <cell r="R417">
            <v>46164</v>
          </cell>
          <cell r="S417">
            <v>6</v>
          </cell>
          <cell r="T417">
            <v>10</v>
          </cell>
          <cell r="U417">
            <v>5.5</v>
          </cell>
          <cell r="V417">
            <v>0.04</v>
          </cell>
          <cell r="W417">
            <v>1</v>
          </cell>
        </row>
        <row r="418">
          <cell r="A418" t="str">
            <v>S-2026-05-42</v>
          </cell>
          <cell r="B418"/>
          <cell r="C418" t="str">
            <v>RPRO-260515-0277</v>
          </cell>
          <cell r="D418" t="str">
            <v>PUR2605150003S</v>
          </cell>
          <cell r="E418" t="str">
            <v>BDB-000113</v>
          </cell>
          <cell r="F418" t="str">
            <v>PVN-002887</v>
          </cell>
          <cell r="G418" t="str">
            <v>OrthoLite Regular-Hybrid SEEDPEARL/12-0703TPX Hybrid Flat Sheet 0.11D 25+/-4 Asker C 1.1M 2M 5.5mm</v>
          </cell>
          <cell r="H418">
            <v>10</v>
          </cell>
          <cell r="I418">
            <v>10</v>
          </cell>
          <cell r="J418">
            <v>10</v>
          </cell>
          <cell r="K418">
            <v>0</v>
          </cell>
          <cell r="L418" t="str">
            <v>ADIDAS</v>
          </cell>
          <cell r="M418" t="str">
            <v>SSO-2605-00679 - URGENT (5-20)</v>
          </cell>
          <cell r="N418" t="str">
            <v>Molded</v>
          </cell>
          <cell r="O418" t="str">
            <v>Sample</v>
          </cell>
          <cell r="P418">
            <v>46157</v>
          </cell>
          <cell r="Q418">
            <v>46162</v>
          </cell>
          <cell r="R418">
            <v>46159</v>
          </cell>
          <cell r="S418">
            <v>6</v>
          </cell>
          <cell r="T418">
            <v>5</v>
          </cell>
          <cell r="U418">
            <v>5.5</v>
          </cell>
          <cell r="V418">
            <v>0.04</v>
          </cell>
          <cell r="W418">
            <v>1</v>
          </cell>
        </row>
        <row r="419">
          <cell r="A419" t="str">
            <v>S-2026-05-43</v>
          </cell>
          <cell r="B419"/>
          <cell r="C419" t="str">
            <v>RPRO-260515-0278</v>
          </cell>
          <cell r="D419" t="str">
            <v>PUR2605150003S</v>
          </cell>
          <cell r="E419" t="str">
            <v>BDB-000348</v>
          </cell>
          <cell r="F419" t="str">
            <v>PVN-004210</v>
          </cell>
          <cell r="G419" t="str">
            <v>OrthoLite IMPERIAL SEEDPEARL/12-0703TPX Flat Sheet 0.22D 25+/-4 Asker C 1.1M 1.47M 5mm</v>
          </cell>
          <cell r="H419">
            <v>50</v>
          </cell>
          <cell r="I419">
            <v>50</v>
          </cell>
          <cell r="J419">
            <v>50</v>
          </cell>
          <cell r="K419">
            <v>0</v>
          </cell>
          <cell r="L419" t="str">
            <v>ADIDAS</v>
          </cell>
          <cell r="M419" t="str">
            <v>SSO-2605-00682 - URGENT (5-25)</v>
          </cell>
          <cell r="N419" t="str">
            <v>Flat sheet + Molded</v>
          </cell>
          <cell r="O419" t="str">
            <v>Sample</v>
          </cell>
          <cell r="P419">
            <v>46157</v>
          </cell>
          <cell r="Q419">
            <v>46167</v>
          </cell>
          <cell r="R419">
            <v>46164</v>
          </cell>
          <cell r="S419">
            <v>6</v>
          </cell>
          <cell r="T419">
            <v>10</v>
          </cell>
          <cell r="U419">
            <v>5</v>
          </cell>
          <cell r="V419">
            <v>3.5709999999999999E-2</v>
          </cell>
          <cell r="W419">
            <v>2</v>
          </cell>
        </row>
        <row r="420">
          <cell r="A420" t="str">
            <v>S-2026-05-44</v>
          </cell>
          <cell r="B420"/>
          <cell r="C420" t="str">
            <v>RPRO-260515-0279</v>
          </cell>
          <cell r="D420" t="str">
            <v>PUR2605150004S</v>
          </cell>
          <cell r="E420" t="str">
            <v>BDB-000123</v>
          </cell>
          <cell r="F420" t="str">
            <v>PVN-003299</v>
          </cell>
          <cell r="G420" t="str">
            <v>OrthoLite Ultra-Hybrid SEEDPEARL/12-0703TPX Hybrid Flat Sheet 0.085D 25+/-4 Asker C 1.1M 2M 3mm</v>
          </cell>
          <cell r="H420">
            <v>50</v>
          </cell>
          <cell r="I420">
            <v>50</v>
          </cell>
          <cell r="J420">
            <v>50</v>
          </cell>
          <cell r="K420">
            <v>0</v>
          </cell>
          <cell r="L420" t="str">
            <v>ADIDAS</v>
          </cell>
          <cell r="M420" t="str">
            <v>SSO-2605-00694   - URGENT (5-23)</v>
          </cell>
          <cell r="N420" t="str">
            <v>Flat sheet</v>
          </cell>
          <cell r="O420" t="str">
            <v>Sample</v>
          </cell>
          <cell r="P420">
            <v>46157</v>
          </cell>
          <cell r="Q420">
            <v>46165</v>
          </cell>
          <cell r="R420">
            <v>46162</v>
          </cell>
          <cell r="S420">
            <v>6</v>
          </cell>
          <cell r="T420">
            <v>8</v>
          </cell>
          <cell r="U420">
            <v>3</v>
          </cell>
          <cell r="V420">
            <v>2.1739999999999999E-2</v>
          </cell>
          <cell r="W420">
            <v>2</v>
          </cell>
        </row>
        <row r="421">
          <cell r="A421" t="str">
            <v>S-2026-05-45</v>
          </cell>
          <cell r="B421"/>
          <cell r="C421" t="str">
            <v>RPRO-260515-0280</v>
          </cell>
          <cell r="D421" t="str">
            <v>PUR2605150004S</v>
          </cell>
          <cell r="E421" t="str">
            <v>BDB-000058</v>
          </cell>
          <cell r="F421" t="str">
            <v>PVN-001277</v>
          </cell>
          <cell r="G421" t="str">
            <v>OrthoLite Ultra GREEN/16-5932TPX Flat Sheet 0.085D 25+/-4 Asker C 1.1M 2M 4mm</v>
          </cell>
          <cell r="H421">
            <v>50</v>
          </cell>
          <cell r="I421">
            <v>50</v>
          </cell>
          <cell r="J421">
            <v>50</v>
          </cell>
          <cell r="K421">
            <v>0</v>
          </cell>
          <cell r="L421" t="str">
            <v>ADIDAS</v>
          </cell>
          <cell r="M421" t="str">
            <v>SSO-2605-00708   - URGENT (5-25)</v>
          </cell>
          <cell r="N421" t="str">
            <v>Flat sheet</v>
          </cell>
          <cell r="O421" t="str">
            <v>Sample</v>
          </cell>
          <cell r="P421">
            <v>46157</v>
          </cell>
          <cell r="Q421">
            <v>46167</v>
          </cell>
          <cell r="R421">
            <v>46164</v>
          </cell>
          <cell r="S421">
            <v>6</v>
          </cell>
          <cell r="T421">
            <v>10</v>
          </cell>
          <cell r="U421">
            <v>4</v>
          </cell>
          <cell r="V421">
            <v>2.8570000000000002E-2</v>
          </cell>
          <cell r="W421">
            <v>2</v>
          </cell>
        </row>
        <row r="422">
          <cell r="A422" t="str">
            <v>S-2026-05-46</v>
          </cell>
          <cell r="B422"/>
          <cell r="C422" t="str">
            <v>RPRO-260518-0853</v>
          </cell>
          <cell r="D422" t="str">
            <v>PUR2605160001S</v>
          </cell>
          <cell r="E422" t="str">
            <v>BDB-000355</v>
          </cell>
          <cell r="F422" t="str">
            <v>PVN-004320</v>
          </cell>
          <cell r="G422" t="str">
            <v>OrthoLite HybridPlus-Recycled CASTLEROCK/18-0201TPX Hybrid Flat Sheet 0.12D 25+/-4 Asker C 1.1M 2M 5.5mm</v>
          </cell>
          <cell r="H422">
            <v>40</v>
          </cell>
          <cell r="I422">
            <v>40</v>
          </cell>
          <cell r="J422">
            <v>40</v>
          </cell>
          <cell r="K422">
            <v>0</v>
          </cell>
          <cell r="L422" t="str">
            <v>ON RUNNING</v>
          </cell>
          <cell r="M422" t="str">
            <v>SSO-2605-00716</v>
          </cell>
          <cell r="N422" t="str">
            <v>OV-0435</v>
          </cell>
          <cell r="O422" t="str">
            <v>Sample</v>
          </cell>
          <cell r="P422">
            <v>46158</v>
          </cell>
          <cell r="Q422">
            <v>46168</v>
          </cell>
          <cell r="R422">
            <v>46165</v>
          </cell>
          <cell r="S422">
            <v>6</v>
          </cell>
          <cell r="T422">
            <v>10</v>
          </cell>
          <cell r="U422">
            <v>5.5</v>
          </cell>
          <cell r="V422">
            <v>0.04</v>
          </cell>
          <cell r="W422">
            <v>2</v>
          </cell>
        </row>
        <row r="423">
          <cell r="A423" t="str">
            <v>S-2026-05-47</v>
          </cell>
          <cell r="B423"/>
          <cell r="C423" t="str">
            <v>RPRO-260518-0854</v>
          </cell>
          <cell r="D423" t="str">
            <v>PUR2605160001S</v>
          </cell>
          <cell r="E423" t="str">
            <v>BDB-000209</v>
          </cell>
          <cell r="F423" t="str">
            <v>PVN-003465</v>
          </cell>
          <cell r="G423" t="str">
            <v>OrthoLite HybridPlus-Recycled MINT GREEN/11-4805TPX Hybrid Flat Sheet 0.12D 25+/-4 Asker C 1.1M 2M 5.5mm</v>
          </cell>
          <cell r="H423">
            <v>30</v>
          </cell>
          <cell r="I423">
            <v>30</v>
          </cell>
          <cell r="J423">
            <v>30</v>
          </cell>
          <cell r="K423">
            <v>0</v>
          </cell>
          <cell r="L423" t="str">
            <v>ON RUNNING</v>
          </cell>
          <cell r="M423" t="str">
            <v>SSO-2605-00716</v>
          </cell>
          <cell r="N423" t="str">
            <v>OV-0435</v>
          </cell>
          <cell r="O423" t="str">
            <v>Sample</v>
          </cell>
          <cell r="P423">
            <v>46158</v>
          </cell>
          <cell r="Q423">
            <v>46168</v>
          </cell>
          <cell r="R423">
            <v>46165</v>
          </cell>
          <cell r="S423">
            <v>6</v>
          </cell>
          <cell r="T423">
            <v>10</v>
          </cell>
          <cell r="U423">
            <v>5.5</v>
          </cell>
          <cell r="V423">
            <v>0.04</v>
          </cell>
          <cell r="W423">
            <v>2</v>
          </cell>
        </row>
        <row r="424">
          <cell r="A424" t="str">
            <v>S-2026-05-48</v>
          </cell>
          <cell r="B424"/>
          <cell r="C424" t="str">
            <v>RPRO-260518-0855</v>
          </cell>
          <cell r="D424" t="str">
            <v>PUR2605160001S</v>
          </cell>
          <cell r="E424" t="str">
            <v>BDB-000209</v>
          </cell>
          <cell r="F424" t="str">
            <v>PVN-003537</v>
          </cell>
          <cell r="G424" t="str">
            <v>OrthoLite HybridPlus-Recycled MINT GREEN/11-4805TPX Hybrid 0.12D 25+/-4 Asker C 1.1M 2M 4.5mm</v>
          </cell>
          <cell r="H424">
            <v>30</v>
          </cell>
          <cell r="I424">
            <v>30</v>
          </cell>
          <cell r="J424">
            <v>30</v>
          </cell>
          <cell r="K424">
            <v>0</v>
          </cell>
          <cell r="L424" t="str">
            <v>AKU</v>
          </cell>
          <cell r="M424" t="str">
            <v>SSO-2605-00651</v>
          </cell>
          <cell r="N424" t="str">
            <v>OE-0111A</v>
          </cell>
          <cell r="O424" t="str">
            <v>Sample</v>
          </cell>
          <cell r="P424">
            <v>46158</v>
          </cell>
          <cell r="Q424">
            <v>46168</v>
          </cell>
          <cell r="R424">
            <v>46165</v>
          </cell>
          <cell r="S424">
            <v>6</v>
          </cell>
          <cell r="T424">
            <v>10</v>
          </cell>
          <cell r="U424">
            <v>4.5</v>
          </cell>
          <cell r="V424">
            <v>3.2259999999999997E-2</v>
          </cell>
          <cell r="W424">
            <v>1</v>
          </cell>
        </row>
        <row r="425">
          <cell r="A425" t="str">
            <v>S-2026-05-49</v>
          </cell>
          <cell r="B425"/>
          <cell r="C425" t="str">
            <v>RPRO-260518-0856</v>
          </cell>
          <cell r="D425" t="str">
            <v>PUR2605160001S</v>
          </cell>
          <cell r="E425" t="str">
            <v>BDB-000242</v>
          </cell>
          <cell r="F425" t="str">
            <v>PVN-003614</v>
          </cell>
          <cell r="G425" t="str">
            <v>OrthoLite Regular GREY/17-1501TPX Flat Sheet 0.11D 5-10 Asker C 1.1M 2M 3.5mm</v>
          </cell>
          <cell r="H425">
            <v>30</v>
          </cell>
          <cell r="I425">
            <v>30</v>
          </cell>
          <cell r="J425">
            <v>30</v>
          </cell>
          <cell r="K425">
            <v>0</v>
          </cell>
          <cell r="L425" t="str">
            <v>TRAVIS MATHEW</v>
          </cell>
          <cell r="M425" t="str">
            <v>SAMPLE</v>
          </cell>
          <cell r="N425" t="str">
            <v>OV-0272</v>
          </cell>
          <cell r="O425" t="str">
            <v>Sample</v>
          </cell>
          <cell r="P425">
            <v>46158</v>
          </cell>
          <cell r="Q425">
            <v>46168</v>
          </cell>
          <cell r="R425">
            <v>46165</v>
          </cell>
          <cell r="S425">
            <v>6</v>
          </cell>
          <cell r="T425">
            <v>10</v>
          </cell>
          <cell r="U425">
            <v>3.5</v>
          </cell>
          <cell r="V425">
            <v>2.5000000000000001E-2</v>
          </cell>
          <cell r="W425">
            <v>1</v>
          </cell>
        </row>
        <row r="426">
          <cell r="A426" t="str">
            <v>S-2026-05-50</v>
          </cell>
          <cell r="B426" t="str">
            <v xml:space="preserve">rất gấp </v>
          </cell>
          <cell r="C426" t="str">
            <v>RPRO-260518-0857</v>
          </cell>
          <cell r="D426" t="str">
            <v>PUR2605160002S</v>
          </cell>
          <cell r="E426" t="str">
            <v>BDB-000175</v>
          </cell>
          <cell r="F426" t="str">
            <v>PVN-003717</v>
          </cell>
          <cell r="G426" t="str">
            <v>OrthoLite Ultra-Hybrid-Nike SEEDPEARL/12-0703TPX Hybrid 0.085D 25+/-4 Asker C 1.1M 2M 4.5mm</v>
          </cell>
          <cell r="H426">
            <v>40</v>
          </cell>
          <cell r="I426">
            <v>40</v>
          </cell>
          <cell r="J426">
            <v>40</v>
          </cell>
          <cell r="K426">
            <v>0</v>
          </cell>
          <cell r="L426" t="str">
            <v>NIKE</v>
          </cell>
          <cell r="M426" t="str">
            <v>SSO-2605-00721</v>
          </cell>
          <cell r="N426" t="str">
            <v>OV-0112</v>
          </cell>
          <cell r="O426" t="str">
            <v>Sample</v>
          </cell>
          <cell r="P426">
            <v>46158</v>
          </cell>
          <cell r="Q426">
            <v>46163</v>
          </cell>
          <cell r="R426">
            <v>46160</v>
          </cell>
          <cell r="S426">
            <v>6</v>
          </cell>
          <cell r="T426">
            <v>5</v>
          </cell>
          <cell r="U426">
            <v>4.5</v>
          </cell>
          <cell r="V426">
            <v>3.2259999999999997E-2</v>
          </cell>
          <cell r="W426">
            <v>2</v>
          </cell>
        </row>
        <row r="427">
          <cell r="A427" t="str">
            <v>S-2026-05-51</v>
          </cell>
          <cell r="B427" t="str">
            <v xml:space="preserve">rất gấp </v>
          </cell>
          <cell r="C427" t="str">
            <v>RPRO-260518-0858</v>
          </cell>
          <cell r="D427" t="str">
            <v>PUR2605160002S</v>
          </cell>
          <cell r="E427" t="str">
            <v>BDB-000175</v>
          </cell>
          <cell r="F427" t="str">
            <v>PVN-002992</v>
          </cell>
          <cell r="G427" t="str">
            <v>OrthoLite Ultra-Hybrid-Nike SEEDPEARL/12-0703TPX Hybrid 0.085D 25+/-4 Asker C 1.1M 2M 3.5mm</v>
          </cell>
          <cell r="H427">
            <v>20</v>
          </cell>
          <cell r="I427">
            <v>20</v>
          </cell>
          <cell r="J427">
            <v>20</v>
          </cell>
          <cell r="K427">
            <v>0</v>
          </cell>
          <cell r="L427" t="str">
            <v>NIKE</v>
          </cell>
          <cell r="M427" t="str">
            <v>SSO-2605-00722</v>
          </cell>
          <cell r="N427" t="str">
            <v>OV-0085</v>
          </cell>
          <cell r="O427" t="str">
            <v>Sample</v>
          </cell>
          <cell r="P427">
            <v>46158</v>
          </cell>
          <cell r="Q427">
            <v>46163</v>
          </cell>
          <cell r="R427">
            <v>46160</v>
          </cell>
          <cell r="S427">
            <v>6</v>
          </cell>
          <cell r="T427">
            <v>5</v>
          </cell>
          <cell r="U427">
            <v>3.5</v>
          </cell>
          <cell r="V427">
            <v>2.5000000000000001E-2</v>
          </cell>
          <cell r="W427">
            <v>1</v>
          </cell>
        </row>
        <row r="428">
          <cell r="A428" t="str">
            <v>S-2026-05-52</v>
          </cell>
          <cell r="B428" t="str">
            <v xml:space="preserve">rất gấp </v>
          </cell>
          <cell r="C428" t="str">
            <v>RPRO-260518-0859</v>
          </cell>
          <cell r="D428" t="str">
            <v xml:space="preserve">PUR2605160001S   </v>
          </cell>
          <cell r="E428" t="str">
            <v>BDB-000343</v>
          </cell>
          <cell r="F428" t="str">
            <v>PVN-004420</v>
          </cell>
          <cell r="G428" t="str">
            <v>Ortholite X-25 AIR BLUE/16-4134TPX Flat Sheet 0.12D 20+/-4 Asker C 1.1M 2M 6.2mm</v>
          </cell>
          <cell r="H428">
            <v>5</v>
          </cell>
          <cell r="I428">
            <v>5</v>
          </cell>
          <cell r="J428">
            <v>5</v>
          </cell>
          <cell r="K428">
            <v>0</v>
          </cell>
          <cell r="L428" t="str">
            <v>ADIDAS</v>
          </cell>
          <cell r="M428" t="str">
            <v>SSO-2605-00634   - TOP URGENT (5-20)</v>
          </cell>
          <cell r="N428" t="str">
            <v>Molded</v>
          </cell>
          <cell r="O428" t="str">
            <v>Sample</v>
          </cell>
          <cell r="P428">
            <v>46158</v>
          </cell>
          <cell r="Q428">
            <v>46163</v>
          </cell>
          <cell r="R428">
            <v>46160</v>
          </cell>
          <cell r="S428">
            <v>6</v>
          </cell>
          <cell r="T428">
            <v>5</v>
          </cell>
          <cell r="U428">
            <v>6.2</v>
          </cell>
          <cell r="V428">
            <v>4.3479999999999998E-2</v>
          </cell>
          <cell r="W428">
            <v>1</v>
          </cell>
        </row>
        <row r="429">
          <cell r="A429" t="str">
            <v>S-2026-05-53</v>
          </cell>
          <cell r="B429"/>
          <cell r="C429" t="str">
            <v>RPRO-260518-0860</v>
          </cell>
          <cell r="D429" t="str">
            <v xml:space="preserve">PUR2605170001S   </v>
          </cell>
          <cell r="E429" t="str">
            <v>BDB-000123</v>
          </cell>
          <cell r="F429" t="str">
            <v>PVN-003298</v>
          </cell>
          <cell r="G429" t="str">
            <v>OrthoLite Ultra-Hybrid SEEDPEARL/12-0703TPX Hybrid Flat Sheet 0.085D 25+/-4 Asker C 1.1M 2M 4mm</v>
          </cell>
          <cell r="H429">
            <v>150</v>
          </cell>
          <cell r="I429">
            <v>150</v>
          </cell>
          <cell r="J429">
            <v>150</v>
          </cell>
          <cell r="K429">
            <v>0</v>
          </cell>
          <cell r="L429" t="str">
            <v>ADIDAS</v>
          </cell>
          <cell r="M429" t="str">
            <v>SSO-2605-00772   - URGENT (5-28)</v>
          </cell>
          <cell r="N429" t="str">
            <v>Flat Sheet</v>
          </cell>
          <cell r="O429" t="str">
            <v>Sample</v>
          </cell>
          <cell r="P429">
            <v>46159</v>
          </cell>
          <cell r="Q429">
            <v>46169</v>
          </cell>
          <cell r="R429">
            <v>46166</v>
          </cell>
          <cell r="S429">
            <v>6</v>
          </cell>
          <cell r="T429">
            <v>10</v>
          </cell>
          <cell r="U429">
            <v>4</v>
          </cell>
          <cell r="V429">
            <v>2.8570000000000002E-2</v>
          </cell>
          <cell r="W429">
            <v>5</v>
          </cell>
        </row>
        <row r="430">
          <cell r="A430" t="str">
            <v>S-2026-05-54</v>
          </cell>
          <cell r="B430"/>
          <cell r="C430" t="str">
            <v>RPRO-260518-0861</v>
          </cell>
          <cell r="D430" t="str">
            <v xml:space="preserve">PUR2605170001S   </v>
          </cell>
          <cell r="E430" t="str">
            <v>BDB-000123</v>
          </cell>
          <cell r="F430" t="str">
            <v>PVN-003299</v>
          </cell>
          <cell r="G430" t="str">
            <v>OrthoLite Ultra-Hybrid SEEDPEARL/12-0703TPX Hybrid Flat Sheet 0.085D 25+/-4 Asker C 1.1M 2M 3mm</v>
          </cell>
          <cell r="H430">
            <v>150</v>
          </cell>
          <cell r="I430">
            <v>150</v>
          </cell>
          <cell r="J430">
            <v>150</v>
          </cell>
          <cell r="K430">
            <v>0</v>
          </cell>
          <cell r="L430" t="str">
            <v>ADIDAS</v>
          </cell>
          <cell r="M430" t="str">
            <v>SSO-2605-00772   - URGENT (5-28)</v>
          </cell>
          <cell r="N430" t="str">
            <v>Flat sheet</v>
          </cell>
          <cell r="O430" t="str">
            <v>Sample</v>
          </cell>
          <cell r="P430">
            <v>46159</v>
          </cell>
          <cell r="Q430">
            <v>46169</v>
          </cell>
          <cell r="R430">
            <v>46166</v>
          </cell>
          <cell r="S430">
            <v>6</v>
          </cell>
          <cell r="T430">
            <v>10</v>
          </cell>
          <cell r="U430">
            <v>3</v>
          </cell>
          <cell r="V430">
            <v>2.1739999999999999E-2</v>
          </cell>
          <cell r="W430">
            <v>4</v>
          </cell>
        </row>
        <row r="431">
          <cell r="A431" t="str">
            <v>S-2026-05-55</v>
          </cell>
          <cell r="B431"/>
          <cell r="C431" t="str">
            <v>RPRO-260518-0862</v>
          </cell>
          <cell r="D431" t="str">
            <v xml:space="preserve">PUR-202605180001S </v>
          </cell>
          <cell r="E431" t="str">
            <v>BDB-000235</v>
          </cell>
          <cell r="F431" t="str">
            <v>PVN-003576</v>
          </cell>
          <cell r="G431" t="str">
            <v>OrthoLite X-55-Hybrid FOSSIL/17-0909TPX Hybrid 0.16D 25+/-4 Asker C 1.1M 1.7M 12mm</v>
          </cell>
          <cell r="H431">
            <v>50</v>
          </cell>
          <cell r="I431">
            <v>50</v>
          </cell>
          <cell r="J431">
            <v>50</v>
          </cell>
          <cell r="K431">
            <v>0</v>
          </cell>
          <cell r="L431" t="str">
            <v>ASICS</v>
          </cell>
          <cell r="M431" t="str">
            <v>Sample</v>
          </cell>
          <cell r="N431" t="str">
            <v>MOLDED</v>
          </cell>
          <cell r="O431" t="str">
            <v>Sample</v>
          </cell>
          <cell r="P431">
            <v>46160</v>
          </cell>
          <cell r="Q431">
            <v>46169</v>
          </cell>
          <cell r="R431">
            <v>46166</v>
          </cell>
          <cell r="S431">
            <v>6</v>
          </cell>
          <cell r="T431">
            <v>9</v>
          </cell>
          <cell r="U431">
            <v>12</v>
          </cell>
          <cell r="V431">
            <v>9.0909999999999991E-2</v>
          </cell>
          <cell r="W431">
            <v>5</v>
          </cell>
        </row>
        <row r="432">
          <cell r="A432" t="str">
            <v>S-2026-05-56</v>
          </cell>
          <cell r="B432"/>
          <cell r="C432" t="str">
            <v>RPRO-260518-0863</v>
          </cell>
          <cell r="D432" t="str">
            <v xml:space="preserve">PUR-202605180001S </v>
          </cell>
          <cell r="E432" t="str">
            <v>BDB-000234</v>
          </cell>
          <cell r="F432" t="str">
            <v>PVN-003581</v>
          </cell>
          <cell r="G432" t="str">
            <v>OrthoLite X-30-Hybrid BROWN SUGAR/17-1134TPX Hybrid Flat Sheet 0.13D 25+/-4 Asker C 1.1M 2M 12mm</v>
          </cell>
          <cell r="H432">
            <v>50</v>
          </cell>
          <cell r="I432">
            <v>50</v>
          </cell>
          <cell r="J432">
            <v>50</v>
          </cell>
          <cell r="K432">
            <v>0</v>
          </cell>
          <cell r="L432" t="str">
            <v>ASICS</v>
          </cell>
          <cell r="M432" t="str">
            <v>Sample</v>
          </cell>
          <cell r="N432" t="str">
            <v>MOLDED</v>
          </cell>
          <cell r="O432" t="str">
            <v>Sample</v>
          </cell>
          <cell r="P432">
            <v>46160</v>
          </cell>
          <cell r="Q432">
            <v>46170</v>
          </cell>
          <cell r="R432">
            <v>46167</v>
          </cell>
          <cell r="S432">
            <v>6</v>
          </cell>
          <cell r="T432">
            <v>10</v>
          </cell>
          <cell r="U432">
            <v>12</v>
          </cell>
          <cell r="V432">
            <v>9.0909999999999991E-2</v>
          </cell>
          <cell r="W432">
            <v>5</v>
          </cell>
        </row>
        <row r="433">
          <cell r="A433" t="str">
            <v>S-2026-05-57</v>
          </cell>
          <cell r="B433"/>
          <cell r="C433" t="str">
            <v>RPRO-260518-0864</v>
          </cell>
          <cell r="D433" t="str">
            <v xml:space="preserve">PUR-202605180001S </v>
          </cell>
          <cell r="E433" t="str">
            <v>BDB-000117</v>
          </cell>
          <cell r="F433" t="str">
            <v>PVN-003234</v>
          </cell>
          <cell r="G433" t="str">
            <v>OrthoLite X-35-Hybrid SEEDPEARL/12-0703TPX Hybrid Flat Sheet 0.145D 25+/-4 Asker C 1.1M 2M 5.5mm</v>
          </cell>
          <cell r="H433">
            <v>40</v>
          </cell>
          <cell r="I433">
            <v>40</v>
          </cell>
          <cell r="J433">
            <v>40</v>
          </cell>
          <cell r="K433">
            <v>0</v>
          </cell>
          <cell r="L433" t="str">
            <v>PUMA</v>
          </cell>
          <cell r="M433" t="str">
            <v>Sample</v>
          </cell>
          <cell r="N433" t="str">
            <v>MOLDED</v>
          </cell>
          <cell r="O433" t="str">
            <v>Sample</v>
          </cell>
          <cell r="P433">
            <v>46160</v>
          </cell>
          <cell r="Q433">
            <v>46170</v>
          </cell>
          <cell r="R433">
            <v>46167</v>
          </cell>
          <cell r="S433">
            <v>6</v>
          </cell>
          <cell r="T433">
            <v>10</v>
          </cell>
          <cell r="U433">
            <v>5.5</v>
          </cell>
          <cell r="V433">
            <v>0.04</v>
          </cell>
          <cell r="W433">
            <v>2</v>
          </cell>
        </row>
        <row r="434">
          <cell r="A434" t="str">
            <v>S-2026-05-58</v>
          </cell>
          <cell r="B434"/>
          <cell r="C434" t="str">
            <v>RPRO-260518-0865</v>
          </cell>
          <cell r="D434" t="str">
            <v xml:space="preserve">PUR-202605180001S </v>
          </cell>
          <cell r="E434" t="str">
            <v>BDB-000339</v>
          </cell>
          <cell r="F434" t="str">
            <v>PVN-004178</v>
          </cell>
          <cell r="G434" t="str">
            <v>OrthoLite Float NEUTRAL GRAY/17-4402TPX Flat Sheet 0.12D 21+/-4 Asker C 1.1M 2M 5.5mm</v>
          </cell>
          <cell r="H434">
            <v>40</v>
          </cell>
          <cell r="I434">
            <v>40</v>
          </cell>
          <cell r="J434">
            <v>40</v>
          </cell>
          <cell r="K434">
            <v>0</v>
          </cell>
          <cell r="L434" t="str">
            <v>PUMA</v>
          </cell>
          <cell r="M434" t="str">
            <v>Sample</v>
          </cell>
          <cell r="N434" t="str">
            <v>MOLDED</v>
          </cell>
          <cell r="O434" t="str">
            <v>Sample</v>
          </cell>
          <cell r="P434">
            <v>46160</v>
          </cell>
          <cell r="Q434">
            <v>46170</v>
          </cell>
          <cell r="R434">
            <v>46167</v>
          </cell>
          <cell r="S434">
            <v>6</v>
          </cell>
          <cell r="T434">
            <v>10</v>
          </cell>
          <cell r="U434">
            <v>5.5</v>
          </cell>
          <cell r="V434">
            <v>0.04</v>
          </cell>
          <cell r="W434">
            <v>2</v>
          </cell>
        </row>
        <row r="435">
          <cell r="A435" t="str">
            <v>S-2026-05-59</v>
          </cell>
          <cell r="B435"/>
          <cell r="C435" t="str">
            <v>RPRO-260518-0866</v>
          </cell>
          <cell r="D435" t="str">
            <v xml:space="preserve">PUR-202605180001S </v>
          </cell>
          <cell r="E435" t="str">
            <v>BDB-000051</v>
          </cell>
          <cell r="F435" t="str">
            <v>PVN-003450</v>
          </cell>
          <cell r="G435" t="str">
            <v>OrthoLite X-40 TRUE BLUE/19-4057TPX Flat Sheet 0.16D 25+/-4 Asker C 1.1M 1.7M 6mm</v>
          </cell>
          <cell r="H435">
            <v>40</v>
          </cell>
          <cell r="I435">
            <v>40</v>
          </cell>
          <cell r="J435">
            <v>40</v>
          </cell>
          <cell r="K435">
            <v>0</v>
          </cell>
          <cell r="L435" t="str">
            <v>ASICS</v>
          </cell>
          <cell r="M435" t="str">
            <v>Sample</v>
          </cell>
          <cell r="N435" t="str">
            <v>MOLDED</v>
          </cell>
          <cell r="O435" t="str">
            <v>Sample</v>
          </cell>
          <cell r="P435">
            <v>46160</v>
          </cell>
          <cell r="Q435">
            <v>46170</v>
          </cell>
          <cell r="R435">
            <v>46167</v>
          </cell>
          <cell r="S435">
            <v>6</v>
          </cell>
          <cell r="T435">
            <v>10</v>
          </cell>
          <cell r="U435">
            <v>6</v>
          </cell>
          <cell r="V435">
            <v>4.3479999999999998E-2</v>
          </cell>
          <cell r="W435">
            <v>2</v>
          </cell>
        </row>
        <row r="436">
          <cell r="A436" t="str">
            <v>S-2026-05-60</v>
          </cell>
          <cell r="B436"/>
          <cell r="C436" t="str">
            <v>RPRO-260520-0192</v>
          </cell>
          <cell r="D436" t="str">
            <v xml:space="preserve">PUR2605190001S   </v>
          </cell>
          <cell r="E436" t="str">
            <v>BDB-000067</v>
          </cell>
          <cell r="F436" t="str">
            <v>PVN-001415</v>
          </cell>
          <cell r="G436" t="str">
            <v>OrthoLite Ultra SEEDPEARL/12-0703TPX Flat Sheet 0.085D 25+/-4 Asker C 1.1M 2M 4mm</v>
          </cell>
          <cell r="H436">
            <v>70</v>
          </cell>
          <cell r="I436">
            <v>70</v>
          </cell>
          <cell r="J436">
            <v>70</v>
          </cell>
          <cell r="K436">
            <v>0</v>
          </cell>
          <cell r="L436" t="str">
            <v>ADIDAS</v>
          </cell>
          <cell r="M436" t="str">
            <v>SSO-2605-00874   - URGENT (5-28)</v>
          </cell>
          <cell r="N436" t="str">
            <v>Flat Sheet</v>
          </cell>
          <cell r="O436" t="str">
            <v>Sample</v>
          </cell>
          <cell r="P436">
            <v>46161</v>
          </cell>
          <cell r="Q436">
            <v>46170</v>
          </cell>
          <cell r="R436">
            <v>46167</v>
          </cell>
          <cell r="S436">
            <v>6</v>
          </cell>
          <cell r="T436">
            <v>9</v>
          </cell>
          <cell r="U436">
            <v>4</v>
          </cell>
          <cell r="V436">
            <v>2.8570000000000002E-2</v>
          </cell>
          <cell r="W436">
            <v>2</v>
          </cell>
        </row>
        <row r="437">
          <cell r="A437" t="str">
            <v>S-2026-05-61</v>
          </cell>
          <cell r="B437"/>
          <cell r="C437" t="str">
            <v>RPRO-260520-0193</v>
          </cell>
          <cell r="D437" t="str">
            <v>PUR2600502000001S</v>
          </cell>
          <cell r="E437" t="str">
            <v>BDB-000154</v>
          </cell>
          <cell r="F437" t="str">
            <v>PVN-003347</v>
          </cell>
          <cell r="G437" t="str">
            <v>OrthoLite X-40-Nike TRUE BLUE/19-4057TPX Flat Sheet 0.16D 35+/-4 Asker C 1.1M 1.7M 4mm</v>
          </cell>
          <cell r="H437">
            <v>40</v>
          </cell>
          <cell r="I437">
            <v>40</v>
          </cell>
          <cell r="J437">
            <v>40</v>
          </cell>
          <cell r="K437">
            <v>0</v>
          </cell>
          <cell r="L437" t="str">
            <v>NIKE</v>
          </cell>
          <cell r="M437" t="str">
            <v>Sample</v>
          </cell>
          <cell r="N437" t="str">
            <v>MOLDED</v>
          </cell>
          <cell r="O437" t="str">
            <v>Sample</v>
          </cell>
          <cell r="P437">
            <v>46162</v>
          </cell>
          <cell r="Q437">
            <v>46171</v>
          </cell>
          <cell r="R437">
            <v>46168</v>
          </cell>
          <cell r="S437">
            <v>6</v>
          </cell>
          <cell r="T437">
            <v>9</v>
          </cell>
          <cell r="U437">
            <v>4</v>
          </cell>
          <cell r="V437">
            <v>2.8570000000000002E-2</v>
          </cell>
          <cell r="W437">
            <v>2</v>
          </cell>
        </row>
        <row r="438">
          <cell r="A438" t="str">
            <v>S-2026-05-62</v>
          </cell>
          <cell r="B438"/>
          <cell r="C438" t="str">
            <v>RPRO-260520-0194</v>
          </cell>
          <cell r="D438" t="str">
            <v>PUR2600502000001S</v>
          </cell>
          <cell r="E438" t="str">
            <v>BDB-000143</v>
          </cell>
          <cell r="F438" t="str">
            <v>PVN-002066</v>
          </cell>
          <cell r="G438" t="str">
            <v>OrthoLite Regular-Nike SEEDPEARL/12-0703TPX Flat Sheet 0.11D 25+/-4 Asker C 1.1M 1.7M 2mm</v>
          </cell>
          <cell r="H438">
            <v>40</v>
          </cell>
          <cell r="I438">
            <v>40</v>
          </cell>
          <cell r="J438">
            <v>40</v>
          </cell>
          <cell r="K438">
            <v>0</v>
          </cell>
          <cell r="L438" t="str">
            <v>NIKE</v>
          </cell>
          <cell r="M438" t="str">
            <v>Sample</v>
          </cell>
          <cell r="N438" t="str">
            <v>DIE CUT</v>
          </cell>
          <cell r="O438" t="str">
            <v>Sample</v>
          </cell>
          <cell r="P438">
            <v>46162</v>
          </cell>
          <cell r="Q438">
            <v>46171</v>
          </cell>
          <cell r="R438">
            <v>46168</v>
          </cell>
          <cell r="S438">
            <v>6</v>
          </cell>
          <cell r="T438">
            <v>9</v>
          </cell>
          <cell r="U438">
            <v>2</v>
          </cell>
          <cell r="V438">
            <v>1.4290000000000001E-2</v>
          </cell>
          <cell r="W438">
            <v>1</v>
          </cell>
        </row>
        <row r="439">
          <cell r="A439" t="str">
            <v>S-2026-05-63</v>
          </cell>
          <cell r="B439"/>
          <cell r="C439" t="str">
            <v>RPRO-260520-0195</v>
          </cell>
          <cell r="D439" t="str">
            <v>PUR2600502000001S</v>
          </cell>
          <cell r="E439" t="str">
            <v>BDB-000125</v>
          </cell>
          <cell r="F439" t="str">
            <v>PVN-001579</v>
          </cell>
          <cell r="G439" t="str">
            <v>OrthoLite Regular-Nike AIR BLUE/16-4134TPX Flat Sheet 0.11D 25+/-4 Asker C 1.1M 2M 4mm</v>
          </cell>
          <cell r="H439">
            <v>40</v>
          </cell>
          <cell r="I439">
            <v>40</v>
          </cell>
          <cell r="J439">
            <v>40</v>
          </cell>
          <cell r="K439">
            <v>0</v>
          </cell>
          <cell r="L439" t="str">
            <v>NIKE</v>
          </cell>
          <cell r="M439" t="str">
            <v>Sample</v>
          </cell>
          <cell r="N439" t="str">
            <v>DIE CUT</v>
          </cell>
          <cell r="O439" t="str">
            <v>Sample</v>
          </cell>
          <cell r="P439">
            <v>46162</v>
          </cell>
          <cell r="Q439">
            <v>46171</v>
          </cell>
          <cell r="R439">
            <v>46168</v>
          </cell>
          <cell r="S439">
            <v>6</v>
          </cell>
          <cell r="T439">
            <v>9</v>
          </cell>
          <cell r="U439">
            <v>4</v>
          </cell>
          <cell r="V439">
            <v>2.8570000000000002E-2</v>
          </cell>
          <cell r="W439">
            <v>2</v>
          </cell>
        </row>
        <row r="440">
          <cell r="A440" t="str">
            <v>S-2026-05-64</v>
          </cell>
          <cell r="B440"/>
          <cell r="C440" t="str">
            <v>RPRO-260520-0196</v>
          </cell>
          <cell r="D440" t="str">
            <v>PUR2600502000001S</v>
          </cell>
          <cell r="E440" t="str">
            <v>BDB-000373</v>
          </cell>
          <cell r="F440" t="str">
            <v>PVN-004315</v>
          </cell>
          <cell r="G440" t="str">
            <v>OrthoLite X-25-Nike BILLIARD/16-5427TPX Flat Sheet 0.12D 20+/-4 Asker C 1.1M 2M 5mm</v>
          </cell>
          <cell r="H440">
            <v>30</v>
          </cell>
          <cell r="I440">
            <v>30</v>
          </cell>
          <cell r="J440">
            <v>30</v>
          </cell>
          <cell r="K440">
            <v>0</v>
          </cell>
          <cell r="L440" t="str">
            <v>NIKE</v>
          </cell>
          <cell r="M440" t="str">
            <v>Sample</v>
          </cell>
          <cell r="N440" t="str">
            <v>DIE CUT</v>
          </cell>
          <cell r="O440" t="str">
            <v>Sample</v>
          </cell>
          <cell r="P440">
            <v>46162</v>
          </cell>
          <cell r="Q440">
            <v>46171</v>
          </cell>
          <cell r="R440">
            <v>46168</v>
          </cell>
          <cell r="S440">
            <v>6</v>
          </cell>
          <cell r="T440">
            <v>9</v>
          </cell>
          <cell r="U440">
            <v>5</v>
          </cell>
          <cell r="V440">
            <v>3.5709999999999999E-2</v>
          </cell>
          <cell r="W440">
            <v>2</v>
          </cell>
        </row>
        <row r="441">
          <cell r="A441" t="str">
            <v>S-2026-05-65</v>
          </cell>
          <cell r="B441"/>
          <cell r="C441" t="str">
            <v>RPRO-260520-0197</v>
          </cell>
          <cell r="D441" t="str">
            <v>PUR2600502000001S</v>
          </cell>
          <cell r="E441" t="str">
            <v>BDB-000175</v>
          </cell>
          <cell r="F441" t="str">
            <v>PVN-002966</v>
          </cell>
          <cell r="G441" t="str">
            <v>OrthoLite Ultra-Hybrid-Nike SEEDPEARL/12-0703TPX Hybrid Flat Sheet 0.085D 25+/-4 Asker C 1.1M 2M 4mm</v>
          </cell>
          <cell r="H441">
            <v>50</v>
          </cell>
          <cell r="I441">
            <v>50</v>
          </cell>
          <cell r="J441">
            <v>50</v>
          </cell>
          <cell r="K441">
            <v>0</v>
          </cell>
          <cell r="L441" t="str">
            <v>NIKE</v>
          </cell>
          <cell r="M441" t="str">
            <v>Sample</v>
          </cell>
          <cell r="N441" t="str">
            <v>MOLDED</v>
          </cell>
          <cell r="O441" t="str">
            <v>Sample</v>
          </cell>
          <cell r="P441">
            <v>46162</v>
          </cell>
          <cell r="Q441">
            <v>46171</v>
          </cell>
          <cell r="R441">
            <v>46168</v>
          </cell>
          <cell r="S441">
            <v>6</v>
          </cell>
          <cell r="T441">
            <v>9</v>
          </cell>
          <cell r="U441">
            <v>4</v>
          </cell>
          <cell r="V441">
            <v>2.8570000000000002E-2</v>
          </cell>
          <cell r="W441">
            <v>2</v>
          </cell>
        </row>
        <row r="442">
          <cell r="A442" t="str">
            <v>S-2026-05-66</v>
          </cell>
          <cell r="B442"/>
          <cell r="C442" t="str">
            <v>RPRO-260520-0225</v>
          </cell>
          <cell r="D442" t="str">
            <v>PUR-202605200002S</v>
          </cell>
          <cell r="E442" t="str">
            <v>BDB-000113</v>
          </cell>
          <cell r="F442" t="str">
            <v>PVN-002503</v>
          </cell>
          <cell r="G442" t="str">
            <v>OrthoLite Regular-Hybrid SEEDPEARL/12-0703TPX Hybrid Flat Sheet 0.11D 25+/-4 Asker C 1.1M 2M 4mm</v>
          </cell>
          <cell r="H442">
            <v>30</v>
          </cell>
          <cell r="I442">
            <v>30</v>
          </cell>
          <cell r="J442">
            <v>30</v>
          </cell>
          <cell r="K442">
            <v>0</v>
          </cell>
          <cell r="L442" t="str">
            <v>ASICS</v>
          </cell>
          <cell r="M442" t="str">
            <v>Sample</v>
          </cell>
          <cell r="N442" t="str">
            <v>DIE-CUT</v>
          </cell>
          <cell r="O442" t="str">
            <v>Sample</v>
          </cell>
          <cell r="P442">
            <v>46162</v>
          </cell>
          <cell r="Q442">
            <v>46171</v>
          </cell>
          <cell r="R442">
            <v>46168</v>
          </cell>
          <cell r="S442">
            <v>6</v>
          </cell>
          <cell r="T442">
            <v>9</v>
          </cell>
          <cell r="U442">
            <v>4</v>
          </cell>
          <cell r="V442">
            <v>2.8570000000000002E-2</v>
          </cell>
          <cell r="W442">
            <v>1</v>
          </cell>
        </row>
        <row r="443">
          <cell r="A443" t="str">
            <v>S-2026-05-67</v>
          </cell>
          <cell r="B443"/>
          <cell r="C443" t="str">
            <v>RPRO-260520-0226</v>
          </cell>
          <cell r="D443" t="str">
            <v>PUR-202605200002S</v>
          </cell>
          <cell r="E443" t="str">
            <v>BDB-000113</v>
          </cell>
          <cell r="F443" t="str">
            <v>PVN-002688</v>
          </cell>
          <cell r="G443" t="str">
            <v>OrthoLite Regular-Hybrid SEEDPEARL/12-0703TPX Hybrid 0.11D 25+/-4 Asker C 1.1M 2M 6mm</v>
          </cell>
          <cell r="H443">
            <v>80</v>
          </cell>
          <cell r="I443">
            <v>80</v>
          </cell>
          <cell r="J443">
            <v>80</v>
          </cell>
          <cell r="K443">
            <v>0</v>
          </cell>
          <cell r="L443" t="str">
            <v>ASICS</v>
          </cell>
          <cell r="M443" t="str">
            <v>Sample</v>
          </cell>
          <cell r="N443" t="str">
            <v>MOLDED</v>
          </cell>
          <cell r="O443" t="str">
            <v>Sample</v>
          </cell>
          <cell r="P443">
            <v>46162</v>
          </cell>
          <cell r="Q443">
            <v>46171</v>
          </cell>
          <cell r="R443">
            <v>46168</v>
          </cell>
          <cell r="S443">
            <v>6</v>
          </cell>
          <cell r="T443">
            <v>9</v>
          </cell>
          <cell r="U443">
            <v>6</v>
          </cell>
          <cell r="V443">
            <v>4.3479999999999998E-2</v>
          </cell>
          <cell r="W443">
            <v>4</v>
          </cell>
        </row>
        <row r="444">
          <cell r="A444" t="str">
            <v>S-2026-05-68</v>
          </cell>
          <cell r="B444"/>
          <cell r="C444" t="str">
            <v>RPRO-260520-0227</v>
          </cell>
          <cell r="D444" t="str">
            <v>PUR-202605200002S</v>
          </cell>
          <cell r="E444" t="str">
            <v>BDB-000113</v>
          </cell>
          <cell r="F444" t="str">
            <v>PVN-003161</v>
          </cell>
          <cell r="G444" t="str">
            <v>OrthoLite Regular-Hybrid SEEDPEARL/12-0703TPX Hybrid Flat Sheet 0.11D 25+/-4 Asker C 1.1M 2M 2.5mm</v>
          </cell>
          <cell r="H444">
            <v>20</v>
          </cell>
          <cell r="I444">
            <v>20</v>
          </cell>
          <cell r="J444">
            <v>20</v>
          </cell>
          <cell r="K444">
            <v>0</v>
          </cell>
          <cell r="L444" t="str">
            <v>ASICS</v>
          </cell>
          <cell r="M444" t="str">
            <v>Sample</v>
          </cell>
          <cell r="N444" t="str">
            <v>FL SHEET</v>
          </cell>
          <cell r="O444" t="str">
            <v>Sample</v>
          </cell>
          <cell r="P444">
            <v>46162</v>
          </cell>
          <cell r="Q444">
            <v>46171</v>
          </cell>
          <cell r="R444">
            <v>46168</v>
          </cell>
          <cell r="S444">
            <v>6</v>
          </cell>
          <cell r="T444">
            <v>9</v>
          </cell>
          <cell r="U444">
            <v>2.5</v>
          </cell>
          <cell r="V444">
            <v>1.7860000000000001E-2</v>
          </cell>
          <cell r="W444">
            <v>1</v>
          </cell>
        </row>
        <row r="445">
          <cell r="A445" t="str">
            <v>S-2026-05-69</v>
          </cell>
          <cell r="B445"/>
          <cell r="C445" t="str">
            <v>RPRO-260520-0228</v>
          </cell>
          <cell r="D445" t="str">
            <v>PUR-202605200002S</v>
          </cell>
          <cell r="E445" t="str">
            <v>BDB-000179</v>
          </cell>
          <cell r="F445" t="str">
            <v>PVN-004059</v>
          </cell>
          <cell r="G445" t="str">
            <v>OrthoLite X-55 RED/19-1764TPX Flat Sheet 0.16D 25+/-4 Asker C 1.1M 1.7M 5.2mm</v>
          </cell>
          <cell r="H445">
            <v>30</v>
          </cell>
          <cell r="I445">
            <v>30</v>
          </cell>
          <cell r="J445">
            <v>30</v>
          </cell>
          <cell r="K445">
            <v>0</v>
          </cell>
          <cell r="L445" t="str">
            <v>NEW BALANCE</v>
          </cell>
          <cell r="M445" t="str">
            <v>Sample</v>
          </cell>
          <cell r="N445" t="str">
            <v>MOLDED</v>
          </cell>
          <cell r="O445" t="str">
            <v>Sample</v>
          </cell>
          <cell r="P445">
            <v>46162</v>
          </cell>
          <cell r="Q445">
            <v>46171</v>
          </cell>
          <cell r="R445">
            <v>46168</v>
          </cell>
          <cell r="S445">
            <v>6</v>
          </cell>
          <cell r="T445">
            <v>9</v>
          </cell>
          <cell r="U445">
            <v>5.2</v>
          </cell>
          <cell r="V445">
            <v>3.8460000000000001E-2</v>
          </cell>
          <cell r="W445">
            <v>2</v>
          </cell>
        </row>
        <row r="446">
          <cell r="A446" t="str">
            <v>S-2026-05-70</v>
          </cell>
          <cell r="B446"/>
          <cell r="C446" t="str">
            <v>RPRO-260520-0229</v>
          </cell>
          <cell r="D446" t="str">
            <v>PUR-202605200002S</v>
          </cell>
          <cell r="E446" t="str">
            <v>BDB-000234</v>
          </cell>
          <cell r="F446" t="str">
            <v>PVN-004424</v>
          </cell>
          <cell r="G446" t="str">
            <v>OrthoLite X-30-Hybrid BROWN SUGAR/17-1134TPX Hybrid Flat Sheet 0.13D 25+/-4 Asker C 1.1M 2M 6mm</v>
          </cell>
          <cell r="H446">
            <v>20</v>
          </cell>
          <cell r="I446">
            <v>20</v>
          </cell>
          <cell r="J446">
            <v>20</v>
          </cell>
          <cell r="K446">
            <v>0</v>
          </cell>
          <cell r="L446" t="str">
            <v>ASICS</v>
          </cell>
          <cell r="M446" t="str">
            <v>Sample</v>
          </cell>
          <cell r="N446" t="str">
            <v>MOLDED</v>
          </cell>
          <cell r="O446" t="str">
            <v>Sample</v>
          </cell>
          <cell r="P446">
            <v>46162</v>
          </cell>
          <cell r="Q446">
            <v>46171</v>
          </cell>
          <cell r="R446">
            <v>46168</v>
          </cell>
          <cell r="S446">
            <v>6</v>
          </cell>
          <cell r="T446">
            <v>9</v>
          </cell>
          <cell r="U446">
            <v>6</v>
          </cell>
          <cell r="V446">
            <v>4.1669999999999999E-2</v>
          </cell>
          <cell r="W446">
            <v>1</v>
          </cell>
        </row>
        <row r="447">
          <cell r="A447" t="str">
            <v>S-2026-05-71</v>
          </cell>
          <cell r="B447"/>
          <cell r="C447" t="str">
            <v>RPRO-260521-0669</v>
          </cell>
          <cell r="D447" t="str">
            <v xml:space="preserve">PUR2605210001S  </v>
          </cell>
          <cell r="E447" t="str">
            <v>BDB-000058</v>
          </cell>
          <cell r="F447" t="str">
            <v>PVN-001319</v>
          </cell>
          <cell r="G447" t="str">
            <v>OrthoLite Ultra GREEN/16-5932TPX Flat Sheet 0.085D 25+/-4 Asker C 1.1M 2M 5mm</v>
          </cell>
          <cell r="H447">
            <v>50</v>
          </cell>
          <cell r="I447">
            <v>50</v>
          </cell>
          <cell r="J447">
            <v>50</v>
          </cell>
          <cell r="K447">
            <v>0</v>
          </cell>
          <cell r="L447" t="str">
            <v>ADIDAS</v>
          </cell>
          <cell r="M447" t="str">
            <v>SSO-2605-01113   - URGENT (5-28)</v>
          </cell>
          <cell r="N447" t="str">
            <v>Flat Sheet</v>
          </cell>
          <cell r="O447" t="str">
            <v>Sample</v>
          </cell>
          <cell r="P447">
            <v>46163</v>
          </cell>
          <cell r="Q447">
            <v>46170</v>
          </cell>
          <cell r="R447">
            <v>46167</v>
          </cell>
          <cell r="S447">
            <v>6</v>
          </cell>
          <cell r="T447">
            <v>7</v>
          </cell>
          <cell r="U447">
            <v>5</v>
          </cell>
          <cell r="V447">
            <v>3.5709999999999999E-2</v>
          </cell>
          <cell r="W447">
            <v>2</v>
          </cell>
        </row>
        <row r="448">
          <cell r="A448" t="str">
            <v>S-2026-05-72</v>
          </cell>
          <cell r="B448"/>
          <cell r="C448" t="str">
            <v>RPRO-260521-0670</v>
          </cell>
          <cell r="D448" t="str">
            <v xml:space="preserve">PUR2605210002S   </v>
          </cell>
          <cell r="E448" t="str">
            <v>BDB-000076</v>
          </cell>
          <cell r="F448" t="str">
            <v>PVN-003742</v>
          </cell>
          <cell r="G448" t="str">
            <v>OrthoLite X-25 BILLIARD/16-5427TPX Flat Sheet 0.12D 20+/-4 Asker C 1.1M 2M 5mm</v>
          </cell>
          <cell r="H448">
            <v>30</v>
          </cell>
          <cell r="I448">
            <v>30</v>
          </cell>
          <cell r="J448">
            <v>30</v>
          </cell>
          <cell r="K448">
            <v>0</v>
          </cell>
          <cell r="L448" t="str">
            <v>ADIDAS</v>
          </cell>
          <cell r="M448" t="str">
            <v>SSO-2605-01133   - URGENT (5-28)</v>
          </cell>
          <cell r="N448" t="str">
            <v>Flat Sheet</v>
          </cell>
          <cell r="O448" t="str">
            <v>Sample</v>
          </cell>
          <cell r="P448">
            <v>46163</v>
          </cell>
          <cell r="Q448">
            <v>46170</v>
          </cell>
          <cell r="R448">
            <v>46167</v>
          </cell>
          <cell r="S448">
            <v>6</v>
          </cell>
          <cell r="T448">
            <v>7</v>
          </cell>
          <cell r="U448">
            <v>5</v>
          </cell>
          <cell r="V448">
            <v>3.5709999999999999E-2</v>
          </cell>
          <cell r="W448">
            <v>2</v>
          </cell>
        </row>
        <row r="449">
          <cell r="A449" t="str">
            <v>S-2026-05-73</v>
          </cell>
          <cell r="B449"/>
          <cell r="C449" t="str">
            <v>RPRO-260523-0221</v>
          </cell>
          <cell r="D449" t="str">
            <v>PUR2605220001S</v>
          </cell>
          <cell r="E449" t="str">
            <v>BDB-000376</v>
          </cell>
          <cell r="F449" t="str">
            <v>PVN-004323</v>
          </cell>
          <cell r="G449" t="str">
            <v>OrthoLite Regular BLACK/19-4007TPX Flat Sheet 0.11D 25+/-4 Asker C 1.1M 2M 13mm</v>
          </cell>
          <cell r="H449">
            <v>15</v>
          </cell>
          <cell r="I449">
            <v>15</v>
          </cell>
          <cell r="J449">
            <v>15</v>
          </cell>
          <cell r="K449">
            <v>0</v>
          </cell>
          <cell r="L449" t="str">
            <v>ADIDAS</v>
          </cell>
          <cell r="M449" t="str">
            <v>SSO-2605-01170   - URGENT (5-30)</v>
          </cell>
          <cell r="N449" t="str">
            <v>Molded</v>
          </cell>
          <cell r="O449" t="str">
            <v>Sample</v>
          </cell>
          <cell r="P449">
            <v>46164</v>
          </cell>
          <cell r="Q449">
            <v>46172</v>
          </cell>
          <cell r="R449">
            <v>46169</v>
          </cell>
          <cell r="S449">
            <v>6</v>
          </cell>
          <cell r="T449">
            <v>8</v>
          </cell>
          <cell r="U449">
            <v>13</v>
          </cell>
          <cell r="V449">
            <v>0.1</v>
          </cell>
          <cell r="W449">
            <v>2</v>
          </cell>
        </row>
        <row r="450">
          <cell r="A450" t="str">
            <v>S-2026-05-74</v>
          </cell>
          <cell r="B450"/>
          <cell r="C450" t="str">
            <v>RPRO-260523-0222</v>
          </cell>
          <cell r="D450" t="str">
            <v>PUR2605220001S</v>
          </cell>
          <cell r="E450" t="str">
            <v>BDB-000123</v>
          </cell>
          <cell r="F450" t="str">
            <v>PVN-003299</v>
          </cell>
          <cell r="G450" t="str">
            <v>OrthoLite Ultra-Hybrid SEEDPEARL/12-0703TPX Hybrid Flat Sheet 0.085D 25+/-4 Asker C 1.1M 2M 3mm</v>
          </cell>
          <cell r="H450">
            <v>100</v>
          </cell>
          <cell r="I450">
            <v>100</v>
          </cell>
          <cell r="J450">
            <v>100</v>
          </cell>
          <cell r="K450">
            <v>0</v>
          </cell>
          <cell r="L450" t="str">
            <v>ADIDAS</v>
          </cell>
          <cell r="M450" t="str">
            <v>SSO-2605-01174   - URGENT (5-30)</v>
          </cell>
          <cell r="N450" t="str">
            <v>Flat sheet</v>
          </cell>
          <cell r="O450" t="str">
            <v>Sample</v>
          </cell>
          <cell r="P450">
            <v>46164</v>
          </cell>
          <cell r="Q450">
            <v>46172</v>
          </cell>
          <cell r="R450">
            <v>46169</v>
          </cell>
          <cell r="S450">
            <v>6</v>
          </cell>
          <cell r="T450">
            <v>8</v>
          </cell>
          <cell r="U450">
            <v>3</v>
          </cell>
          <cell r="V450">
            <v>2.1739999999999999E-2</v>
          </cell>
          <cell r="W450">
            <v>3</v>
          </cell>
        </row>
        <row r="451">
          <cell r="A451" t="str">
            <v>S-2026-05-75</v>
          </cell>
          <cell r="B451"/>
          <cell r="C451" t="str">
            <v>RPRO-260523-0223</v>
          </cell>
          <cell r="D451" t="str">
            <v>PUR2600502300001S</v>
          </cell>
          <cell r="E451" t="str">
            <v>BDB-000076</v>
          </cell>
          <cell r="F451" t="str">
            <v>PVN-004056</v>
          </cell>
          <cell r="G451" t="str">
            <v>OrthoLite X-25 BILLIARD/16-5427TPX Flat Sheet 0.12D 20+/-4 Asker C 1.1M 2M 12mm</v>
          </cell>
          <cell r="H451">
            <v>20</v>
          </cell>
          <cell r="I451">
            <v>20</v>
          </cell>
          <cell r="J451">
            <v>20</v>
          </cell>
          <cell r="K451">
            <v>0</v>
          </cell>
          <cell r="L451" t="str">
            <v>FOOTJOY</v>
          </cell>
          <cell r="M451" t="str">
            <v>Sample</v>
          </cell>
          <cell r="N451" t="str">
            <v>MOLDED</v>
          </cell>
          <cell r="O451" t="str">
            <v>Sample</v>
          </cell>
          <cell r="P451">
            <v>46165</v>
          </cell>
          <cell r="Q451">
            <v>46172</v>
          </cell>
          <cell r="R451">
            <v>46169</v>
          </cell>
          <cell r="S451">
            <v>6</v>
          </cell>
          <cell r="T451">
            <v>7</v>
          </cell>
          <cell r="U451">
            <v>12</v>
          </cell>
          <cell r="V451">
            <v>9.0910000000000005E-2</v>
          </cell>
          <cell r="W451">
            <v>2</v>
          </cell>
        </row>
        <row r="452">
          <cell r="A452" t="str">
            <v>S-2026-05-76</v>
          </cell>
          <cell r="B452"/>
          <cell r="C452" t="str">
            <v>RPRO-260526-0394</v>
          </cell>
          <cell r="D452" t="str">
            <v xml:space="preserve">PUR-202605250001S </v>
          </cell>
          <cell r="E452" t="str">
            <v>BDB-000235</v>
          </cell>
          <cell r="F452" t="str">
            <v>PVN-003576</v>
          </cell>
          <cell r="G452" t="str">
            <v>OrthoLite X-55-Hybrid FOSSIL/17-0909TPX Hybrid 0.16D 25+/-4 Asker C 1.1M 1.7M 12mm</v>
          </cell>
          <cell r="H452">
            <v>30</v>
          </cell>
          <cell r="I452">
            <v>30</v>
          </cell>
          <cell r="J452">
            <v>30</v>
          </cell>
          <cell r="K452">
            <v>0</v>
          </cell>
          <cell r="L452" t="str">
            <v>ASICS</v>
          </cell>
          <cell r="M452" t="str">
            <v>Sample</v>
          </cell>
          <cell r="N452" t="str">
            <v>MOLDED</v>
          </cell>
          <cell r="O452" t="str">
            <v>Sample</v>
          </cell>
          <cell r="P452">
            <v>46167</v>
          </cell>
          <cell r="Q452">
            <v>46174</v>
          </cell>
          <cell r="R452">
            <v>46171</v>
          </cell>
          <cell r="S452">
            <v>6</v>
          </cell>
          <cell r="T452">
            <v>7</v>
          </cell>
          <cell r="U452">
            <v>12</v>
          </cell>
          <cell r="V452">
            <v>9.0909999999999991E-2</v>
          </cell>
          <cell r="W452">
            <v>3</v>
          </cell>
        </row>
        <row r="453">
          <cell r="A453" t="str">
            <v>S-2026-05-77</v>
          </cell>
          <cell r="B453"/>
          <cell r="C453" t="str">
            <v>RPRO-260526-0395</v>
          </cell>
          <cell r="D453" t="str">
            <v xml:space="preserve">PUR-202605250001S </v>
          </cell>
          <cell r="E453" t="str">
            <v>BDB-000113</v>
          </cell>
          <cell r="F453" t="str">
            <v>PVN-002688</v>
          </cell>
          <cell r="G453" t="str">
            <v>OrthoLite Regular-Hybrid SEEDPEARL/12-0703TPX Hybrid 0.11D 25+/-4 Asker C 1.1M 2M 6mm</v>
          </cell>
          <cell r="H453">
            <v>100</v>
          </cell>
          <cell r="I453">
            <v>100</v>
          </cell>
          <cell r="J453">
            <v>100</v>
          </cell>
          <cell r="K453">
            <v>0</v>
          </cell>
          <cell r="L453" t="str">
            <v>ASICS</v>
          </cell>
          <cell r="M453" t="str">
            <v>Sample</v>
          </cell>
          <cell r="N453" t="str">
            <v>MOLDED</v>
          </cell>
          <cell r="O453" t="str">
            <v>Sample</v>
          </cell>
          <cell r="P453">
            <v>46167</v>
          </cell>
          <cell r="Q453">
            <v>46174</v>
          </cell>
          <cell r="R453">
            <v>46171</v>
          </cell>
          <cell r="S453">
            <v>6</v>
          </cell>
          <cell r="T453">
            <v>7</v>
          </cell>
          <cell r="U453">
            <v>6</v>
          </cell>
          <cell r="V453">
            <v>4.3479999999999998E-2</v>
          </cell>
          <cell r="W453">
            <v>5</v>
          </cell>
        </row>
        <row r="454">
          <cell r="A454" t="str">
            <v>S-2026-05-78</v>
          </cell>
          <cell r="B454"/>
          <cell r="C454" t="str">
            <v>RPRO-260526-0396</v>
          </cell>
          <cell r="D454" t="str">
            <v xml:space="preserve">PUR-202605250001S </v>
          </cell>
          <cell r="E454" t="str">
            <v>BDB-000113</v>
          </cell>
          <cell r="F454" t="str">
            <v>PVN-002887</v>
          </cell>
          <cell r="G454" t="str">
            <v>OrthoLite Regular-Hybrid SEEDPEARL/12-0703TPX Hybrid Flat Sheet 0.11D 25+/-4 Asker C 1.1M 2M 5.5mm</v>
          </cell>
          <cell r="H454">
            <v>20</v>
          </cell>
          <cell r="I454">
            <v>20</v>
          </cell>
          <cell r="J454">
            <v>20</v>
          </cell>
          <cell r="K454">
            <v>0</v>
          </cell>
          <cell r="L454" t="str">
            <v>ASICS</v>
          </cell>
          <cell r="M454" t="str">
            <v>Sample</v>
          </cell>
          <cell r="N454" t="str">
            <v>MOLDED</v>
          </cell>
          <cell r="O454" t="str">
            <v>Sample</v>
          </cell>
          <cell r="P454">
            <v>46167</v>
          </cell>
          <cell r="Q454">
            <v>46174</v>
          </cell>
          <cell r="R454">
            <v>46171</v>
          </cell>
          <cell r="S454">
            <v>6</v>
          </cell>
          <cell r="T454">
            <v>7</v>
          </cell>
          <cell r="U454">
            <v>5.5</v>
          </cell>
          <cell r="V454">
            <v>0.04</v>
          </cell>
          <cell r="W454">
            <v>1</v>
          </cell>
        </row>
        <row r="455">
          <cell r="A455" t="str">
            <v>S-2026-05-79</v>
          </cell>
          <cell r="B455"/>
          <cell r="C455" t="str">
            <v>RPRO-260526-0397</v>
          </cell>
          <cell r="D455" t="str">
            <v xml:space="preserve">PUR-202605250001S </v>
          </cell>
          <cell r="E455" t="str">
            <v>BDB-000113</v>
          </cell>
          <cell r="F455" t="str">
            <v>PVN-003601</v>
          </cell>
          <cell r="G455" t="str">
            <v>OrthoLite Regular-Hybrid SEEDPEARL/12-0703TPX Hybrid Flat Sheet 0.11D 25+/-4 Asker C 1.1M 2M 20mm</v>
          </cell>
          <cell r="H455">
            <v>10</v>
          </cell>
          <cell r="I455">
            <v>10</v>
          </cell>
          <cell r="J455">
            <v>10</v>
          </cell>
          <cell r="K455">
            <v>0</v>
          </cell>
          <cell r="L455" t="str">
            <v>ASICS</v>
          </cell>
          <cell r="M455" t="str">
            <v>Sample</v>
          </cell>
          <cell r="N455" t="str">
            <v>MOLDED</v>
          </cell>
          <cell r="O455" t="str">
            <v>Sample</v>
          </cell>
          <cell r="P455">
            <v>46167</v>
          </cell>
          <cell r="Q455">
            <v>46174</v>
          </cell>
          <cell r="R455">
            <v>46171</v>
          </cell>
          <cell r="S455">
            <v>6</v>
          </cell>
          <cell r="T455">
            <v>7</v>
          </cell>
          <cell r="U455">
            <v>20</v>
          </cell>
          <cell r="V455">
            <v>0.16667000000000001</v>
          </cell>
          <cell r="W455">
            <v>2</v>
          </cell>
        </row>
        <row r="456">
          <cell r="A456" t="str">
            <v>S-2026-05-80</v>
          </cell>
          <cell r="B456"/>
          <cell r="C456" t="str">
            <v>RPRO-260526-0398</v>
          </cell>
          <cell r="D456" t="str">
            <v xml:space="preserve">PUR-202605250001S </v>
          </cell>
          <cell r="E456" t="str">
            <v>BDB-000097</v>
          </cell>
          <cell r="F456" t="str">
            <v>PVN-002478</v>
          </cell>
          <cell r="G456" t="str">
            <v>OrthoLite Eco LT-Hybrid SEEDPEARL/12-0703TPX Hybrid 0.11D 25+/-4 Asker C 1.1M 2M 4mm</v>
          </cell>
          <cell r="H456">
            <v>50</v>
          </cell>
          <cell r="I456">
            <v>50</v>
          </cell>
          <cell r="J456">
            <v>50</v>
          </cell>
          <cell r="K456">
            <v>0</v>
          </cell>
          <cell r="L456" t="str">
            <v>NEW BALANCE</v>
          </cell>
          <cell r="M456" t="str">
            <v>Sample</v>
          </cell>
          <cell r="N456" t="str">
            <v>DIE-CUT</v>
          </cell>
          <cell r="O456" t="str">
            <v>Sample</v>
          </cell>
          <cell r="P456">
            <v>46167</v>
          </cell>
          <cell r="Q456">
            <v>46174</v>
          </cell>
          <cell r="R456">
            <v>46171</v>
          </cell>
          <cell r="S456">
            <v>6</v>
          </cell>
          <cell r="T456">
            <v>7</v>
          </cell>
          <cell r="U456">
            <v>4</v>
          </cell>
          <cell r="V456">
            <v>2.8570000000000002E-2</v>
          </cell>
          <cell r="W456">
            <v>2</v>
          </cell>
        </row>
        <row r="457">
          <cell r="A457" t="str">
            <v>S-2026-05-81</v>
          </cell>
          <cell r="B457"/>
          <cell r="C457" t="str">
            <v>RPRO-260526-0399</v>
          </cell>
          <cell r="D457" t="str">
            <v xml:space="preserve">PUR-202605250001S </v>
          </cell>
          <cell r="E457" t="str">
            <v>BDB-000113</v>
          </cell>
          <cell r="F457" t="str">
            <v>PVN-003414</v>
          </cell>
          <cell r="G457" t="str">
            <v>OrthoLite Regular-Hybrid SEEDPEARL/12-0703TPX Hybrid 0.11D 25+/-4 Asker C 1.1M 2M 12mm</v>
          </cell>
          <cell r="H457">
            <v>50</v>
          </cell>
          <cell r="I457">
            <v>50</v>
          </cell>
          <cell r="J457">
            <v>50</v>
          </cell>
          <cell r="K457">
            <v>0</v>
          </cell>
          <cell r="L457" t="str">
            <v>ASICS</v>
          </cell>
          <cell r="M457" t="str">
            <v>Sample</v>
          </cell>
          <cell r="N457" t="str">
            <v>MOLDED</v>
          </cell>
          <cell r="O457" t="str">
            <v>Sample</v>
          </cell>
          <cell r="P457">
            <v>46167</v>
          </cell>
          <cell r="Q457">
            <v>46175</v>
          </cell>
          <cell r="R457">
            <v>46172</v>
          </cell>
          <cell r="S457">
            <v>6</v>
          </cell>
          <cell r="T457">
            <v>8</v>
          </cell>
          <cell r="U457">
            <v>12</v>
          </cell>
          <cell r="V457">
            <v>9.0909999999999991E-2</v>
          </cell>
          <cell r="W457">
            <v>5</v>
          </cell>
        </row>
        <row r="458">
          <cell r="A458" t="str">
            <v>S-2026-05-82</v>
          </cell>
          <cell r="B458"/>
          <cell r="C458" t="str">
            <v>RPRO-260526-0400</v>
          </cell>
          <cell r="D458" t="str">
            <v xml:space="preserve">PUR-202605250001S </v>
          </cell>
          <cell r="E458" t="str">
            <v>BDB-000051</v>
          </cell>
          <cell r="F458" t="str">
            <v>PVN-003450</v>
          </cell>
          <cell r="G458" t="str">
            <v>OrthoLite X-40 TRUE BLUE/19-4057TPX Flat Sheet 0.16D 25+/-4 Asker C 1.1M 1.7M 6mm</v>
          </cell>
          <cell r="H458">
            <v>100</v>
          </cell>
          <cell r="I458">
            <v>100</v>
          </cell>
          <cell r="J458">
            <v>0</v>
          </cell>
          <cell r="K458">
            <v>100</v>
          </cell>
          <cell r="L458" t="str">
            <v>ASICS</v>
          </cell>
          <cell r="M458" t="str">
            <v>Sample</v>
          </cell>
          <cell r="N458" t="str">
            <v>MOLDED</v>
          </cell>
          <cell r="O458" t="str">
            <v>Sample</v>
          </cell>
          <cell r="P458">
            <v>46167</v>
          </cell>
          <cell r="Q458">
            <v>46175</v>
          </cell>
          <cell r="R458">
            <v>46172</v>
          </cell>
          <cell r="S458">
            <v>6</v>
          </cell>
          <cell r="T458">
            <v>8</v>
          </cell>
          <cell r="U458">
            <v>6</v>
          </cell>
          <cell r="V458">
            <v>4.3479999999999998E-2</v>
          </cell>
          <cell r="W458">
            <v>5</v>
          </cell>
        </row>
        <row r="459">
          <cell r="A459" t="str">
            <v>S-2026-05-83</v>
          </cell>
          <cell r="B459"/>
          <cell r="C459" t="str">
            <v>RPRO-260526-0401</v>
          </cell>
          <cell r="D459" t="str">
            <v xml:space="preserve">PUR-202605250001S </v>
          </cell>
          <cell r="E459" t="str">
            <v>BDB-000234</v>
          </cell>
          <cell r="F459" t="str">
            <v>PVN-003581</v>
          </cell>
          <cell r="G459" t="str">
            <v>OrthoLite X-30-Hybrid BROWN SUGAR/17-1134TPX Hybrid Flat Sheet 0.13D 25+/-4 Asker C 1.1M 2M 12mm</v>
          </cell>
          <cell r="H459">
            <v>30</v>
          </cell>
          <cell r="I459">
            <v>30</v>
          </cell>
          <cell r="J459">
            <v>30</v>
          </cell>
          <cell r="K459">
            <v>0</v>
          </cell>
          <cell r="L459" t="str">
            <v>ASICS</v>
          </cell>
          <cell r="M459" t="str">
            <v>Sample</v>
          </cell>
          <cell r="N459" t="str">
            <v>MOLDED</v>
          </cell>
          <cell r="O459" t="str">
            <v>Sample</v>
          </cell>
          <cell r="P459">
            <v>46167</v>
          </cell>
          <cell r="Q459">
            <v>46175</v>
          </cell>
          <cell r="R459">
            <v>46172</v>
          </cell>
          <cell r="S459">
            <v>6</v>
          </cell>
          <cell r="T459">
            <v>8</v>
          </cell>
          <cell r="U459">
            <v>12</v>
          </cell>
          <cell r="V459">
            <v>9.0909999999999991E-2</v>
          </cell>
          <cell r="W459">
            <v>3</v>
          </cell>
        </row>
        <row r="460">
          <cell r="A460" t="str">
            <v>S-2026-05-84</v>
          </cell>
          <cell r="B460" t="str">
            <v>ƯU TIÊN GIAO 06-JUN KHI CÓ LIỆU</v>
          </cell>
          <cell r="C460"/>
          <cell r="D460" t="str">
            <v>PUR2605250002S</v>
          </cell>
          <cell r="E460" t="str">
            <v>BDB-000391</v>
          </cell>
          <cell r="F460" t="str">
            <v>PVN-004430</v>
          </cell>
          <cell r="G460" t="str">
            <v>OrthoLite HybridPlus-Recycled COLORO 063-98-46 (fluorescent) Hybrid 0.12D 25+/-4 Asker C 1.1M 2M 6mm</v>
          </cell>
          <cell r="H460">
            <v>40</v>
          </cell>
          <cell r="I460">
            <v>40</v>
          </cell>
          <cell r="J460">
            <v>0</v>
          </cell>
          <cell r="K460">
            <v>40</v>
          </cell>
          <cell r="L460" t="str">
            <v>ON RUNNING</v>
          </cell>
          <cell r="M460" t="str">
            <v>SSO-2605-00765</v>
          </cell>
          <cell r="N460" t="str">
            <v>OV-0408</v>
          </cell>
          <cell r="O460" t="str">
            <v>Sample</v>
          </cell>
          <cell r="P460">
            <v>46167</v>
          </cell>
          <cell r="Q460">
            <v>46179</v>
          </cell>
          <cell r="R460">
            <v>46176</v>
          </cell>
          <cell r="S460">
            <v>6</v>
          </cell>
          <cell r="T460">
            <v>12</v>
          </cell>
          <cell r="U460" t="str">
            <v/>
          </cell>
          <cell r="V460">
            <v>4.3479999999999998E-2</v>
          </cell>
          <cell r="W460">
            <v>2</v>
          </cell>
        </row>
        <row r="461">
          <cell r="A461" t="str">
            <v>S-2026-05-85</v>
          </cell>
          <cell r="B461"/>
          <cell r="C461" t="str">
            <v>RPRO-260526-0402</v>
          </cell>
          <cell r="D461" t="str">
            <v xml:space="preserve">PUR2605250003S </v>
          </cell>
          <cell r="E461" t="str">
            <v>BDB-000097</v>
          </cell>
          <cell r="F461" t="str">
            <v>PVN-002478</v>
          </cell>
          <cell r="G461" t="str">
            <v>OrthoLite Eco LT-Hybrid SEEDPEARL/12-0703TPX Hybrid Flat Sheet 0.11D 25+/-4 Asker C 1.1M 2M 4mm</v>
          </cell>
          <cell r="H461">
            <v>50</v>
          </cell>
          <cell r="I461">
            <v>50</v>
          </cell>
          <cell r="J461">
            <v>50</v>
          </cell>
          <cell r="K461">
            <v>0</v>
          </cell>
          <cell r="L461" t="str">
            <v>ADIDAS</v>
          </cell>
          <cell r="M461" t="str">
            <v>SSO-2605-01304   - URGENT (6-2)</v>
          </cell>
          <cell r="N461" t="str">
            <v>Flat sheet</v>
          </cell>
          <cell r="O461" t="str">
            <v>Sample</v>
          </cell>
          <cell r="P461">
            <v>46167</v>
          </cell>
          <cell r="Q461">
            <v>46174</v>
          </cell>
          <cell r="R461">
            <v>46171</v>
          </cell>
          <cell r="S461">
            <v>6</v>
          </cell>
          <cell r="T461">
            <v>7</v>
          </cell>
          <cell r="U461">
            <v>4</v>
          </cell>
          <cell r="V461">
            <v>2.8570000000000002E-2</v>
          </cell>
          <cell r="W461">
            <v>2</v>
          </cell>
        </row>
        <row r="462">
          <cell r="A462" t="str">
            <v>S-2026-05-86</v>
          </cell>
          <cell r="B462" t="str">
            <v>CHUA RL</v>
          </cell>
          <cell r="C462" t="str">
            <v>RPRO-260527-0578</v>
          </cell>
          <cell r="D462" t="str">
            <v>PUR2600502600002S</v>
          </cell>
          <cell r="E462" t="str">
            <v>BDB-000348</v>
          </cell>
          <cell r="F462" t="str">
            <v>PVN-004195</v>
          </cell>
          <cell r="G462" t="str">
            <v>OrthoLite IMPERIAL SEEDPEARL/12-0703TPX Flat Sheet 0.22D 25+/-4 Asker C 1.1M 1.47M 4mm</v>
          </cell>
          <cell r="H462">
            <v>100</v>
          </cell>
          <cell r="I462">
            <v>100</v>
          </cell>
          <cell r="J462">
            <v>100</v>
          </cell>
          <cell r="K462">
            <v>0</v>
          </cell>
          <cell r="L462" t="str">
            <v>ADIDAS</v>
          </cell>
          <cell r="M462" t="str">
            <v xml:space="preserve"> Sample</v>
          </cell>
          <cell r="N462" t="str">
            <v>LA SHEET</v>
          </cell>
          <cell r="O462" t="str">
            <v>Sample</v>
          </cell>
          <cell r="P462">
            <v>46168</v>
          </cell>
          <cell r="Q462">
            <v>46174</v>
          </cell>
          <cell r="R462">
            <v>46171</v>
          </cell>
          <cell r="S462">
            <v>6</v>
          </cell>
          <cell r="T462">
            <v>6</v>
          </cell>
          <cell r="U462">
            <v>4</v>
          </cell>
          <cell r="V462">
            <v>2.8570000000000002E-2</v>
          </cell>
          <cell r="W462">
            <v>3</v>
          </cell>
        </row>
        <row r="463">
          <cell r="A463" t="str">
            <v>S-2026-05-87</v>
          </cell>
          <cell r="B463" t="str">
            <v>CHUA RL</v>
          </cell>
          <cell r="C463" t="str">
            <v>RPRO-260527-0579</v>
          </cell>
          <cell r="D463" t="str">
            <v>PUR2600502600002S</v>
          </cell>
          <cell r="E463" t="str">
            <v>BDB-000348</v>
          </cell>
          <cell r="F463" t="str">
            <v>PVN-004210</v>
          </cell>
          <cell r="G463" t="str">
            <v>OrthoLite IMPERIAL SEEDPEARL/12-0703TPX Flat Sheet 0.22D 25+/-4 Asker C 1.1M 1.47M 5mm</v>
          </cell>
          <cell r="H463">
            <v>100</v>
          </cell>
          <cell r="I463">
            <v>100</v>
          </cell>
          <cell r="J463">
            <v>100</v>
          </cell>
          <cell r="K463">
            <v>0</v>
          </cell>
          <cell r="L463" t="str">
            <v>ADIDAS</v>
          </cell>
          <cell r="M463" t="str">
            <v xml:space="preserve"> Sample</v>
          </cell>
          <cell r="N463" t="str">
            <v>LA SHEET</v>
          </cell>
          <cell r="O463" t="str">
            <v>Sample</v>
          </cell>
          <cell r="P463">
            <v>46168</v>
          </cell>
          <cell r="Q463">
            <v>46174</v>
          </cell>
          <cell r="R463">
            <v>46171</v>
          </cell>
          <cell r="S463">
            <v>6</v>
          </cell>
          <cell r="T463">
            <v>6</v>
          </cell>
          <cell r="U463">
            <v>5</v>
          </cell>
          <cell r="V463">
            <v>3.5709999999999999E-2</v>
          </cell>
          <cell r="W463">
            <v>4</v>
          </cell>
        </row>
        <row r="464">
          <cell r="A464" t="str">
            <v>S-2026-05-88</v>
          </cell>
          <cell r="B464" t="str">
            <v>CHUA RL</v>
          </cell>
          <cell r="C464" t="str">
            <v>RPRO-260527-0580</v>
          </cell>
          <cell r="D464" t="str">
            <v>PUR2600502700001S</v>
          </cell>
          <cell r="E464" t="str">
            <v>BDB-000162</v>
          </cell>
          <cell r="F464" t="str">
            <v>PVN-001566</v>
          </cell>
          <cell r="G464" t="str">
            <v>OrthoLite Ultra-Nike SEEDPEARL/12-0703TPX Flat Sheet 0.085D 25+/-4 Asker C 1.1M 2M 4mm</v>
          </cell>
          <cell r="H464">
            <v>70</v>
          </cell>
          <cell r="I464">
            <v>70</v>
          </cell>
          <cell r="J464">
            <v>70</v>
          </cell>
          <cell r="K464">
            <v>0</v>
          </cell>
          <cell r="L464" t="str">
            <v>NIKE</v>
          </cell>
          <cell r="M464" t="str">
            <v xml:space="preserve"> Sample/ URGENT</v>
          </cell>
          <cell r="N464" t="str">
            <v>DIE CUT</v>
          </cell>
          <cell r="O464" t="str">
            <v>Sample</v>
          </cell>
          <cell r="P464">
            <v>46169</v>
          </cell>
          <cell r="Q464">
            <v>46176</v>
          </cell>
          <cell r="R464">
            <v>46173</v>
          </cell>
          <cell r="S464">
            <v>6</v>
          </cell>
          <cell r="T464">
            <v>7</v>
          </cell>
          <cell r="U464">
            <v>4</v>
          </cell>
          <cell r="V464">
            <v>2.8570000000000002E-2</v>
          </cell>
          <cell r="W464">
            <v>2</v>
          </cell>
        </row>
        <row r="465">
          <cell r="A465" t="str">
            <v>S-2026-05-89</v>
          </cell>
          <cell r="B465" t="str">
            <v>CHUA RL</v>
          </cell>
          <cell r="C465" t="str">
            <v>RPRO-260527-0581</v>
          </cell>
          <cell r="D465" t="str">
            <v>PUR2600502700001S</v>
          </cell>
          <cell r="E465" t="str">
            <v>BDB-000129</v>
          </cell>
          <cell r="F465" t="str">
            <v>PVN-001550</v>
          </cell>
          <cell r="G465" t="str">
            <v>OrthoLite Regular-Nike AIR BLUE/16-4134TPX Flat Sheet 0.11D 25+/-4 Asker C 1.1M 1.7M 2mm</v>
          </cell>
          <cell r="H465">
            <v>50</v>
          </cell>
          <cell r="I465">
            <v>50</v>
          </cell>
          <cell r="J465">
            <v>0</v>
          </cell>
          <cell r="K465">
            <v>50</v>
          </cell>
          <cell r="L465" t="str">
            <v>NIKE</v>
          </cell>
          <cell r="M465" t="str">
            <v xml:space="preserve"> Sample</v>
          </cell>
          <cell r="N465" t="str">
            <v>DIE CUT</v>
          </cell>
          <cell r="O465" t="str">
            <v>Sample</v>
          </cell>
          <cell r="P465">
            <v>46169</v>
          </cell>
          <cell r="Q465">
            <v>46176</v>
          </cell>
          <cell r="R465">
            <v>46173</v>
          </cell>
          <cell r="S465">
            <v>6</v>
          </cell>
          <cell r="T465">
            <v>7</v>
          </cell>
          <cell r="U465">
            <v>2</v>
          </cell>
          <cell r="V465">
            <v>1.4290000000000001E-2</v>
          </cell>
          <cell r="W465">
            <v>1</v>
          </cell>
        </row>
        <row r="466">
          <cell r="A466" t="str">
            <v>S-2026-05-90</v>
          </cell>
          <cell r="B466" t="str">
            <v>CHUA RL</v>
          </cell>
          <cell r="C466" t="str">
            <v>RPRO-260527-0582</v>
          </cell>
          <cell r="D466" t="str">
            <v>PUR2600502700001S</v>
          </cell>
          <cell r="E466" t="str">
            <v>BDB-000157</v>
          </cell>
          <cell r="F466" t="str">
            <v>PVN-003573</v>
          </cell>
          <cell r="G466" t="str">
            <v>OrthoLite X-35-Hybrid-Nike SEEDPEARL/12-0703TPX Hybrid Flat Sheet 0.145D 25+/-4 Asker C 1.1M 2M 4.2mm</v>
          </cell>
          <cell r="H466">
            <v>40</v>
          </cell>
          <cell r="I466">
            <v>40</v>
          </cell>
          <cell r="J466">
            <v>40</v>
          </cell>
          <cell r="K466">
            <v>0</v>
          </cell>
          <cell r="L466" t="str">
            <v>NIKE</v>
          </cell>
          <cell r="M466" t="str">
            <v xml:space="preserve"> Sample</v>
          </cell>
          <cell r="N466" t="str">
            <v>MOLDED</v>
          </cell>
          <cell r="O466" t="str">
            <v>Sample</v>
          </cell>
          <cell r="P466">
            <v>46169</v>
          </cell>
          <cell r="Q466">
            <v>46176</v>
          </cell>
          <cell r="R466">
            <v>46173</v>
          </cell>
          <cell r="S466">
            <v>6</v>
          </cell>
          <cell r="T466">
            <v>7</v>
          </cell>
          <cell r="U466">
            <v>4.2</v>
          </cell>
          <cell r="V466">
            <v>3.0300000000000001E-2</v>
          </cell>
          <cell r="W466">
            <v>2</v>
          </cell>
        </row>
        <row r="467">
          <cell r="A467" t="str">
            <v>S-2026-05-91</v>
          </cell>
          <cell r="B467" t="str">
            <v>CHUA RL</v>
          </cell>
          <cell r="C467" t="str">
            <v>RPRO-260527-0583</v>
          </cell>
          <cell r="D467" t="str">
            <v>PUR2600502700001S</v>
          </cell>
          <cell r="E467" t="str">
            <v>BDB-000385</v>
          </cell>
          <cell r="F467" t="str">
            <v>PVN-004381</v>
          </cell>
          <cell r="G467" t="str">
            <v>OrthoLite Impressions-Nike TAWNY PORT/19-1725TPX Flat Sheet 0.15D 70-80 Asker F 1.1M 1.7M 3mm</v>
          </cell>
          <cell r="H467">
            <v>70</v>
          </cell>
          <cell r="I467">
            <v>70</v>
          </cell>
          <cell r="J467">
            <v>0</v>
          </cell>
          <cell r="K467">
            <v>70</v>
          </cell>
          <cell r="L467" t="str">
            <v>NIKE</v>
          </cell>
          <cell r="M467" t="str">
            <v xml:space="preserve"> Sample/ URGENT</v>
          </cell>
          <cell r="N467" t="str">
            <v>DIE CUT</v>
          </cell>
          <cell r="O467" t="str">
            <v>Sample</v>
          </cell>
          <cell r="P467">
            <v>46169</v>
          </cell>
          <cell r="Q467">
            <v>46176</v>
          </cell>
          <cell r="R467">
            <v>46172</v>
          </cell>
          <cell r="S467">
            <v>6</v>
          </cell>
          <cell r="T467">
            <v>7</v>
          </cell>
          <cell r="U467">
            <v>3</v>
          </cell>
          <cell r="V467">
            <v>2.1739999999999999E-2</v>
          </cell>
          <cell r="W467">
            <v>2</v>
          </cell>
        </row>
        <row r="468">
          <cell r="A468" t="str">
            <v>S-2026-05-92</v>
          </cell>
          <cell r="B468"/>
          <cell r="C468" t="str">
            <v>RPRO-260528-0001</v>
          </cell>
          <cell r="D468" t="str">
            <v>PUR2605270002S</v>
          </cell>
          <cell r="E468" t="str">
            <v>BDB-000179</v>
          </cell>
          <cell r="F468" t="str">
            <v>PVN-004107</v>
          </cell>
          <cell r="G468" t="str">
            <v>OrthoLite X-55 RED/19-1764TPX Flat Sheet 0.16D 25+/-4 Asker C 1.1M 1.7M 5.5mm</v>
          </cell>
          <cell r="H468">
            <v>30</v>
          </cell>
          <cell r="I468">
            <v>30</v>
          </cell>
          <cell r="J468">
            <v>30</v>
          </cell>
          <cell r="K468">
            <v>0</v>
          </cell>
          <cell r="L468" t="str">
            <v>LULULEMON</v>
          </cell>
          <cell r="M468" t="str">
            <v>SSO-2605-01396/SSO-2605-01403</v>
          </cell>
          <cell r="N468" t="str">
            <v>OV-0452</v>
          </cell>
          <cell r="O468" t="str">
            <v>Sample</v>
          </cell>
          <cell r="P468">
            <v>46169</v>
          </cell>
          <cell r="Q468">
            <v>46176</v>
          </cell>
          <cell r="R468">
            <v>46173</v>
          </cell>
          <cell r="S468">
            <v>6</v>
          </cell>
          <cell r="T468">
            <v>7</v>
          </cell>
          <cell r="U468">
            <v>5.5</v>
          </cell>
          <cell r="V468">
            <v>0.04</v>
          </cell>
          <cell r="W468">
            <v>2</v>
          </cell>
        </row>
        <row r="469">
          <cell r="A469" t="str">
            <v>S-2026-05-93</v>
          </cell>
          <cell r="B469" t="str">
            <v>CHUA RL</v>
          </cell>
          <cell r="C469" t="str">
            <v>RPRO-260529-0339</v>
          </cell>
          <cell r="D469" t="str">
            <v>PUR2605280001S</v>
          </cell>
          <cell r="E469" t="str">
            <v>BDB-000058</v>
          </cell>
          <cell r="F469" t="str">
            <v>PVN-001277</v>
          </cell>
          <cell r="G469" t="str">
            <v>OrthoLite Ultra GREEN/16-5932TPX Flat Sheet 0.085D 25+/-4 Asker C 1.1M 2M 4mm</v>
          </cell>
          <cell r="H469">
            <v>50</v>
          </cell>
          <cell r="I469">
            <v>50</v>
          </cell>
          <cell r="J469">
            <v>0</v>
          </cell>
          <cell r="K469">
            <v>50</v>
          </cell>
          <cell r="L469" t="str">
            <v>ADIDAS</v>
          </cell>
          <cell r="M469" t="str">
            <v>SSO-2605-01455   - URGENT (6-5)</v>
          </cell>
          <cell r="N469" t="str">
            <v>Flat sheet</v>
          </cell>
          <cell r="O469" t="str">
            <v>Sample</v>
          </cell>
          <cell r="P469">
            <v>46170</v>
          </cell>
          <cell r="Q469">
            <v>46177</v>
          </cell>
          <cell r="R469">
            <v>46174</v>
          </cell>
          <cell r="S469">
            <v>6</v>
          </cell>
          <cell r="T469">
            <v>7</v>
          </cell>
          <cell r="U469">
            <v>4</v>
          </cell>
          <cell r="V469">
            <v>2.8570000000000002E-2</v>
          </cell>
          <cell r="W469">
            <v>2</v>
          </cell>
        </row>
        <row r="470">
          <cell r="A470" t="str">
            <v>S-2026-05-94</v>
          </cell>
          <cell r="B470" t="str">
            <v>CHUA RL</v>
          </cell>
          <cell r="C470" t="str">
            <v>RPRO-260529-0340</v>
          </cell>
          <cell r="D470" t="str">
            <v>PUR2600502900001S</v>
          </cell>
          <cell r="E470" t="str">
            <v>BDB-000123</v>
          </cell>
          <cell r="F470" t="str">
            <v>PVN-003815</v>
          </cell>
          <cell r="G470" t="str">
            <v>OrthoLite Ultra-Hybrid SEEDPEARL/12-0703TPX Hybrid Flat Sheet 0.085D 25+/-4 Asker C 1.1M 2M 6mm</v>
          </cell>
          <cell r="H470">
            <v>30</v>
          </cell>
          <cell r="I470">
            <v>30</v>
          </cell>
          <cell r="J470">
            <v>0</v>
          </cell>
          <cell r="K470">
            <v>30</v>
          </cell>
          <cell r="L470" t="str">
            <v>FOOTJOY</v>
          </cell>
          <cell r="M470" t="str">
            <v xml:space="preserve"> Sample/ URGENT</v>
          </cell>
          <cell r="N470" t="str">
            <v>MOLDED</v>
          </cell>
          <cell r="O470" t="str">
            <v>Sample</v>
          </cell>
          <cell r="P470">
            <v>46171</v>
          </cell>
          <cell r="Q470">
            <v>46177</v>
          </cell>
          <cell r="R470">
            <v>46174</v>
          </cell>
          <cell r="S470">
            <v>6</v>
          </cell>
          <cell r="T470">
            <v>6</v>
          </cell>
          <cell r="U470">
            <v>6</v>
          </cell>
          <cell r="V470">
            <v>4.3479999999999998E-2</v>
          </cell>
          <cell r="W470">
            <v>2</v>
          </cell>
        </row>
        <row r="471">
          <cell r="A471" t="str">
            <v>S-2026-05-95</v>
          </cell>
          <cell r="B471" t="str">
            <v>CHUA RL</v>
          </cell>
          <cell r="C471" t="str">
            <v>RPRO-260529-0341</v>
          </cell>
          <cell r="D471" t="str">
            <v>PUR2600502900001S</v>
          </cell>
          <cell r="E471" t="str">
            <v>BDB-000314</v>
          </cell>
          <cell r="F471" t="str">
            <v>PVN-004066</v>
          </cell>
          <cell r="G471" t="str">
            <v>OrthoLite Regular NEUTRAL GRAY/17-4402TPX Flat Sheet 0.16D 51+/-4 Asker C 1.1M 1.7M 9.5mm</v>
          </cell>
          <cell r="H471">
            <v>30</v>
          </cell>
          <cell r="I471">
            <v>30</v>
          </cell>
          <cell r="J471">
            <v>0</v>
          </cell>
          <cell r="K471">
            <v>30</v>
          </cell>
          <cell r="L471" t="str">
            <v>FOOTJOY</v>
          </cell>
          <cell r="M471" t="str">
            <v xml:space="preserve"> Sample</v>
          </cell>
          <cell r="N471" t="str">
            <v>MOLDED</v>
          </cell>
          <cell r="O471" t="str">
            <v>Sample</v>
          </cell>
          <cell r="P471">
            <v>46171</v>
          </cell>
          <cell r="Q471">
            <v>46178</v>
          </cell>
          <cell r="R471">
            <v>46175</v>
          </cell>
          <cell r="S471">
            <v>6</v>
          </cell>
          <cell r="T471">
            <v>7</v>
          </cell>
          <cell r="U471">
            <v>9.5</v>
          </cell>
          <cell r="V471">
            <v>7.1429999999999993E-2</v>
          </cell>
          <cell r="W471">
            <v>3</v>
          </cell>
        </row>
        <row r="472">
          <cell r="A472" t="str">
            <v>S-2026-05-96</v>
          </cell>
          <cell r="B472" t="str">
            <v>CHUA RL</v>
          </cell>
          <cell r="C472" t="str">
            <v>RPRO-260529-0342</v>
          </cell>
          <cell r="D472" t="str">
            <v>PUR2600502900001S</v>
          </cell>
          <cell r="E472" t="str">
            <v>BDB-000382</v>
          </cell>
          <cell r="F472" t="str">
            <v>PVN-004363</v>
          </cell>
          <cell r="G472" t="str">
            <v>OrthoLite Regular FOSSIL/17-0909TPX Flat Sheet 0.16D 51+/-4 Asker C 1.1M 1.7M 9.5mm</v>
          </cell>
          <cell r="H472">
            <v>20</v>
          </cell>
          <cell r="I472">
            <v>20</v>
          </cell>
          <cell r="J472">
            <v>0</v>
          </cell>
          <cell r="K472">
            <v>20</v>
          </cell>
          <cell r="L472" t="str">
            <v>FOOTJOY</v>
          </cell>
          <cell r="M472" t="str">
            <v xml:space="preserve"> Sample</v>
          </cell>
          <cell r="N472" t="str">
            <v>MOLDED</v>
          </cell>
          <cell r="O472" t="str">
            <v>Sample</v>
          </cell>
          <cell r="P472">
            <v>46171</v>
          </cell>
          <cell r="Q472">
            <v>46178</v>
          </cell>
          <cell r="R472">
            <v>46175</v>
          </cell>
          <cell r="S472">
            <v>6</v>
          </cell>
          <cell r="T472">
            <v>7</v>
          </cell>
          <cell r="U472">
            <v>9.5</v>
          </cell>
          <cell r="V472">
            <v>6.6669999999999993E-2</v>
          </cell>
          <cell r="W472">
            <v>2</v>
          </cell>
        </row>
        <row r="473">
          <cell r="A473" t="str">
            <v>S-2026-05-97</v>
          </cell>
          <cell r="B473" t="str">
            <v>CHUA RL</v>
          </cell>
          <cell r="C473" t="str">
            <v>RPRO-260529-0343</v>
          </cell>
          <cell r="D473" t="str">
            <v>PUR2600502900001S</v>
          </cell>
          <cell r="E473" t="str">
            <v>BDB-000387</v>
          </cell>
          <cell r="F473" t="str">
            <v>PVN-004385</v>
          </cell>
          <cell r="G473" t="str">
            <v>OrthoLite Regular AMAZON/18-6024TPX Flat Sheet 0.16D 51+/-4 Asker C 1.1M 1.7M 9.5mm</v>
          </cell>
          <cell r="H473">
            <v>20</v>
          </cell>
          <cell r="I473">
            <v>20</v>
          </cell>
          <cell r="J473">
            <v>0</v>
          </cell>
          <cell r="K473">
            <v>20</v>
          </cell>
          <cell r="L473" t="str">
            <v>FOOTJOY</v>
          </cell>
          <cell r="M473" t="str">
            <v xml:space="preserve"> Sample</v>
          </cell>
          <cell r="N473" t="str">
            <v>MOLDED</v>
          </cell>
          <cell r="O473" t="str">
            <v>Sample</v>
          </cell>
          <cell r="P473">
            <v>46171</v>
          </cell>
          <cell r="Q473">
            <v>46178</v>
          </cell>
          <cell r="R473">
            <v>46175</v>
          </cell>
          <cell r="S473">
            <v>6</v>
          </cell>
          <cell r="T473">
            <v>7</v>
          </cell>
          <cell r="U473">
            <v>9.5</v>
          </cell>
          <cell r="V473">
            <v>6.6669999999999993E-2</v>
          </cell>
          <cell r="W473">
            <v>2</v>
          </cell>
        </row>
        <row r="474">
          <cell r="A474" t="str">
            <v>S-2026-05-98</v>
          </cell>
          <cell r="B474" t="str">
            <v>CHUA RL</v>
          </cell>
          <cell r="C474" t="str">
            <v>RPRO-260529-0344</v>
          </cell>
          <cell r="D474" t="str">
            <v>PUR2600502900001S</v>
          </cell>
          <cell r="E474" t="str">
            <v>BDB-000378</v>
          </cell>
          <cell r="F474" t="str">
            <v>PVN-004336</v>
          </cell>
          <cell r="G474" t="str">
            <v>OrthoLite Regular AMAZON/18-6024TPX Flat Sheet 0.15D 45+/-4 Asker C 1.1M 1.7M 9.8mm</v>
          </cell>
          <cell r="H474">
            <v>20</v>
          </cell>
          <cell r="I474">
            <v>20</v>
          </cell>
          <cell r="J474">
            <v>0</v>
          </cell>
          <cell r="K474">
            <v>20</v>
          </cell>
          <cell r="L474" t="str">
            <v>FOOTJOY</v>
          </cell>
          <cell r="M474" t="str">
            <v xml:space="preserve"> Sample</v>
          </cell>
          <cell r="N474" t="str">
            <v>MOLDED</v>
          </cell>
          <cell r="O474" t="str">
            <v>Sample</v>
          </cell>
          <cell r="P474">
            <v>46171</v>
          </cell>
          <cell r="Q474">
            <v>46178</v>
          </cell>
          <cell r="R474">
            <v>46175</v>
          </cell>
          <cell r="S474">
            <v>6</v>
          </cell>
          <cell r="T474">
            <v>7</v>
          </cell>
          <cell r="U474">
            <v>9.8000000000000007</v>
          </cell>
          <cell r="V474">
            <v>7.1429999999999993E-2</v>
          </cell>
          <cell r="W474">
            <v>2</v>
          </cell>
        </row>
        <row r="475">
          <cell r="A475" t="str">
            <v>S-2026-05-99</v>
          </cell>
          <cell r="B475" t="str">
            <v>CHUA RL</v>
          </cell>
          <cell r="C475" t="str">
            <v>RPRO-260529-0345</v>
          </cell>
          <cell r="D475" t="str">
            <v>PUR2600502900001S</v>
          </cell>
          <cell r="E475" t="str">
            <v>BDB-000291</v>
          </cell>
          <cell r="F475" t="str">
            <v>PVN-004250</v>
          </cell>
          <cell r="G475" t="str">
            <v>OrthoLite Regular NEUTRAL GRAY/17-4402TPX Flat Sheet 0.15D 45+/-4 Asker C 1.1M 1.7M 9.8mm</v>
          </cell>
          <cell r="H475">
            <v>30</v>
          </cell>
          <cell r="I475">
            <v>30</v>
          </cell>
          <cell r="J475">
            <v>0</v>
          </cell>
          <cell r="K475">
            <v>30</v>
          </cell>
          <cell r="L475" t="str">
            <v>FOOTJOY</v>
          </cell>
          <cell r="M475" t="str">
            <v xml:space="preserve"> Sample</v>
          </cell>
          <cell r="N475" t="str">
            <v>MOLDED</v>
          </cell>
          <cell r="O475" t="str">
            <v>Sample</v>
          </cell>
          <cell r="P475">
            <v>46171</v>
          </cell>
          <cell r="Q475">
            <v>46178</v>
          </cell>
          <cell r="R475">
            <v>46175</v>
          </cell>
          <cell r="S475">
            <v>6</v>
          </cell>
          <cell r="T475">
            <v>7</v>
          </cell>
          <cell r="U475">
            <v>9.8000000000000007</v>
          </cell>
          <cell r="V475">
            <v>7.1429999999999993E-2</v>
          </cell>
          <cell r="W475">
            <v>3</v>
          </cell>
        </row>
        <row r="476">
          <cell r="A476" t="str">
            <v>S-2026-05-100</v>
          </cell>
          <cell r="B476" t="str">
            <v>CHUA RL</v>
          </cell>
          <cell r="C476" t="str">
            <v>RPRO-260529-0346</v>
          </cell>
          <cell r="D476" t="str">
            <v>PUR2600502900001S</v>
          </cell>
          <cell r="E476" t="str">
            <v>BDB-000051</v>
          </cell>
          <cell r="F476" t="str">
            <v>PVN-003324</v>
          </cell>
          <cell r="G476" t="str">
            <v>OrthoLite X-40 TRUE BLUE/19-4057TPX Flat Sheet 0.16D 25+/-4 Asker C 1.1M 1.7M 7.5mm</v>
          </cell>
          <cell r="H476">
            <v>10</v>
          </cell>
          <cell r="I476">
            <v>10</v>
          </cell>
          <cell r="J476">
            <v>0</v>
          </cell>
          <cell r="K476">
            <v>10</v>
          </cell>
          <cell r="L476" t="str">
            <v>FOOTJOY</v>
          </cell>
          <cell r="M476" t="str">
            <v xml:space="preserve"> Sample/ URGENT</v>
          </cell>
          <cell r="N476" t="str">
            <v>MOLDED</v>
          </cell>
          <cell r="O476" t="str">
            <v>Sample</v>
          </cell>
          <cell r="P476">
            <v>46171</v>
          </cell>
          <cell r="Q476">
            <v>46177</v>
          </cell>
          <cell r="R476">
            <v>46174</v>
          </cell>
          <cell r="S476">
            <v>6</v>
          </cell>
          <cell r="T476">
            <v>6</v>
          </cell>
          <cell r="U476">
            <v>7.5</v>
          </cell>
          <cell r="V476">
            <v>5.5559999999999998E-2</v>
          </cell>
          <cell r="W476">
            <v>1</v>
          </cell>
        </row>
        <row r="477">
          <cell r="A477" t="str">
            <v>S-2026-05-102</v>
          </cell>
          <cell r="B477" t="str">
            <v>chờ tạo bom</v>
          </cell>
          <cell r="C477" t="str">
            <v>RPRO-260601-0847</v>
          </cell>
          <cell r="D477" t="str">
            <v>PUR-202606010001S</v>
          </cell>
          <cell r="E477" t="str">
            <v>BDB-000123</v>
          </cell>
          <cell r="F477" t="str">
            <v>PVN-003298</v>
          </cell>
          <cell r="G477" t="str">
            <v>OrthoLite Ultra-Hybrid SEEDPEARL/12-0703TPX Hybrid 0.085D 25+/-4 Asker C 1.1M 2M 4mm</v>
          </cell>
          <cell r="H477">
            <v>100</v>
          </cell>
          <cell r="I477">
            <v>100</v>
          </cell>
          <cell r="J477">
            <v>0</v>
          </cell>
          <cell r="K477">
            <v>100</v>
          </cell>
          <cell r="L477" t="str">
            <v>SALOMON</v>
          </cell>
          <cell r="M477" t="str">
            <v>Sample</v>
          </cell>
          <cell r="N477" t="str">
            <v>FL SHEET</v>
          </cell>
          <cell r="O477" t="str">
            <v>Sample</v>
          </cell>
          <cell r="P477">
            <v>46174</v>
          </cell>
          <cell r="Q477">
            <v>46181</v>
          </cell>
          <cell r="R477">
            <v>46178</v>
          </cell>
          <cell r="S477">
            <v>6</v>
          </cell>
          <cell r="T477">
            <v>7</v>
          </cell>
          <cell r="U477">
            <v>4</v>
          </cell>
          <cell r="V477">
            <v>2.8570000000000002E-2</v>
          </cell>
          <cell r="W477">
            <v>3</v>
          </cell>
        </row>
        <row r="478">
          <cell r="A478" t="str">
            <v>S-2026-05-103</v>
          </cell>
          <cell r="B478"/>
          <cell r="C478" t="str">
            <v>RPRO-260601-0848</v>
          </cell>
          <cell r="D478" t="str">
            <v>PUR-202606010001S</v>
          </cell>
          <cell r="E478" t="str">
            <v>BDB-000123</v>
          </cell>
          <cell r="F478" t="str">
            <v>PVN-002973</v>
          </cell>
          <cell r="G478" t="str">
            <v>UltraLite-Hybrid OrthoLite SEEDPEARL/12-0703TPX Hybrid Flat Sheet 0.085D 25+/-4 Asker C 1.1M 2M 4.5mm</v>
          </cell>
          <cell r="H478">
            <v>30</v>
          </cell>
          <cell r="I478">
            <v>30</v>
          </cell>
          <cell r="J478">
            <v>0</v>
          </cell>
          <cell r="K478">
            <v>30</v>
          </cell>
          <cell r="L478" t="str">
            <v>SALOMON</v>
          </cell>
          <cell r="M478" t="str">
            <v>Sample</v>
          </cell>
          <cell r="N478" t="str">
            <v>MOLDED</v>
          </cell>
          <cell r="O478" t="str">
            <v>Sample</v>
          </cell>
          <cell r="P478">
            <v>46174</v>
          </cell>
          <cell r="Q478">
            <v>46181</v>
          </cell>
          <cell r="R478">
            <v>46178</v>
          </cell>
          <cell r="S478">
            <v>6</v>
          </cell>
          <cell r="T478">
            <v>7</v>
          </cell>
          <cell r="U478">
            <v>4.5</v>
          </cell>
          <cell r="V478">
            <v>3.2259999999999997E-2</v>
          </cell>
          <cell r="W478">
            <v>1</v>
          </cell>
        </row>
        <row r="479">
          <cell r="A479" t="str">
            <v>S-2026-05-104</v>
          </cell>
          <cell r="B479"/>
          <cell r="C479" t="str">
            <v>RPRO-260601-0849</v>
          </cell>
          <cell r="D479" t="str">
            <v>PUR-202606010001S</v>
          </cell>
          <cell r="E479" t="str">
            <v>BDB-000113</v>
          </cell>
          <cell r="F479" t="str">
            <v>PVN-002465</v>
          </cell>
          <cell r="G479" t="str">
            <v>OrthoLite Regular-Hybrid SEEDPEARL/12-0703TPX Hybrid Flat Sheet 0.11D 25+/-4 Asker C 1.1M 2M 5mm</v>
          </cell>
          <cell r="H479">
            <v>50</v>
          </cell>
          <cell r="I479">
            <v>50</v>
          </cell>
          <cell r="J479">
            <v>0</v>
          </cell>
          <cell r="K479">
            <v>50</v>
          </cell>
          <cell r="L479" t="str">
            <v>ASICS</v>
          </cell>
          <cell r="M479" t="str">
            <v>Sample</v>
          </cell>
          <cell r="N479" t="str">
            <v>DIE-CUT</v>
          </cell>
          <cell r="O479" t="str">
            <v>Sample</v>
          </cell>
          <cell r="P479">
            <v>46174</v>
          </cell>
          <cell r="Q479">
            <v>46181</v>
          </cell>
          <cell r="R479">
            <v>46178</v>
          </cell>
          <cell r="S479">
            <v>6</v>
          </cell>
          <cell r="T479">
            <v>7</v>
          </cell>
          <cell r="U479">
            <v>5</v>
          </cell>
          <cell r="V479">
            <v>3.5709999999999999E-2</v>
          </cell>
          <cell r="W479">
            <v>2</v>
          </cell>
        </row>
        <row r="480">
          <cell r="A480" t="str">
            <v>S-2026-05-105</v>
          </cell>
          <cell r="B480"/>
          <cell r="C480" t="str">
            <v>RPRO-260601-0850</v>
          </cell>
          <cell r="D480" t="str">
            <v xml:space="preserve">PUR-202606010001S </v>
          </cell>
          <cell r="E480" t="str">
            <v>BDB-000058</v>
          </cell>
          <cell r="F480" t="str">
            <v>PVN-003630</v>
          </cell>
          <cell r="G480" t="str">
            <v>OrthoLite Ultra GREEN/16-5932TPX Flat Sheet 0.085D 25+/-4 Asker C 1.1M 2M 2mm</v>
          </cell>
          <cell r="H480">
            <v>30</v>
          </cell>
          <cell r="I480">
            <v>30</v>
          </cell>
          <cell r="J480">
            <v>0</v>
          </cell>
          <cell r="K480">
            <v>30</v>
          </cell>
          <cell r="L480" t="str">
            <v>UNDER ARMOUR</v>
          </cell>
          <cell r="M480" t="str">
            <v>SSO-2606-00021    - URGENT (6-8)</v>
          </cell>
          <cell r="N480" t="str">
            <v>Flat sheet</v>
          </cell>
          <cell r="O480" t="str">
            <v>Sample</v>
          </cell>
          <cell r="P480">
            <v>46174</v>
          </cell>
          <cell r="Q480">
            <v>46181</v>
          </cell>
          <cell r="R480">
            <v>46178</v>
          </cell>
          <cell r="S480">
            <v>6</v>
          </cell>
          <cell r="T480">
            <v>7</v>
          </cell>
          <cell r="U480">
            <v>2</v>
          </cell>
          <cell r="V480">
            <v>1.4290000000000001E-2</v>
          </cell>
          <cell r="W480">
            <v>1</v>
          </cell>
        </row>
        <row r="481">
          <cell r="A481" t="str">
            <v>S-2026-05-106</v>
          </cell>
          <cell r="B481"/>
          <cell r="C481" t="str">
            <v>RPRO-260601-0851</v>
          </cell>
          <cell r="D481" t="str">
            <v xml:space="preserve">PUR-202606010001S </v>
          </cell>
          <cell r="E481" t="str">
            <v>BDB-000180</v>
          </cell>
          <cell r="F481" t="str">
            <v>PVN-003236</v>
          </cell>
          <cell r="G481" t="str">
            <v>OrthoLite Eco LT-Hybrid-Converse SEEDPEARL/12-0703TPX Hybrid Flat Sheet 0.13D 25+/-4 Asker C 1.1M 2M 5mm</v>
          </cell>
          <cell r="H481">
            <v>50</v>
          </cell>
          <cell r="I481">
            <v>50</v>
          </cell>
          <cell r="J481">
            <v>0</v>
          </cell>
          <cell r="K481">
            <v>50</v>
          </cell>
          <cell r="L481" t="str">
            <v>CONVERSE</v>
          </cell>
          <cell r="M481" t="str">
            <v>Sample</v>
          </cell>
          <cell r="N481" t="str">
            <v>Die cut</v>
          </cell>
          <cell r="O481" t="str">
            <v>Sample</v>
          </cell>
          <cell r="P481">
            <v>46174</v>
          </cell>
          <cell r="Q481">
            <v>46181</v>
          </cell>
          <cell r="R481">
            <v>46178</v>
          </cell>
          <cell r="S481">
            <v>6</v>
          </cell>
          <cell r="T481">
            <v>7</v>
          </cell>
          <cell r="U481">
            <v>5</v>
          </cell>
          <cell r="V481">
            <v>3.5709999999999999E-2</v>
          </cell>
          <cell r="W481">
            <v>2</v>
          </cell>
        </row>
        <row r="482">
          <cell r="A482" t="str">
            <v>S-2026-06-01</v>
          </cell>
          <cell r="B482" t="str">
            <v>chua rl</v>
          </cell>
          <cell r="C482" t="str">
            <v>RPRO-260602-0720</v>
          </cell>
          <cell r="D482" t="str">
            <v>PUR-202606010001S</v>
          </cell>
          <cell r="E482" t="str">
            <v>BDB-000234</v>
          </cell>
          <cell r="F482" t="str">
            <v>PVN-004433</v>
          </cell>
          <cell r="G482" t="str">
            <v>OrthoLite X-30-Hybrid BROWN SUGAR/17-1134TPX Hybrid Flat Sheet 0.13D 25+/-4 Asker C 1.1M 2M 15mm</v>
          </cell>
          <cell r="H482">
            <v>10</v>
          </cell>
          <cell r="I482">
            <v>10</v>
          </cell>
          <cell r="J482">
            <v>0</v>
          </cell>
          <cell r="K482">
            <v>10</v>
          </cell>
          <cell r="L482" t="str">
            <v>ASICS</v>
          </cell>
          <cell r="M482" t="str">
            <v>Sample</v>
          </cell>
          <cell r="N482" t="str">
            <v xml:space="preserve">DIE-CUT
URGENT </v>
          </cell>
          <cell r="O482" t="str">
            <v>Sample</v>
          </cell>
          <cell r="P482">
            <v>46174</v>
          </cell>
          <cell r="Q482">
            <v>46181</v>
          </cell>
          <cell r="R482">
            <v>46178</v>
          </cell>
          <cell r="S482">
            <v>6</v>
          </cell>
          <cell r="T482">
            <v>7</v>
          </cell>
          <cell r="U482" t="str">
            <v/>
          </cell>
          <cell r="V482">
            <v>0.11111</v>
          </cell>
          <cell r="W482">
            <v>2</v>
          </cell>
        </row>
        <row r="483">
          <cell r="A483" t="str">
            <v>S-2026-06-02</v>
          </cell>
          <cell r="B483" t="str">
            <v>chua rl</v>
          </cell>
          <cell r="C483" t="str">
            <v>RPRO-260602-0721</v>
          </cell>
          <cell r="D483" t="str">
            <v>PUR2600600100003S</v>
          </cell>
          <cell r="E483" t="str">
            <v>BDB-000212</v>
          </cell>
          <cell r="F483" t="str">
            <v>PVN-003764</v>
          </cell>
          <cell r="G483" t="str">
            <v>OrthoLite X-25-Hybrid SEEDPEARL/12-0703TPX Hybrid Flat Sheet 0.12D 20+/-4 Asker C 1.1M 2M 5mm</v>
          </cell>
          <cell r="H483">
            <v>30</v>
          </cell>
          <cell r="I483">
            <v>30</v>
          </cell>
          <cell r="J483">
            <v>0</v>
          </cell>
          <cell r="K483">
            <v>30</v>
          </cell>
          <cell r="L483" t="str">
            <v>FOOTJOY</v>
          </cell>
          <cell r="M483" t="str">
            <v xml:space="preserve"> Sample/ URGENT</v>
          </cell>
          <cell r="N483" t="str">
            <v>MOLDED</v>
          </cell>
          <cell r="O483" t="str">
            <v>Sample</v>
          </cell>
          <cell r="P483">
            <v>46174</v>
          </cell>
          <cell r="Q483">
            <v>46181</v>
          </cell>
          <cell r="R483">
            <v>46178</v>
          </cell>
          <cell r="S483">
            <v>6</v>
          </cell>
          <cell r="T483">
            <v>7</v>
          </cell>
          <cell r="U483">
            <v>5</v>
          </cell>
          <cell r="V483">
            <v>3.5709999999999999E-2</v>
          </cell>
          <cell r="W483">
            <v>2</v>
          </cell>
        </row>
        <row r="484">
          <cell r="A484" t="str">
            <v>S-2026-06-03</v>
          </cell>
          <cell r="B484" t="str">
            <v>chua rl</v>
          </cell>
          <cell r="C484" t="str">
            <v>RPRO-260602-0722</v>
          </cell>
          <cell r="D484" t="str">
            <v>PUR-202606020001S</v>
          </cell>
          <cell r="E484" t="str">
            <v>BDB-000321</v>
          </cell>
          <cell r="F484" t="str">
            <v>PVN-004092</v>
          </cell>
          <cell r="G484" t="str">
            <v>OrthoLite Float BLUE ATOLL/16-4535TPX Flat Sheet 0.12D 21+/-4 Asker C 1.1M 2M 14.5mm</v>
          </cell>
          <cell r="H484">
            <v>30</v>
          </cell>
          <cell r="I484">
            <v>30</v>
          </cell>
          <cell r="J484">
            <v>0</v>
          </cell>
          <cell r="K484">
            <v>30</v>
          </cell>
          <cell r="L484" t="str">
            <v>LOWA</v>
          </cell>
          <cell r="M484" t="str">
            <v>Sample</v>
          </cell>
          <cell r="N484" t="str">
            <v>MOLDED</v>
          </cell>
          <cell r="O484" t="str">
            <v>Sample</v>
          </cell>
          <cell r="P484">
            <v>46175</v>
          </cell>
          <cell r="Q484">
            <v>46182</v>
          </cell>
          <cell r="R484">
            <v>46179</v>
          </cell>
          <cell r="S484">
            <v>6</v>
          </cell>
          <cell r="T484">
            <v>7</v>
          </cell>
          <cell r="U484">
            <v>14.5</v>
          </cell>
          <cell r="V484">
            <v>0.11111</v>
          </cell>
          <cell r="W484">
            <v>4</v>
          </cell>
        </row>
        <row r="485">
          <cell r="A485" t="str">
            <v>S-2026-06-04</v>
          </cell>
          <cell r="B485" t="str">
            <v>chua rl</v>
          </cell>
          <cell r="C485" t="str">
            <v>RPRO-260602-0723</v>
          </cell>
          <cell r="D485" t="str">
            <v>PUR-202606020001S</v>
          </cell>
          <cell r="E485" t="str">
            <v>BDB-000051</v>
          </cell>
          <cell r="F485" t="str">
            <v>PVN-004057</v>
          </cell>
          <cell r="G485" t="str">
            <v>OrthoLite X-40 TRUE BLUE/19-4057TPX Flat Sheet 0.16D 25+/-4 Asker C 1.1M 1.7M 14.5mm</v>
          </cell>
          <cell r="H485">
            <v>20</v>
          </cell>
          <cell r="I485">
            <v>20</v>
          </cell>
          <cell r="J485">
            <v>0</v>
          </cell>
          <cell r="K485">
            <v>20</v>
          </cell>
          <cell r="L485" t="str">
            <v>LOWA</v>
          </cell>
          <cell r="M485" t="str">
            <v>Sample</v>
          </cell>
          <cell r="N485" t="str">
            <v>MOLDED</v>
          </cell>
          <cell r="O485" t="str">
            <v>Sample</v>
          </cell>
          <cell r="P485">
            <v>46175</v>
          </cell>
          <cell r="Q485">
            <v>46182</v>
          </cell>
          <cell r="R485">
            <v>46179</v>
          </cell>
          <cell r="S485">
            <v>6</v>
          </cell>
          <cell r="T485">
            <v>7</v>
          </cell>
          <cell r="U485">
            <v>14.5</v>
          </cell>
          <cell r="V485">
            <v>0.11111</v>
          </cell>
          <cell r="W485">
            <v>3</v>
          </cell>
        </row>
        <row r="486">
          <cell r="A486" t="str">
            <v>S-2026-06-05</v>
          </cell>
          <cell r="B486" t="str">
            <v>chua rl</v>
          </cell>
          <cell r="C486" t="str">
            <v>RPRO-260602-0724</v>
          </cell>
          <cell r="D486" t="str">
            <v>PUR-202606020001S</v>
          </cell>
          <cell r="E486" t="str">
            <v>BDB-000123</v>
          </cell>
          <cell r="F486" t="str">
            <v>PVN-003743</v>
          </cell>
          <cell r="G486" t="str">
            <v>OrthoLite Ultra-Hybrid SEEDPEARL/12-0703TPX Hybrid Flat Sheet 0.085D 25+/-4 Asker C 1.1M 2M 5.5mm</v>
          </cell>
          <cell r="H486">
            <v>30</v>
          </cell>
          <cell r="I486">
            <v>30</v>
          </cell>
          <cell r="J486">
            <v>0</v>
          </cell>
          <cell r="K486">
            <v>30</v>
          </cell>
          <cell r="L486" t="str">
            <v>LOWA</v>
          </cell>
          <cell r="M486" t="str">
            <v>Sample</v>
          </cell>
          <cell r="N486" t="str">
            <v>MOLDED</v>
          </cell>
          <cell r="O486" t="str">
            <v>Sample</v>
          </cell>
          <cell r="P486">
            <v>46175</v>
          </cell>
          <cell r="Q486">
            <v>46182</v>
          </cell>
          <cell r="R486">
            <v>46179</v>
          </cell>
          <cell r="S486">
            <v>6</v>
          </cell>
          <cell r="T486">
            <v>7</v>
          </cell>
          <cell r="U486">
            <v>5.5</v>
          </cell>
          <cell r="V486">
            <v>0.04</v>
          </cell>
          <cell r="W486">
            <v>2</v>
          </cell>
        </row>
        <row r="487">
          <cell r="A487" t="str">
            <v>S-2026-06-06</v>
          </cell>
          <cell r="B487" t="str">
            <v>chua rl</v>
          </cell>
          <cell r="C487" t="str">
            <v>RPRO-260602-0725</v>
          </cell>
          <cell r="D487" t="str">
            <v xml:space="preserve">PUR2606020002S   </v>
          </cell>
          <cell r="E487" t="str">
            <v>BDB-000058</v>
          </cell>
          <cell r="F487" t="str">
            <v>PVN-004098</v>
          </cell>
          <cell r="G487" t="str">
            <v>OrthoLite Ultra GREEN/16-5932TPX Flat Sheet 0.085D 25+/-4 Asker C 1.1M 2M 3mm</v>
          </cell>
          <cell r="H487">
            <v>30</v>
          </cell>
          <cell r="I487">
            <v>30</v>
          </cell>
          <cell r="J487">
            <v>0</v>
          </cell>
          <cell r="K487">
            <v>30</v>
          </cell>
          <cell r="L487" t="str">
            <v>ADIDAS</v>
          </cell>
          <cell r="M487" t="str">
            <v>SSO-2606-00031    - URGENT (6-10)</v>
          </cell>
          <cell r="N487" t="str">
            <v>Flat sheet</v>
          </cell>
          <cell r="O487" t="str">
            <v>Sample</v>
          </cell>
          <cell r="P487">
            <v>46175</v>
          </cell>
          <cell r="Q487">
            <v>46182</v>
          </cell>
          <cell r="R487">
            <v>46179</v>
          </cell>
          <cell r="S487">
            <v>6</v>
          </cell>
          <cell r="T487">
            <v>7</v>
          </cell>
          <cell r="U487">
            <v>3</v>
          </cell>
          <cell r="V487">
            <v>2.1739999999999999E-2</v>
          </cell>
          <cell r="W487">
            <v>1</v>
          </cell>
        </row>
        <row r="488">
          <cell r="A488" t="str">
            <v>S-2026-06-07</v>
          </cell>
          <cell r="B488" t="str">
            <v>chua rl</v>
          </cell>
          <cell r="C488" t="str">
            <v>RPRO-260602-0726</v>
          </cell>
          <cell r="D488" t="str">
            <v xml:space="preserve">PUR2606020002S   </v>
          </cell>
          <cell r="E488" t="str">
            <v>BDB-000123</v>
          </cell>
          <cell r="F488" t="str">
            <v>PVN-003300</v>
          </cell>
          <cell r="G488" t="str">
            <v>OrthoLite Ultra-Hybrid SEEDPEARL/12-0703TPX Hybrid Flat Sheet 0.085D 25+/-4 Asker C 1.1M 2M 2mm</v>
          </cell>
          <cell r="H488">
            <v>60</v>
          </cell>
          <cell r="I488">
            <v>60</v>
          </cell>
          <cell r="J488">
            <v>0</v>
          </cell>
          <cell r="K488">
            <v>60</v>
          </cell>
          <cell r="L488" t="str">
            <v>ADIDAS</v>
          </cell>
          <cell r="M488" t="str">
            <v>SSO-2606-00031    - URGENT (6-10)</v>
          </cell>
          <cell r="N488" t="str">
            <v>Flat sheet</v>
          </cell>
          <cell r="O488" t="str">
            <v>Sample</v>
          </cell>
          <cell r="P488">
            <v>46175</v>
          </cell>
          <cell r="Q488">
            <v>46182</v>
          </cell>
          <cell r="R488">
            <v>46179</v>
          </cell>
          <cell r="S488">
            <v>6</v>
          </cell>
          <cell r="T488">
            <v>7</v>
          </cell>
          <cell r="U488">
            <v>2</v>
          </cell>
          <cell r="V488">
            <v>1.4290000000000001E-2</v>
          </cell>
          <cell r="W488">
            <v>1</v>
          </cell>
        </row>
        <row r="489">
          <cell r="A489" t="str">
            <v>S-2026-06-08</v>
          </cell>
          <cell r="B489" t="str">
            <v>chua rl</v>
          </cell>
          <cell r="C489" t="str">
            <v>RPRO-260602-0727</v>
          </cell>
          <cell r="D489" t="str">
            <v xml:space="preserve">PUR2606020002S   </v>
          </cell>
          <cell r="E489" t="str">
            <v>BDB-000348</v>
          </cell>
          <cell r="F489" t="str">
            <v>PVN-004330</v>
          </cell>
          <cell r="G489" t="str">
            <v>OrthoLite IMPERIAL SEEDPEARL/12-0703TPX Flat Sheet 0.22D 25+/-4 Asker C 1.1M 1.47M 2mm</v>
          </cell>
          <cell r="H489">
            <v>50</v>
          </cell>
          <cell r="I489">
            <v>50</v>
          </cell>
          <cell r="J489">
            <v>0</v>
          </cell>
          <cell r="K489">
            <v>50</v>
          </cell>
          <cell r="L489" t="str">
            <v>ADIDAS</v>
          </cell>
          <cell r="M489" t="str">
            <v>SSO-2606-00031</v>
          </cell>
          <cell r="N489" t="str">
            <v>Flat sheet</v>
          </cell>
          <cell r="O489" t="str">
            <v>Sample</v>
          </cell>
          <cell r="P489">
            <v>46175</v>
          </cell>
          <cell r="Q489">
            <v>46182</v>
          </cell>
          <cell r="R489">
            <v>46179</v>
          </cell>
          <cell r="S489">
            <v>6</v>
          </cell>
          <cell r="T489">
            <v>7</v>
          </cell>
          <cell r="U489">
            <v>2</v>
          </cell>
          <cell r="V489">
            <v>1.389E-2</v>
          </cell>
          <cell r="W489">
            <v>1</v>
          </cell>
        </row>
        <row r="490">
          <cell r="A490"/>
          <cell r="B490" t="str">
            <v>chua rl</v>
          </cell>
          <cell r="C490"/>
          <cell r="D490"/>
          <cell r="E490" t="str">
            <v/>
          </cell>
          <cell r="F490" t="str">
            <v>PVN-004436</v>
          </cell>
          <cell r="G490" t="str">
            <v>OrthoLite X-55-Hybrid SEEDPEARL/12-0703TPX Hybrid Flat Sheet 0.16D 25+/-4 Asker C 1.1M 2M 5mm</v>
          </cell>
          <cell r="H490">
            <v>20</v>
          </cell>
          <cell r="I490">
            <v>20</v>
          </cell>
          <cell r="J490">
            <v>0</v>
          </cell>
          <cell r="K490">
            <v>20</v>
          </cell>
          <cell r="L490" t="str">
            <v>PAYNTR</v>
          </cell>
          <cell r="M490" t="str">
            <v>Sample</v>
          </cell>
          <cell r="N490" t="str">
            <v>MOLDED</v>
          </cell>
          <cell r="O490" t="str">
            <v>Sample</v>
          </cell>
          <cell r="P490">
            <v>46175</v>
          </cell>
          <cell r="Q490">
            <v>46182</v>
          </cell>
          <cell r="R490">
            <v>46179</v>
          </cell>
          <cell r="S490">
            <v>6</v>
          </cell>
          <cell r="T490">
            <v>7</v>
          </cell>
          <cell r="U490" t="str">
            <v/>
          </cell>
          <cell r="V490" t="e">
            <v>#N/A</v>
          </cell>
          <cell r="W490" t="str">
            <v/>
          </cell>
        </row>
        <row r="491">
          <cell r="A491"/>
          <cell r="B491"/>
          <cell r="C491"/>
          <cell r="D491"/>
          <cell r="E491" t="str">
            <v/>
          </cell>
          <cell r="F491"/>
          <cell r="G491"/>
          <cell r="H491"/>
          <cell r="I491"/>
          <cell r="J491">
            <v>0</v>
          </cell>
          <cell r="K491">
            <v>0</v>
          </cell>
          <cell r="L491"/>
          <cell r="M491"/>
          <cell r="N491"/>
          <cell r="O491"/>
          <cell r="P491"/>
          <cell r="Q491"/>
          <cell r="R491"/>
          <cell r="S491"/>
          <cell r="T491"/>
          <cell r="U491" t="str">
            <v/>
          </cell>
          <cell r="V491">
            <v>0</v>
          </cell>
          <cell r="W491">
            <v>0</v>
          </cell>
        </row>
        <row r="492">
          <cell r="A492"/>
          <cell r="B492"/>
          <cell r="C492"/>
          <cell r="D492"/>
          <cell r="E492" t="str">
            <v/>
          </cell>
          <cell r="F492"/>
          <cell r="G492"/>
          <cell r="H492"/>
          <cell r="I492"/>
          <cell r="J492">
            <v>0</v>
          </cell>
          <cell r="K492">
            <v>0</v>
          </cell>
          <cell r="L492"/>
          <cell r="M492"/>
          <cell r="N492"/>
          <cell r="O492"/>
          <cell r="P492"/>
          <cell r="Q492"/>
          <cell r="R492"/>
          <cell r="S492"/>
          <cell r="T492"/>
          <cell r="U492" t="str">
            <v/>
          </cell>
          <cell r="V492">
            <v>0</v>
          </cell>
          <cell r="W492">
            <v>0</v>
          </cell>
        </row>
        <row r="493">
          <cell r="A493"/>
          <cell r="B493"/>
          <cell r="C493"/>
          <cell r="D493"/>
          <cell r="E493" t="str">
            <v/>
          </cell>
          <cell r="F493"/>
          <cell r="G493"/>
          <cell r="H493"/>
          <cell r="I493"/>
          <cell r="J493">
            <v>0</v>
          </cell>
          <cell r="K493">
            <v>0</v>
          </cell>
          <cell r="L493"/>
          <cell r="M493"/>
          <cell r="N493"/>
          <cell r="O493"/>
          <cell r="P493"/>
          <cell r="Q493"/>
          <cell r="R493"/>
          <cell r="S493"/>
          <cell r="T493"/>
          <cell r="U493" t="str">
            <v/>
          </cell>
          <cell r="V493">
            <v>0</v>
          </cell>
          <cell r="W493">
            <v>0</v>
          </cell>
        </row>
        <row r="494">
          <cell r="A494"/>
          <cell r="B494"/>
          <cell r="C494"/>
          <cell r="D494"/>
          <cell r="E494" t="str">
            <v/>
          </cell>
          <cell r="F494"/>
          <cell r="G494"/>
          <cell r="H494"/>
          <cell r="I494"/>
          <cell r="J494">
            <v>0</v>
          </cell>
          <cell r="K494">
            <v>0</v>
          </cell>
          <cell r="L494"/>
          <cell r="M494"/>
          <cell r="N494"/>
          <cell r="O494"/>
          <cell r="P494"/>
          <cell r="Q494"/>
          <cell r="R494"/>
          <cell r="S494"/>
          <cell r="T494"/>
          <cell r="U494" t="str">
            <v/>
          </cell>
          <cell r="V494">
            <v>0</v>
          </cell>
          <cell r="W494">
            <v>0</v>
          </cell>
        </row>
        <row r="495">
          <cell r="E495" t="str">
            <v/>
          </cell>
          <cell r="J495">
            <v>0</v>
          </cell>
          <cell r="K495">
            <v>0</v>
          </cell>
          <cell r="N495"/>
          <cell r="O495"/>
          <cell r="U495" t="str">
            <v/>
          </cell>
          <cell r="V495">
            <v>0</v>
          </cell>
          <cell r="W495">
            <v>0</v>
          </cell>
        </row>
        <row r="496">
          <cell r="E496" t="str">
            <v/>
          </cell>
          <cell r="J496">
            <v>0</v>
          </cell>
          <cell r="K496">
            <v>0</v>
          </cell>
          <cell r="O496"/>
          <cell r="U496" t="str">
            <v/>
          </cell>
          <cell r="V496">
            <v>0</v>
          </cell>
          <cell r="W496">
            <v>0</v>
          </cell>
        </row>
        <row r="497">
          <cell r="E497" t="str">
            <v/>
          </cell>
          <cell r="J497">
            <v>0</v>
          </cell>
          <cell r="K497">
            <v>0</v>
          </cell>
          <cell r="O497"/>
          <cell r="U497" t="str">
            <v/>
          </cell>
          <cell r="V497">
            <v>0</v>
          </cell>
          <cell r="W497">
            <v>0</v>
          </cell>
        </row>
        <row r="498">
          <cell r="E498" t="str">
            <v/>
          </cell>
          <cell r="J498">
            <v>0</v>
          </cell>
          <cell r="K498">
            <v>0</v>
          </cell>
          <cell r="O498"/>
          <cell r="U498" t="str">
            <v/>
          </cell>
          <cell r="V498">
            <v>0</v>
          </cell>
          <cell r="W498">
            <v>0</v>
          </cell>
        </row>
        <row r="499">
          <cell r="E499" t="str">
            <v/>
          </cell>
          <cell r="J499">
            <v>0</v>
          </cell>
          <cell r="K499">
            <v>0</v>
          </cell>
          <cell r="U499" t="str">
            <v/>
          </cell>
          <cell r="V499">
            <v>0</v>
          </cell>
          <cell r="W499">
            <v>0</v>
          </cell>
        </row>
        <row r="500">
          <cell r="E500" t="str">
            <v/>
          </cell>
          <cell r="J500">
            <v>0</v>
          </cell>
          <cell r="K500">
            <v>0</v>
          </cell>
          <cell r="U500" t="str">
            <v/>
          </cell>
          <cell r="V500">
            <v>0</v>
          </cell>
          <cell r="W500">
            <v>0</v>
          </cell>
        </row>
        <row r="501">
          <cell r="E501" t="str">
            <v/>
          </cell>
          <cell r="J501">
            <v>0</v>
          </cell>
          <cell r="K501">
            <v>0</v>
          </cell>
          <cell r="U501" t="str">
            <v/>
          </cell>
          <cell r="V501">
            <v>0</v>
          </cell>
          <cell r="W501">
            <v>0</v>
          </cell>
        </row>
        <row r="502">
          <cell r="E502" t="str">
            <v/>
          </cell>
          <cell r="J502">
            <v>0</v>
          </cell>
          <cell r="K502">
            <v>0</v>
          </cell>
          <cell r="U502" t="str">
            <v/>
          </cell>
          <cell r="V502">
            <v>0</v>
          </cell>
          <cell r="W502">
            <v>0</v>
          </cell>
        </row>
        <row r="503">
          <cell r="E503" t="str">
            <v/>
          </cell>
          <cell r="J503">
            <v>0</v>
          </cell>
          <cell r="K503">
            <v>0</v>
          </cell>
          <cell r="U503" t="str">
            <v/>
          </cell>
          <cell r="V503">
            <v>0</v>
          </cell>
          <cell r="W503">
            <v>0</v>
          </cell>
        </row>
        <row r="504">
          <cell r="E504" t="str">
            <v/>
          </cell>
          <cell r="J504">
            <v>0</v>
          </cell>
          <cell r="K504">
            <v>0</v>
          </cell>
          <cell r="U504" t="str">
            <v/>
          </cell>
          <cell r="V504">
            <v>0</v>
          </cell>
          <cell r="W504">
            <v>0</v>
          </cell>
        </row>
        <row r="505">
          <cell r="E505" t="str">
            <v/>
          </cell>
          <cell r="J505">
            <v>0</v>
          </cell>
          <cell r="K505">
            <v>0</v>
          </cell>
          <cell r="U505" t="str">
            <v/>
          </cell>
          <cell r="V505">
            <v>0</v>
          </cell>
          <cell r="W505">
            <v>0</v>
          </cell>
        </row>
        <row r="506">
          <cell r="E506" t="str">
            <v/>
          </cell>
          <cell r="J506">
            <v>0</v>
          </cell>
          <cell r="K506">
            <v>0</v>
          </cell>
          <cell r="U506" t="str">
            <v/>
          </cell>
          <cell r="V506">
            <v>0</v>
          </cell>
          <cell r="W506">
            <v>0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C1" t="str">
            <v>TẠM THỜI NGƯNG NHẬN LAZY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>
        <row r="1">
          <cell r="F1" t="str">
            <v>No_Item</v>
          </cell>
        </row>
      </sheetData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AE26-D39B-4A79-A937-205FFF1964B5}">
  <sheetPr>
    <tabColor theme="4"/>
  </sheetPr>
  <dimension ref="A1:N664"/>
  <sheetViews>
    <sheetView zoomScale="25" zoomScaleNormal="25" zoomScaleSheetLayoutView="34" workbookViewId="0">
      <pane xSplit="1" ySplit="2" topLeftCell="B3" activePane="bottomRight" state="frozen"/>
      <selection activeCell="E27" sqref="E27"/>
      <selection pane="topRight" activeCell="E27" sqref="E27"/>
      <selection pane="bottomLeft" activeCell="E27" sqref="E27"/>
      <selection pane="bottomRight" activeCell="A3" sqref="A3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75.5429687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v>46155.681657291665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10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19</v>
      </c>
      <c r="B3" s="18" t="s">
        <v>38</v>
      </c>
      <c r="C3" s="19" t="s">
        <v>39</v>
      </c>
      <c r="D3" s="20" t="s">
        <v>40</v>
      </c>
      <c r="E3" s="21" t="s">
        <v>41</v>
      </c>
      <c r="F3" s="22">
        <v>20</v>
      </c>
      <c r="G3" s="23">
        <v>1</v>
      </c>
      <c r="H3" s="24">
        <v>1</v>
      </c>
      <c r="I3" s="25" t="s">
        <v>42</v>
      </c>
      <c r="J3" s="25" t="s">
        <v>43</v>
      </c>
      <c r="K3" s="25" t="s">
        <v>44</v>
      </c>
      <c r="L3" s="26">
        <v>1</v>
      </c>
      <c r="M3" s="27"/>
      <c r="N3" s="28">
        <v>46159</v>
      </c>
    </row>
    <row r="4" spans="1:14" s="3" customFormat="1" ht="70" customHeight="1" x14ac:dyDescent="0.35">
      <c r="A4" s="29"/>
      <c r="B4" s="30"/>
      <c r="C4" s="31"/>
      <c r="D4" s="32"/>
      <c r="E4" s="33"/>
      <c r="F4" s="34"/>
      <c r="G4" s="35"/>
      <c r="H4" s="36"/>
      <c r="I4" s="37"/>
      <c r="J4" s="37"/>
      <c r="K4" s="37"/>
      <c r="L4" s="38"/>
      <c r="M4" s="39"/>
      <c r="N4" s="28"/>
    </row>
    <row r="5" spans="1:14" s="3" customFormat="1" ht="70" customHeight="1" x14ac:dyDescent="0.35">
      <c r="A5" s="17" t="s">
        <v>20</v>
      </c>
      <c r="B5" s="18" t="s">
        <v>45</v>
      </c>
      <c r="C5" s="19" t="s">
        <v>46</v>
      </c>
      <c r="D5" s="20" t="s">
        <v>47</v>
      </c>
      <c r="E5" s="21" t="s">
        <v>48</v>
      </c>
      <c r="F5" s="22">
        <v>10</v>
      </c>
      <c r="G5" s="23">
        <v>1</v>
      </c>
      <c r="H5" s="24">
        <v>1</v>
      </c>
      <c r="I5" s="25" t="s">
        <v>49</v>
      </c>
      <c r="J5" s="25" t="s">
        <v>50</v>
      </c>
      <c r="K5" s="25" t="s">
        <v>51</v>
      </c>
      <c r="L5" s="26">
        <v>1</v>
      </c>
      <c r="M5" s="27"/>
      <c r="N5" s="28">
        <v>46159</v>
      </c>
    </row>
    <row r="6" spans="1:14" s="3" customFormat="1" ht="70" customHeight="1" x14ac:dyDescent="0.35">
      <c r="A6" s="29"/>
      <c r="B6" s="30"/>
      <c r="C6" s="31"/>
      <c r="D6" s="32"/>
      <c r="E6" s="33"/>
      <c r="F6" s="34"/>
      <c r="G6" s="35"/>
      <c r="H6" s="36"/>
      <c r="I6" s="37"/>
      <c r="J6" s="37"/>
      <c r="K6" s="37"/>
      <c r="L6" s="38"/>
      <c r="M6" s="39"/>
      <c r="N6" s="28"/>
    </row>
    <row r="7" spans="1:14" s="3" customFormat="1" ht="70" customHeight="1" x14ac:dyDescent="0.35">
      <c r="A7" s="17" t="s">
        <v>16</v>
      </c>
      <c r="B7" s="18" t="s">
        <v>22</v>
      </c>
      <c r="C7" s="19" t="s">
        <v>23</v>
      </c>
      <c r="D7" s="20" t="s">
        <v>24</v>
      </c>
      <c r="E7" s="21" t="s">
        <v>25</v>
      </c>
      <c r="F7" s="22">
        <v>40</v>
      </c>
      <c r="G7" s="23">
        <v>4</v>
      </c>
      <c r="H7" s="24">
        <v>4</v>
      </c>
      <c r="I7" s="25" t="s">
        <v>26</v>
      </c>
      <c r="J7" s="25" t="s">
        <v>27</v>
      </c>
      <c r="K7" s="25" t="s">
        <v>28</v>
      </c>
      <c r="L7" s="26">
        <v>4</v>
      </c>
      <c r="M7" s="27"/>
      <c r="N7" s="28">
        <v>46162</v>
      </c>
    </row>
    <row r="8" spans="1:14" s="3" customFormat="1" ht="70" customHeight="1" x14ac:dyDescent="0.35">
      <c r="A8" s="29"/>
      <c r="B8" s="30"/>
      <c r="C8" s="31"/>
      <c r="D8" s="32"/>
      <c r="E8" s="33"/>
      <c r="F8" s="34"/>
      <c r="G8" s="35"/>
      <c r="H8" s="36"/>
      <c r="I8" s="37"/>
      <c r="J8" s="37"/>
      <c r="K8" s="37"/>
      <c r="L8" s="38"/>
      <c r="M8" s="39"/>
      <c r="N8" s="28"/>
    </row>
    <row r="9" spans="1:14" s="3" customFormat="1" ht="70" customHeight="1" x14ac:dyDescent="0.35">
      <c r="A9" s="17" t="s">
        <v>17</v>
      </c>
      <c r="B9" s="18" t="s">
        <v>29</v>
      </c>
      <c r="C9" s="19" t="s">
        <v>30</v>
      </c>
      <c r="D9" s="20" t="s">
        <v>31</v>
      </c>
      <c r="E9" s="21" t="s">
        <v>32</v>
      </c>
      <c r="F9" s="22">
        <v>50</v>
      </c>
      <c r="G9" s="23">
        <v>2</v>
      </c>
      <c r="H9" s="24">
        <v>2</v>
      </c>
      <c r="I9" s="25" t="s">
        <v>33</v>
      </c>
      <c r="J9" s="25" t="s">
        <v>27</v>
      </c>
      <c r="K9" s="25" t="s">
        <v>28</v>
      </c>
      <c r="L9" s="26">
        <v>2</v>
      </c>
      <c r="M9" s="27"/>
      <c r="N9" s="28">
        <v>46162</v>
      </c>
    </row>
    <row r="10" spans="1:14" s="3" customFormat="1" ht="70" customHeight="1" x14ac:dyDescent="0.35">
      <c r="A10" s="29"/>
      <c r="B10" s="30"/>
      <c r="C10" s="31"/>
      <c r="D10" s="32"/>
      <c r="E10" s="33"/>
      <c r="F10" s="34"/>
      <c r="G10" s="35"/>
      <c r="H10" s="36"/>
      <c r="I10" s="37"/>
      <c r="J10" s="37"/>
      <c r="K10" s="37"/>
      <c r="L10" s="38"/>
      <c r="M10" s="39"/>
      <c r="N10" s="28"/>
    </row>
    <row r="11" spans="1:14" s="3" customFormat="1" ht="70" customHeight="1" x14ac:dyDescent="0.35">
      <c r="A11" s="17" t="s">
        <v>18</v>
      </c>
      <c r="B11" s="18" t="s">
        <v>34</v>
      </c>
      <c r="C11" s="19" t="s">
        <v>35</v>
      </c>
      <c r="D11" s="20" t="s">
        <v>36</v>
      </c>
      <c r="E11" s="21" t="s">
        <v>37</v>
      </c>
      <c r="F11" s="22">
        <v>40</v>
      </c>
      <c r="G11" s="23">
        <v>2</v>
      </c>
      <c r="H11" s="24">
        <v>2</v>
      </c>
      <c r="I11" s="25" t="s">
        <v>33</v>
      </c>
      <c r="J11" s="25" t="s">
        <v>27</v>
      </c>
      <c r="K11" s="25" t="s">
        <v>28</v>
      </c>
      <c r="L11" s="26">
        <v>2</v>
      </c>
      <c r="M11" s="40"/>
      <c r="N11" s="28">
        <v>46162</v>
      </c>
    </row>
    <row r="12" spans="1:14" s="3" customFormat="1" ht="70" customHeight="1" x14ac:dyDescent="0.35">
      <c r="A12" s="17"/>
      <c r="B12" s="18" t="e">
        <f>VLOOKUP(A12,'[2]master plan'!A:C,3,0)</f>
        <v>#N/A</v>
      </c>
      <c r="C12" s="19" t="e">
        <f>VLOOKUP($A12,'[2]master plan'!$A:$N,5,0)</f>
        <v>#N/A</v>
      </c>
      <c r="D12" s="20" t="e">
        <f>VLOOKUP($A12,'[2]master plan'!$A:$N,6,0)</f>
        <v>#N/A</v>
      </c>
      <c r="E12" s="21" t="e">
        <f>VLOOKUP(A12,'[2]master plan'!A:G,7,0)</f>
        <v>#N/A</v>
      </c>
      <c r="F12" s="22" t="e">
        <f>VLOOKUP(A12,'[2]master plan'!A:H,8,0)</f>
        <v>#N/A</v>
      </c>
      <c r="G12" s="23" t="e">
        <f>VLOOKUP(A12,'[2]master plan'!A:W,23,0)</f>
        <v>#N/A</v>
      </c>
      <c r="H12" s="24" t="e">
        <f>VLOOKUP(A12,'[2]master plan'!A:W,23,0)</f>
        <v>#N/A</v>
      </c>
      <c r="I12" s="25" t="e">
        <f>VLOOKUP($A12,'[2]master plan'!$A:$N,12,0)</f>
        <v>#N/A</v>
      </c>
      <c r="J12" s="25" t="e">
        <f>VLOOKUP($A12,'[2]master plan'!$A:$N,13,0)</f>
        <v>#N/A</v>
      </c>
      <c r="K12" s="25" t="e">
        <f>VLOOKUP($A12,'[2]master plan'!$A:$N,14,0)</f>
        <v>#N/A</v>
      </c>
      <c r="L12" s="26"/>
      <c r="M12" s="40"/>
      <c r="N12" s="28" t="str">
        <f>_xlfn.IFNA(VLOOKUP(A12,'[2]master plan'!A:R,18,0),"")</f>
        <v/>
      </c>
    </row>
    <row r="13" spans="1:14" s="3" customFormat="1" ht="70" customHeight="1" x14ac:dyDescent="0.35">
      <c r="A13" s="17"/>
      <c r="B13" s="18" t="e">
        <f>VLOOKUP(A13,'[2]master plan'!A:C,3,0)</f>
        <v>#N/A</v>
      </c>
      <c r="C13" s="19" t="e">
        <f>VLOOKUP($A13,'[2]master plan'!$A:$N,5,0)</f>
        <v>#N/A</v>
      </c>
      <c r="D13" s="20" t="e">
        <f>VLOOKUP($A13,'[2]master plan'!$A:$N,6,0)</f>
        <v>#N/A</v>
      </c>
      <c r="E13" s="21" t="e">
        <f>VLOOKUP(A13,'[2]master plan'!A:G,7,0)</f>
        <v>#N/A</v>
      </c>
      <c r="F13" s="22" t="e">
        <f>VLOOKUP(A13,'[2]master plan'!A:H,8,0)</f>
        <v>#N/A</v>
      </c>
      <c r="G13" s="23" t="e">
        <f>VLOOKUP(A13,'[2]master plan'!A:W,23,0)</f>
        <v>#N/A</v>
      </c>
      <c r="H13" s="24" t="e">
        <f>VLOOKUP(A13,'[2]master plan'!A:W,23,0)</f>
        <v>#N/A</v>
      </c>
      <c r="I13" s="25" t="e">
        <f>VLOOKUP($A13,'[2]master plan'!$A:$N,12,0)</f>
        <v>#N/A</v>
      </c>
      <c r="J13" s="25" t="e">
        <f>VLOOKUP($A13,'[2]master plan'!$A:$N,13,0)</f>
        <v>#N/A</v>
      </c>
      <c r="K13" s="25" t="e">
        <f>VLOOKUP($A13,'[2]master plan'!$A:$N,14,0)</f>
        <v>#N/A</v>
      </c>
      <c r="L13" s="26"/>
      <c r="M13" s="27"/>
      <c r="N13" s="28" t="str">
        <f>_xlfn.IFNA(VLOOKUP(A13,'[2]master plan'!A:R,18,0),"")</f>
        <v/>
      </c>
    </row>
    <row r="14" spans="1:14" s="3" customFormat="1" ht="70" customHeight="1" x14ac:dyDescent="0.35">
      <c r="A14" s="17"/>
      <c r="B14" s="18" t="e">
        <f>VLOOKUP(A14,'[2]master plan'!A:C,3,0)</f>
        <v>#N/A</v>
      </c>
      <c r="C14" s="19" t="e">
        <f>VLOOKUP($A14,'[2]master plan'!$A:$N,5,0)</f>
        <v>#N/A</v>
      </c>
      <c r="D14" s="20" t="e">
        <f>VLOOKUP($A14,'[2]master plan'!$A:$N,6,0)</f>
        <v>#N/A</v>
      </c>
      <c r="E14" s="21" t="e">
        <f>VLOOKUP(A14,'[2]master plan'!A:G,7,0)</f>
        <v>#N/A</v>
      </c>
      <c r="F14" s="22" t="e">
        <f>VLOOKUP(A14,'[2]master plan'!A:H,8,0)</f>
        <v>#N/A</v>
      </c>
      <c r="G14" s="23" t="e">
        <f>VLOOKUP(A14,'[2]master plan'!A:W,23,0)</f>
        <v>#N/A</v>
      </c>
      <c r="H14" s="24" t="e">
        <f>VLOOKUP(A14,'[2]master plan'!A:W,23,0)</f>
        <v>#N/A</v>
      </c>
      <c r="I14" s="25" t="e">
        <f>VLOOKUP($A14,'[2]master plan'!$A:$N,12,0)</f>
        <v>#N/A</v>
      </c>
      <c r="J14" s="25" t="e">
        <f>VLOOKUP($A14,'[2]master plan'!$A:$N,13,0)</f>
        <v>#N/A</v>
      </c>
      <c r="K14" s="25" t="e">
        <f>VLOOKUP($A14,'[2]master plan'!$A:$N,14,0)</f>
        <v>#N/A</v>
      </c>
      <c r="L14" s="26"/>
      <c r="M14" s="27"/>
      <c r="N14" s="28" t="str">
        <f>_xlfn.IFNA(VLOOKUP(A14,'[2]master plan'!A:R,18,0),"")</f>
        <v/>
      </c>
    </row>
    <row r="15" spans="1:14" s="3" customFormat="1" ht="70" customHeight="1" x14ac:dyDescent="0.35">
      <c r="A15" s="17"/>
      <c r="B15" s="18" t="e">
        <f>VLOOKUP(A15,'[2]master plan'!A:C,3,0)</f>
        <v>#N/A</v>
      </c>
      <c r="C15" s="19" t="e">
        <f>VLOOKUP($A15,'[2]master plan'!$A:$N,5,0)</f>
        <v>#N/A</v>
      </c>
      <c r="D15" s="20" t="e">
        <f>VLOOKUP($A15,'[2]master plan'!$A:$N,6,0)</f>
        <v>#N/A</v>
      </c>
      <c r="E15" s="21" t="e">
        <f>VLOOKUP(A15,'[2]master plan'!A:G,7,0)</f>
        <v>#N/A</v>
      </c>
      <c r="F15" s="22" t="e">
        <f>VLOOKUP(A15,'[2]master plan'!A:H,8,0)</f>
        <v>#N/A</v>
      </c>
      <c r="G15" s="23" t="e">
        <f>VLOOKUP(A15,'[2]master plan'!A:W,23,0)</f>
        <v>#N/A</v>
      </c>
      <c r="H15" s="24" t="e">
        <f>VLOOKUP(A15,'[2]master plan'!A:W,23,0)</f>
        <v>#N/A</v>
      </c>
      <c r="I15" s="25" t="e">
        <f>VLOOKUP($A15,'[2]master plan'!$A:$N,12,0)</f>
        <v>#N/A</v>
      </c>
      <c r="J15" s="25" t="e">
        <f>VLOOKUP($A15,'[2]master plan'!$A:$N,13,0)</f>
        <v>#N/A</v>
      </c>
      <c r="K15" s="25" t="e">
        <f>VLOOKUP($A15,'[2]master plan'!$A:$N,14,0)</f>
        <v>#N/A</v>
      </c>
      <c r="L15" s="26"/>
      <c r="M15" s="40"/>
      <c r="N15" s="28" t="str">
        <f>_xlfn.IFNA(VLOOKUP(A15,'[2]master plan'!A:R,18,0),"")</f>
        <v/>
      </c>
    </row>
    <row r="16" spans="1:14" s="3" customFormat="1" ht="70" customHeight="1" x14ac:dyDescent="0.35">
      <c r="A16" s="17"/>
      <c r="B16" s="18" t="e">
        <f>VLOOKUP(A16,'[2]master plan'!A:C,3,0)</f>
        <v>#N/A</v>
      </c>
      <c r="C16" s="19" t="e">
        <f>VLOOKUP($A16,'[2]master plan'!$A:$N,5,0)</f>
        <v>#N/A</v>
      </c>
      <c r="D16" s="20" t="e">
        <f>VLOOKUP($A16,'[2]master plan'!$A:$N,6,0)</f>
        <v>#N/A</v>
      </c>
      <c r="E16" s="21" t="e">
        <f>VLOOKUP(A16,'[2]master plan'!A:G,7,0)</f>
        <v>#N/A</v>
      </c>
      <c r="F16" s="22" t="e">
        <f>VLOOKUP(A16,'[2]master plan'!A:H,8,0)</f>
        <v>#N/A</v>
      </c>
      <c r="G16" s="23" t="e">
        <f>VLOOKUP(A16,'[2]master plan'!A:W,23,0)</f>
        <v>#N/A</v>
      </c>
      <c r="H16" s="24" t="e">
        <f>VLOOKUP(A16,'[2]master plan'!A:W,23,0)</f>
        <v>#N/A</v>
      </c>
      <c r="I16" s="25" t="e">
        <f>VLOOKUP($A16,'[2]master plan'!$A:$N,12,0)</f>
        <v>#N/A</v>
      </c>
      <c r="J16" s="25" t="e">
        <f>VLOOKUP($A16,'[2]master plan'!$A:$N,13,0)</f>
        <v>#N/A</v>
      </c>
      <c r="K16" s="25" t="e">
        <f>VLOOKUP($A16,'[2]master plan'!$A:$N,14,0)</f>
        <v>#N/A</v>
      </c>
      <c r="L16" s="26"/>
      <c r="M16" s="40"/>
      <c r="N16" s="28" t="str">
        <f>_xlfn.IFNA(VLOOKUP(A16,'[2]master plan'!A:R,18,0),"")</f>
        <v/>
      </c>
    </row>
    <row r="17" spans="1:14" s="3" customFormat="1" ht="70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27"/>
      <c r="N17" s="28" t="str">
        <f>_xlfn.IFNA(VLOOKUP(A17,'[2]master plan'!A:R,18,0),"")</f>
        <v/>
      </c>
    </row>
    <row r="18" spans="1:14" s="3" customFormat="1" ht="70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40"/>
      <c r="N18" s="28" t="str">
        <f>_xlfn.IFNA(VLOOKUP(A18,'[2]master plan'!A:R,18,0),"")</f>
        <v/>
      </c>
    </row>
    <row r="19" spans="1:14" s="3" customFormat="1" ht="70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40"/>
      <c r="N20" s="28" t="str">
        <f>_xlfn.IFNA(VLOOKUP(A20,'[2]master plan'!A:R,18,0),"")</f>
        <v/>
      </c>
    </row>
    <row r="21" spans="1:14" s="3" customFormat="1" ht="72" customHeight="1" x14ac:dyDescent="0.35">
      <c r="A21" s="41"/>
      <c r="B21" s="42"/>
      <c r="C21" s="43"/>
      <c r="D21" s="43"/>
      <c r="E21" s="44"/>
      <c r="F21" s="45"/>
      <c r="G21" s="45"/>
      <c r="H21" s="45"/>
      <c r="I21" s="46"/>
      <c r="J21" s="47"/>
      <c r="K21" s="48"/>
      <c r="L21" s="49"/>
      <c r="M21" s="50"/>
      <c r="N21" s="51"/>
    </row>
    <row r="22" spans="1:14" ht="74.25" customHeight="1" x14ac:dyDescent="0.35">
      <c r="L22" s="56"/>
    </row>
    <row r="23" spans="1:14" ht="74.25" customHeight="1" x14ac:dyDescent="0.35">
      <c r="L23" s="56"/>
    </row>
    <row r="24" spans="1:14" ht="74.25" customHeight="1" x14ac:dyDescent="0.35">
      <c r="L24" s="56"/>
    </row>
    <row r="25" spans="1:14" s="54" customFormat="1" ht="74.25" customHeight="1" x14ac:dyDescent="0.35">
      <c r="A25" s="2"/>
      <c r="B25" s="52"/>
      <c r="C25" s="2"/>
      <c r="D25" s="2"/>
      <c r="E25" s="59" t="s">
        <v>21</v>
      </c>
      <c r="G25" s="55"/>
      <c r="I25" s="53"/>
      <c r="J25" s="53"/>
      <c r="K25" s="53"/>
      <c r="L25" s="56"/>
      <c r="M25" s="57"/>
      <c r="N25" s="58"/>
    </row>
    <row r="26" spans="1:14" ht="74.25" customHeight="1" x14ac:dyDescent="0.35">
      <c r="L26" s="56"/>
    </row>
    <row r="27" spans="1:14" ht="74.25" customHeight="1" x14ac:dyDescent="0.35">
      <c r="L27" s="56"/>
    </row>
    <row r="28" spans="1:14" s="10" customFormat="1" ht="74.25" customHeight="1" x14ac:dyDescent="0.35">
      <c r="A28" s="2"/>
      <c r="B28" s="52"/>
      <c r="C28" s="2"/>
      <c r="D28" s="2"/>
      <c r="E28" s="53"/>
      <c r="F28" s="54"/>
      <c r="G28" s="54"/>
      <c r="H28" s="55"/>
      <c r="I28" s="53"/>
      <c r="J28" s="53"/>
      <c r="K28" s="53"/>
      <c r="L28" s="56"/>
      <c r="M28" s="57"/>
      <c r="N28" s="58"/>
    </row>
    <row r="29" spans="1:14" s="10" customFormat="1" ht="74.25" customHeight="1" x14ac:dyDescent="0.35">
      <c r="A29" s="2"/>
      <c r="B29" s="52"/>
      <c r="C29" s="2"/>
      <c r="D29" s="2"/>
      <c r="E29" s="53"/>
      <c r="F29" s="54"/>
      <c r="G29" s="54"/>
      <c r="H29" s="55"/>
      <c r="I29" s="53"/>
      <c r="J29" s="53"/>
      <c r="K29" s="53"/>
      <c r="L29" s="56"/>
      <c r="M29" s="57"/>
      <c r="N29" s="58"/>
    </row>
    <row r="30" spans="1:14" s="10" customFormat="1" ht="74.25" customHeight="1" x14ac:dyDescent="0.35">
      <c r="A30" s="2"/>
      <c r="B30" s="52"/>
      <c r="C30" s="2"/>
      <c r="D30" s="2"/>
      <c r="E30" s="53"/>
      <c r="F30" s="54"/>
      <c r="G30" s="54"/>
      <c r="H30" s="55"/>
      <c r="I30" s="53"/>
      <c r="J30" s="53"/>
      <c r="K30" s="53"/>
      <c r="L30" s="56"/>
      <c r="M30" s="57"/>
      <c r="N30" s="58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664" spans="1:14" s="54" customFormat="1" ht="74.25" customHeight="1" x14ac:dyDescent="0.35">
      <c r="A664" s="2"/>
      <c r="B664" s="52"/>
      <c r="C664" s="2"/>
      <c r="D664" s="2"/>
      <c r="E664" s="60"/>
      <c r="H664" s="55"/>
      <c r="I664" s="53"/>
      <c r="J664" s="53"/>
      <c r="K664" s="53"/>
      <c r="L664" s="61"/>
      <c r="M664" s="57"/>
      <c r="N664" s="58"/>
    </row>
  </sheetData>
  <protectedRanges>
    <protectedRange algorithmName="SHA-512" hashValue="e1FOu1UlwA7reaiyQlEGzbU6dAFPyHPlKfgo6VzFBBobawyOfUsh2c/+wjC8bICpcXVPmRerMGA9+qKsw5p7Iw==" saltValue="UD2tVZrxqZTGI3vDzMBrHw==" spinCount="100000" sqref="E12:E20 E3:E11" name="Range1_1"/>
  </protectedRanges>
  <autoFilter ref="A2:N21" xr:uid="{E2BC4C4A-3703-4A99-A30B-53817C3A378F}"/>
  <mergeCells count="1">
    <mergeCell ref="D1:F1"/>
  </mergeCells>
  <conditionalFormatting sqref="A2">
    <cfRule type="duplicateValues" dxfId="77" priority="8"/>
  </conditionalFormatting>
  <conditionalFormatting sqref="A3:A20">
    <cfRule type="duplicateValues" dxfId="76" priority="11"/>
  </conditionalFormatting>
  <conditionalFormatting sqref="A23:A1048576">
    <cfRule type="duplicateValues" dxfId="75" priority="9"/>
  </conditionalFormatting>
  <conditionalFormatting sqref="C1:C1048576">
    <cfRule type="duplicateValues" dxfId="74" priority="1"/>
    <cfRule type="duplicateValues" dxfId="73" priority="2"/>
  </conditionalFormatting>
  <conditionalFormatting sqref="I2:M2">
    <cfRule type="duplicateValues" dxfId="72" priority="7"/>
  </conditionalFormatting>
  <conditionalFormatting sqref="N1">
    <cfRule type="duplicateValues" dxfId="71" priority="5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1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28D-F8E8-4268-960E-0C7709324729}">
  <sheetPr>
    <tabColor theme="4"/>
  </sheetPr>
  <dimension ref="A1:N667"/>
  <sheetViews>
    <sheetView zoomScale="25" zoomScaleNormal="25" zoomScaleSheetLayoutView="34" workbookViewId="0">
      <pane xSplit="1" ySplit="2" topLeftCell="B9" activePane="bottomRight" state="frozen"/>
      <selection activeCell="E27" sqref="E27"/>
      <selection pane="topRight" activeCell="E27" sqref="E27"/>
      <selection pane="bottomLeft" activeCell="E27" sqref="E27"/>
      <selection pane="bottomRight" activeCell="A3" sqref="A3:A17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75.5429687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13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52</v>
      </c>
      <c r="B3" s="18" t="s">
        <v>53</v>
      </c>
      <c r="C3" s="19" t="s">
        <v>54</v>
      </c>
      <c r="D3" s="20" t="s">
        <v>55</v>
      </c>
      <c r="E3" s="21" t="s">
        <v>56</v>
      </c>
      <c r="F3" s="22">
        <v>10</v>
      </c>
      <c r="G3" s="23">
        <v>1</v>
      </c>
      <c r="H3" s="24">
        <v>1</v>
      </c>
      <c r="I3" s="25" t="s">
        <v>57</v>
      </c>
      <c r="J3" s="25" t="s">
        <v>58</v>
      </c>
      <c r="K3" s="25" t="s">
        <v>59</v>
      </c>
      <c r="L3" s="26">
        <v>1</v>
      </c>
      <c r="M3" s="27" t="s">
        <v>60</v>
      </c>
      <c r="N3" s="28">
        <v>46158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25"/>
      <c r="K4" s="70"/>
      <c r="L4" s="71"/>
      <c r="M4" s="72"/>
      <c r="N4" s="28"/>
    </row>
    <row r="5" spans="1:14" s="3" customFormat="1" ht="70" customHeight="1" x14ac:dyDescent="0.35">
      <c r="A5" s="17" t="s">
        <v>61</v>
      </c>
      <c r="B5" s="18" t="s">
        <v>62</v>
      </c>
      <c r="C5" s="19" t="s">
        <v>63</v>
      </c>
      <c r="D5" s="20" t="s">
        <v>64</v>
      </c>
      <c r="E5" s="21" t="s">
        <v>65</v>
      </c>
      <c r="F5" s="22">
        <v>50</v>
      </c>
      <c r="G5" s="23">
        <v>2</v>
      </c>
      <c r="H5" s="24">
        <v>2</v>
      </c>
      <c r="I5" s="25" t="s">
        <v>57</v>
      </c>
      <c r="J5" s="25" t="s">
        <v>66</v>
      </c>
      <c r="K5" s="25" t="s">
        <v>67</v>
      </c>
      <c r="L5" s="26">
        <v>5</v>
      </c>
      <c r="M5" s="27" t="s">
        <v>68</v>
      </c>
      <c r="N5" s="28">
        <v>46162</v>
      </c>
    </row>
    <row r="6" spans="1:14" s="3" customFormat="1" ht="70" customHeight="1" x14ac:dyDescent="0.35">
      <c r="A6" s="17" t="s">
        <v>69</v>
      </c>
      <c r="B6" s="18" t="s">
        <v>70</v>
      </c>
      <c r="C6" s="19" t="s">
        <v>63</v>
      </c>
      <c r="D6" s="20" t="s">
        <v>71</v>
      </c>
      <c r="E6" s="21" t="s">
        <v>72</v>
      </c>
      <c r="F6" s="22">
        <v>50</v>
      </c>
      <c r="G6" s="23">
        <v>2</v>
      </c>
      <c r="H6" s="24">
        <v>2</v>
      </c>
      <c r="I6" s="25" t="s">
        <v>73</v>
      </c>
      <c r="J6" s="25" t="s">
        <v>27</v>
      </c>
      <c r="K6" s="25" t="s">
        <v>74</v>
      </c>
      <c r="L6" s="26"/>
      <c r="M6" s="40"/>
      <c r="N6" s="28">
        <v>46164</v>
      </c>
    </row>
    <row r="7" spans="1:14" s="3" customFormat="1" ht="70" customHeight="1" x14ac:dyDescent="0.35">
      <c r="A7" s="17" t="s">
        <v>75</v>
      </c>
      <c r="B7" s="18" t="s">
        <v>76</v>
      </c>
      <c r="C7" s="19" t="s">
        <v>54</v>
      </c>
      <c r="D7" s="20" t="s">
        <v>55</v>
      </c>
      <c r="E7" s="21" t="s">
        <v>56</v>
      </c>
      <c r="F7" s="22">
        <v>20</v>
      </c>
      <c r="G7" s="23">
        <v>1</v>
      </c>
      <c r="H7" s="24">
        <v>1</v>
      </c>
      <c r="I7" s="25" t="s">
        <v>77</v>
      </c>
      <c r="J7" s="25" t="s">
        <v>27</v>
      </c>
      <c r="K7" s="25" t="s">
        <v>78</v>
      </c>
      <c r="L7" s="26"/>
      <c r="M7" s="27"/>
      <c r="N7" s="28">
        <v>46164</v>
      </c>
    </row>
    <row r="8" spans="1:14" s="3" customFormat="1" ht="70" customHeight="1" x14ac:dyDescent="0.35">
      <c r="A8" s="62"/>
      <c r="B8" s="63"/>
      <c r="C8" s="64"/>
      <c r="D8" s="65"/>
      <c r="E8" s="66"/>
      <c r="F8" s="67"/>
      <c r="G8" s="68"/>
      <c r="H8" s="69"/>
      <c r="I8" s="70"/>
      <c r="J8" s="25"/>
      <c r="K8" s="70"/>
      <c r="L8" s="71"/>
      <c r="M8" s="72"/>
      <c r="N8" s="28"/>
    </row>
    <row r="9" spans="1:14" s="3" customFormat="1" ht="70" customHeight="1" x14ac:dyDescent="0.35">
      <c r="A9" s="17" t="s">
        <v>79</v>
      </c>
      <c r="B9" s="18" t="s">
        <v>80</v>
      </c>
      <c r="C9" s="19" t="s">
        <v>39</v>
      </c>
      <c r="D9" s="20" t="s">
        <v>81</v>
      </c>
      <c r="E9" s="21" t="s">
        <v>82</v>
      </c>
      <c r="F9" s="22">
        <v>20</v>
      </c>
      <c r="G9" s="23">
        <v>1</v>
      </c>
      <c r="H9" s="24">
        <v>1</v>
      </c>
      <c r="I9" s="25" t="s">
        <v>42</v>
      </c>
      <c r="J9" s="25" t="s">
        <v>83</v>
      </c>
      <c r="K9" s="25" t="s">
        <v>84</v>
      </c>
      <c r="L9" s="26">
        <v>1</v>
      </c>
      <c r="M9" s="27"/>
      <c r="N9" s="28">
        <v>46164</v>
      </c>
    </row>
    <row r="10" spans="1:14" s="3" customFormat="1" ht="70" customHeight="1" x14ac:dyDescent="0.35">
      <c r="A10" s="62"/>
      <c r="B10" s="63"/>
      <c r="C10" s="64"/>
      <c r="D10" s="65"/>
      <c r="E10" s="66"/>
      <c r="F10" s="67"/>
      <c r="G10" s="68"/>
      <c r="H10" s="69"/>
      <c r="I10" s="70"/>
      <c r="J10" s="25"/>
      <c r="K10" s="70"/>
      <c r="L10" s="71"/>
      <c r="M10" s="72"/>
      <c r="N10" s="28"/>
    </row>
    <row r="11" spans="1:14" s="3" customFormat="1" ht="70" customHeight="1" x14ac:dyDescent="0.35">
      <c r="A11" s="17" t="s">
        <v>85</v>
      </c>
      <c r="B11" s="18" t="s">
        <v>86</v>
      </c>
      <c r="C11" s="19" t="s">
        <v>87</v>
      </c>
      <c r="D11" s="20" t="s">
        <v>88</v>
      </c>
      <c r="E11" s="21" t="s">
        <v>89</v>
      </c>
      <c r="F11" s="22">
        <v>15</v>
      </c>
      <c r="G11" s="23">
        <v>1</v>
      </c>
      <c r="H11" s="24">
        <v>1</v>
      </c>
      <c r="I11" s="25" t="s">
        <v>77</v>
      </c>
      <c r="J11" s="25" t="s">
        <v>27</v>
      </c>
      <c r="K11" s="25" t="s">
        <v>78</v>
      </c>
      <c r="L11" s="26">
        <v>1</v>
      </c>
      <c r="M11" s="27"/>
      <c r="N11" s="28">
        <v>46164</v>
      </c>
    </row>
    <row r="12" spans="1:14" s="3" customFormat="1" ht="70" customHeight="1" x14ac:dyDescent="0.35">
      <c r="A12" s="62"/>
      <c r="B12" s="63"/>
      <c r="C12" s="64"/>
      <c r="D12" s="65"/>
      <c r="E12" s="66"/>
      <c r="F12" s="67"/>
      <c r="G12" s="68"/>
      <c r="H12" s="69"/>
      <c r="I12" s="70"/>
      <c r="J12" s="25"/>
      <c r="K12" s="70"/>
      <c r="L12" s="71"/>
      <c r="M12" s="72"/>
      <c r="N12" s="28"/>
    </row>
    <row r="13" spans="1:14" s="3" customFormat="1" ht="70" customHeight="1" x14ac:dyDescent="0.35">
      <c r="A13" s="17" t="s">
        <v>90</v>
      </c>
      <c r="B13" s="18" t="s">
        <v>91</v>
      </c>
      <c r="C13" s="19" t="s">
        <v>92</v>
      </c>
      <c r="D13" s="20" t="s">
        <v>93</v>
      </c>
      <c r="E13" s="21" t="s">
        <v>94</v>
      </c>
      <c r="F13" s="22">
        <v>10</v>
      </c>
      <c r="G13" s="23">
        <v>1</v>
      </c>
      <c r="H13" s="24">
        <v>1</v>
      </c>
      <c r="I13" s="25" t="s">
        <v>57</v>
      </c>
      <c r="J13" s="25" t="s">
        <v>95</v>
      </c>
      <c r="K13" s="25" t="s">
        <v>59</v>
      </c>
      <c r="L13" s="26">
        <v>1</v>
      </c>
      <c r="M13" s="27"/>
      <c r="N13" s="28">
        <v>46164</v>
      </c>
    </row>
    <row r="14" spans="1:14" s="3" customFormat="1" ht="70" customHeight="1" x14ac:dyDescent="0.35">
      <c r="A14" s="62"/>
      <c r="B14" s="63"/>
      <c r="C14" s="64"/>
      <c r="D14" s="65"/>
      <c r="E14" s="66"/>
      <c r="F14" s="67"/>
      <c r="G14" s="68"/>
      <c r="H14" s="69"/>
      <c r="I14" s="70"/>
      <c r="J14" s="25"/>
      <c r="K14" s="70"/>
      <c r="L14" s="71"/>
      <c r="M14" s="72"/>
      <c r="N14" s="28"/>
    </row>
    <row r="15" spans="1:14" s="3" customFormat="1" ht="70" customHeight="1" x14ac:dyDescent="0.35">
      <c r="A15" s="17" t="s">
        <v>96</v>
      </c>
      <c r="B15" s="18" t="s">
        <v>97</v>
      </c>
      <c r="C15" s="19" t="s">
        <v>98</v>
      </c>
      <c r="D15" s="20" t="s">
        <v>99</v>
      </c>
      <c r="E15" s="21" t="s">
        <v>100</v>
      </c>
      <c r="F15" s="22">
        <v>50</v>
      </c>
      <c r="G15" s="23">
        <v>2</v>
      </c>
      <c r="H15" s="24">
        <v>2</v>
      </c>
      <c r="I15" s="25" t="s">
        <v>57</v>
      </c>
      <c r="J15" s="25" t="s">
        <v>101</v>
      </c>
      <c r="K15" s="25" t="s">
        <v>102</v>
      </c>
      <c r="L15" s="26">
        <v>2</v>
      </c>
      <c r="M15" s="40"/>
      <c r="N15" s="28">
        <v>46164</v>
      </c>
    </row>
    <row r="16" spans="1:14" s="3" customFormat="1" ht="70" customHeight="1" x14ac:dyDescent="0.35">
      <c r="A16" s="62"/>
      <c r="B16" s="63"/>
      <c r="C16" s="64"/>
      <c r="D16" s="65"/>
      <c r="E16" s="66"/>
      <c r="F16" s="67"/>
      <c r="G16" s="68"/>
      <c r="H16" s="69"/>
      <c r="I16" s="70"/>
      <c r="J16" s="25"/>
      <c r="K16" s="70"/>
      <c r="L16" s="71"/>
      <c r="M16" s="73"/>
      <c r="N16" s="28"/>
    </row>
    <row r="17" spans="1:14" s="3" customFormat="1" ht="70" customHeight="1" x14ac:dyDescent="0.35">
      <c r="A17" s="17" t="s">
        <v>103</v>
      </c>
      <c r="B17" s="18" t="s">
        <v>104</v>
      </c>
      <c r="C17" s="19" t="s">
        <v>105</v>
      </c>
      <c r="D17" s="20" t="s">
        <v>106</v>
      </c>
      <c r="E17" s="21" t="s">
        <v>107</v>
      </c>
      <c r="F17" s="22">
        <v>50</v>
      </c>
      <c r="G17" s="23">
        <v>2</v>
      </c>
      <c r="H17" s="24">
        <v>2</v>
      </c>
      <c r="I17" s="25" t="s">
        <v>57</v>
      </c>
      <c r="J17" s="25" t="s">
        <v>108</v>
      </c>
      <c r="K17" s="25" t="s">
        <v>67</v>
      </c>
      <c r="L17" s="26">
        <v>2</v>
      </c>
      <c r="M17" s="27"/>
      <c r="N17" s="28">
        <v>46164</v>
      </c>
    </row>
    <row r="18" spans="1:14" s="3" customFormat="1" ht="70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40"/>
      <c r="N18" s="28" t="str">
        <f>_xlfn.IFNA(VLOOKUP(A18,'[2]master plan'!A:R,18,0),"")</f>
        <v/>
      </c>
    </row>
    <row r="19" spans="1:14" s="3" customFormat="1" ht="70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27"/>
      <c r="N20" s="28" t="str">
        <f>_xlfn.IFNA(VLOOKUP(A20,'[2]master plan'!A:R,18,0),"")</f>
        <v/>
      </c>
    </row>
    <row r="21" spans="1:14" s="3" customFormat="1" ht="70" customHeight="1" x14ac:dyDescent="0.35">
      <c r="A21" s="17"/>
      <c r="B21" s="18" t="e">
        <f>VLOOKUP(A21,'[2]master plan'!A:C,3,0)</f>
        <v>#N/A</v>
      </c>
      <c r="C21" s="19" t="e">
        <f>VLOOKUP($A21,'[2]master plan'!$A:$N,5,0)</f>
        <v>#N/A</v>
      </c>
      <c r="D21" s="20" t="e">
        <f>VLOOKUP($A21,'[2]master plan'!$A:$N,6,0)</f>
        <v>#N/A</v>
      </c>
      <c r="E21" s="21" t="e">
        <f>VLOOKUP(A21,'[2]master plan'!A:G,7,0)</f>
        <v>#N/A</v>
      </c>
      <c r="F21" s="22" t="e">
        <f>VLOOKUP(A21,'[2]master plan'!A:H,8,0)</f>
        <v>#N/A</v>
      </c>
      <c r="G21" s="23" t="e">
        <f>VLOOKUP(A21,'[2]master plan'!A:W,23,0)</f>
        <v>#N/A</v>
      </c>
      <c r="H21" s="24" t="e">
        <f>VLOOKUP(A21,'[2]master plan'!A:W,23,0)</f>
        <v>#N/A</v>
      </c>
      <c r="I21" s="25" t="e">
        <f>VLOOKUP($A21,'[2]master plan'!$A:$N,12,0)</f>
        <v>#N/A</v>
      </c>
      <c r="J21" s="25" t="e">
        <f>VLOOKUP($A21,'[2]master plan'!$A:$N,13,0)</f>
        <v>#N/A</v>
      </c>
      <c r="K21" s="25" t="e">
        <f>VLOOKUP($A21,'[2]master plan'!$A:$N,14,0)</f>
        <v>#N/A</v>
      </c>
      <c r="L21" s="26"/>
      <c r="M21" s="40"/>
      <c r="N21" s="28" t="str">
        <f>_xlfn.IFNA(VLOOKUP(A21,'[2]master plan'!A:R,18,0),"")</f>
        <v/>
      </c>
    </row>
    <row r="22" spans="1:14" s="3" customFormat="1" ht="70" customHeight="1" x14ac:dyDescent="0.35">
      <c r="A22" s="17"/>
      <c r="B22" s="18" t="e">
        <f>VLOOKUP(A22,'[2]master plan'!A:C,3,0)</f>
        <v>#N/A</v>
      </c>
      <c r="C22" s="19" t="e">
        <f>VLOOKUP($A22,'[2]master plan'!$A:$N,5,0)</f>
        <v>#N/A</v>
      </c>
      <c r="D22" s="20" t="e">
        <f>VLOOKUP($A22,'[2]master plan'!$A:$N,6,0)</f>
        <v>#N/A</v>
      </c>
      <c r="E22" s="21" t="e">
        <f>VLOOKUP(A22,'[2]master plan'!A:G,7,0)</f>
        <v>#N/A</v>
      </c>
      <c r="F22" s="22" t="e">
        <f>VLOOKUP(A22,'[2]master plan'!A:H,8,0)</f>
        <v>#N/A</v>
      </c>
      <c r="G22" s="23" t="e">
        <f>VLOOKUP(A22,'[2]master plan'!A:W,23,0)</f>
        <v>#N/A</v>
      </c>
      <c r="H22" s="24" t="e">
        <f>VLOOKUP(A22,'[2]master plan'!A:W,23,0)</f>
        <v>#N/A</v>
      </c>
      <c r="I22" s="25" t="e">
        <f>VLOOKUP($A22,'[2]master plan'!$A:$N,12,0)</f>
        <v>#N/A</v>
      </c>
      <c r="J22" s="25" t="e">
        <f>VLOOKUP($A22,'[2]master plan'!$A:$N,13,0)</f>
        <v>#N/A</v>
      </c>
      <c r="K22" s="25" t="e">
        <f>VLOOKUP($A22,'[2]master plan'!$A:$N,14,0)</f>
        <v>#N/A</v>
      </c>
      <c r="L22" s="26"/>
      <c r="M22" s="40"/>
      <c r="N22" s="28" t="str">
        <f>_xlfn.IFNA(VLOOKUP(A22,'[2]master plan'!A:R,18,0),"")</f>
        <v/>
      </c>
    </row>
    <row r="23" spans="1:14" s="3" customFormat="1" ht="70" customHeight="1" x14ac:dyDescent="0.35">
      <c r="A23" s="17"/>
      <c r="B23" s="18" t="e">
        <f>VLOOKUP(A23,'[2]master plan'!A:C,3,0)</f>
        <v>#N/A</v>
      </c>
      <c r="C23" s="19" t="e">
        <f>VLOOKUP($A23,'[2]master plan'!$A:$N,5,0)</f>
        <v>#N/A</v>
      </c>
      <c r="D23" s="20" t="e">
        <f>VLOOKUP($A23,'[2]master plan'!$A:$N,6,0)</f>
        <v>#N/A</v>
      </c>
      <c r="E23" s="21" t="e">
        <f>VLOOKUP(A23,'[2]master plan'!A:G,7,0)</f>
        <v>#N/A</v>
      </c>
      <c r="F23" s="22" t="e">
        <f>VLOOKUP(A23,'[2]master plan'!A:H,8,0)</f>
        <v>#N/A</v>
      </c>
      <c r="G23" s="23" t="e">
        <f>VLOOKUP(A23,'[2]master plan'!A:W,23,0)</f>
        <v>#N/A</v>
      </c>
      <c r="H23" s="24" t="e">
        <f>VLOOKUP(A23,'[2]master plan'!A:W,23,0)</f>
        <v>#N/A</v>
      </c>
      <c r="I23" s="25" t="e">
        <f>VLOOKUP($A23,'[2]master plan'!$A:$N,12,0)</f>
        <v>#N/A</v>
      </c>
      <c r="J23" s="25" t="e">
        <f>VLOOKUP($A23,'[2]master plan'!$A:$N,13,0)</f>
        <v>#N/A</v>
      </c>
      <c r="K23" s="25" t="e">
        <f>VLOOKUP($A23,'[2]master plan'!$A:$N,14,0)</f>
        <v>#N/A</v>
      </c>
      <c r="L23" s="26"/>
      <c r="M23" s="40"/>
      <c r="N23" s="28" t="str">
        <f>_xlfn.IFNA(VLOOKUP(A23,'[2]master plan'!A:R,18,0),"")</f>
        <v/>
      </c>
    </row>
    <row r="24" spans="1:14" s="3" customFormat="1" ht="72" customHeight="1" x14ac:dyDescent="0.35">
      <c r="A24" s="41"/>
      <c r="B24" s="42"/>
      <c r="C24" s="43"/>
      <c r="D24" s="43"/>
      <c r="E24" s="44"/>
      <c r="F24" s="45"/>
      <c r="G24" s="45"/>
      <c r="H24" s="45"/>
      <c r="I24" s="46"/>
      <c r="J24" s="47"/>
      <c r="K24" s="48"/>
      <c r="L24" s="49"/>
      <c r="M24" s="50"/>
      <c r="N24" s="51"/>
    </row>
    <row r="25" spans="1:14" ht="74.25" customHeight="1" x14ac:dyDescent="0.35">
      <c r="L25" s="56"/>
    </row>
    <row r="26" spans="1:14" ht="74.25" customHeight="1" x14ac:dyDescent="0.35">
      <c r="L26" s="56"/>
    </row>
    <row r="27" spans="1:14" ht="74.25" customHeight="1" x14ac:dyDescent="0.35">
      <c r="L27" s="56"/>
    </row>
    <row r="28" spans="1:14" s="54" customFormat="1" ht="74.25" customHeight="1" x14ac:dyDescent="0.35">
      <c r="A28" s="2"/>
      <c r="B28" s="52"/>
      <c r="C28" s="2"/>
      <c r="D28" s="2"/>
      <c r="E28" s="59" t="s">
        <v>21</v>
      </c>
      <c r="G28" s="55"/>
      <c r="I28" s="53"/>
      <c r="J28" s="53"/>
      <c r="K28" s="53"/>
      <c r="L28" s="56"/>
      <c r="M28" s="57"/>
      <c r="N28" s="58"/>
    </row>
    <row r="29" spans="1:14" ht="74.25" customHeight="1" x14ac:dyDescent="0.35">
      <c r="L29" s="56"/>
    </row>
    <row r="30" spans="1:14" ht="74.25" customHeight="1" x14ac:dyDescent="0.35">
      <c r="L30" s="56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57" spans="1:14" s="10" customFormat="1" ht="74.25" customHeight="1" x14ac:dyDescent="0.35">
      <c r="A57" s="2"/>
      <c r="B57" s="52"/>
      <c r="C57" s="2"/>
      <c r="D57" s="2"/>
      <c r="E57" s="53"/>
      <c r="F57" s="54"/>
      <c r="G57" s="54"/>
      <c r="H57" s="55"/>
      <c r="I57" s="53"/>
      <c r="J57" s="53"/>
      <c r="K57" s="53"/>
      <c r="L57" s="56"/>
      <c r="M57" s="57"/>
      <c r="N57" s="58"/>
    </row>
    <row r="58" spans="1:14" s="10" customFormat="1" ht="74.25" customHeight="1" x14ac:dyDescent="0.35">
      <c r="A58" s="2"/>
      <c r="B58" s="52"/>
      <c r="C58" s="2"/>
      <c r="D58" s="2"/>
      <c r="E58" s="53"/>
      <c r="F58" s="54"/>
      <c r="G58" s="54"/>
      <c r="H58" s="55"/>
      <c r="I58" s="53"/>
      <c r="J58" s="53"/>
      <c r="K58" s="53"/>
      <c r="L58" s="56"/>
      <c r="M58" s="57"/>
      <c r="N58" s="58"/>
    </row>
    <row r="667" spans="1:14" s="54" customFormat="1" ht="74.25" customHeight="1" x14ac:dyDescent="0.35">
      <c r="A667" s="2"/>
      <c r="B667" s="52"/>
      <c r="C667" s="2"/>
      <c r="D667" s="2"/>
      <c r="E667" s="60"/>
      <c r="H667" s="55"/>
      <c r="I667" s="53"/>
      <c r="J667" s="53"/>
      <c r="K667" s="53"/>
      <c r="L667" s="61"/>
      <c r="M667" s="57"/>
      <c r="N667" s="58"/>
    </row>
  </sheetData>
  <protectedRanges>
    <protectedRange algorithmName="SHA-512" hashValue="e1FOu1UlwA7reaiyQlEGzbU6dAFPyHPlKfgo6VzFBBobawyOfUsh2c/+wjC8bICpcXVPmRerMGA9+qKsw5p7Iw==" saltValue="UD2tVZrxqZTGI3vDzMBrHw==" spinCount="100000" sqref="E3:E23" name="Range1_1"/>
  </protectedRanges>
  <autoFilter ref="A2:N24" xr:uid="{E2BC4C4A-3703-4A99-A30B-53817C3A378F}"/>
  <mergeCells count="1">
    <mergeCell ref="D1:F1"/>
  </mergeCells>
  <conditionalFormatting sqref="A2">
    <cfRule type="duplicateValues" dxfId="70" priority="5"/>
  </conditionalFormatting>
  <conditionalFormatting sqref="A3:A23">
    <cfRule type="duplicateValues" dxfId="69" priority="7"/>
  </conditionalFormatting>
  <conditionalFormatting sqref="A26:A1048576">
    <cfRule type="duplicateValues" dxfId="68" priority="6"/>
  </conditionalFormatting>
  <conditionalFormatting sqref="C1:C1048576">
    <cfRule type="duplicateValues" dxfId="67" priority="1"/>
    <cfRule type="duplicateValues" dxfId="66" priority="2"/>
  </conditionalFormatting>
  <conditionalFormatting sqref="I2:M2">
    <cfRule type="duplicateValues" dxfId="65" priority="4"/>
  </conditionalFormatting>
  <conditionalFormatting sqref="N1">
    <cfRule type="duplicateValues" dxfId="64" priority="3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4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AD070-2916-43CC-A604-A8704404E33C}">
  <sheetPr>
    <tabColor theme="4"/>
  </sheetPr>
  <dimension ref="A1:N672"/>
  <sheetViews>
    <sheetView zoomScale="25" zoomScaleNormal="25" zoomScaleSheetLayoutView="34" workbookViewId="0">
      <pane xSplit="1" ySplit="2" topLeftCell="B18" activePane="bottomRight" state="frozen"/>
      <selection activeCell="E27" sqref="E27"/>
      <selection pane="topRight" activeCell="E27" sqref="E27"/>
      <selection pane="bottomLeft" activeCell="E27" sqref="E27"/>
      <selection pane="bottomRight" activeCell="A26" sqref="A26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47.8164062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27.453125" style="53" bestFit="1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35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109</v>
      </c>
      <c r="B3" s="18" t="s">
        <v>110</v>
      </c>
      <c r="C3" s="19" t="s">
        <v>111</v>
      </c>
      <c r="D3" s="20" t="s">
        <v>112</v>
      </c>
      <c r="E3" s="21" t="s">
        <v>113</v>
      </c>
      <c r="F3" s="22">
        <v>10</v>
      </c>
      <c r="G3" s="23">
        <v>1</v>
      </c>
      <c r="H3" s="24">
        <v>1</v>
      </c>
      <c r="I3" s="25" t="s">
        <v>57</v>
      </c>
      <c r="J3" s="25" t="s">
        <v>114</v>
      </c>
      <c r="K3" s="25" t="s">
        <v>246</v>
      </c>
      <c r="L3" s="74">
        <v>0</v>
      </c>
      <c r="M3" s="75" t="s">
        <v>115</v>
      </c>
      <c r="N3" s="28">
        <v>46159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25"/>
      <c r="K4" s="25" t="s">
        <v>246</v>
      </c>
      <c r="L4" s="70"/>
      <c r="M4" s="70"/>
      <c r="N4" s="76"/>
    </row>
    <row r="5" spans="1:14" s="3" customFormat="1" ht="70" customHeight="1" x14ac:dyDescent="0.35">
      <c r="A5" s="17" t="s">
        <v>116</v>
      </c>
      <c r="B5" s="18" t="s">
        <v>117</v>
      </c>
      <c r="C5" s="19" t="s">
        <v>118</v>
      </c>
      <c r="D5" s="20" t="s">
        <v>119</v>
      </c>
      <c r="E5" s="21" t="s">
        <v>120</v>
      </c>
      <c r="F5" s="22">
        <v>5</v>
      </c>
      <c r="G5" s="23">
        <v>1</v>
      </c>
      <c r="H5" s="24">
        <v>1</v>
      </c>
      <c r="I5" s="25" t="s">
        <v>57</v>
      </c>
      <c r="J5" s="25" t="s">
        <v>121</v>
      </c>
      <c r="K5" s="25" t="s">
        <v>246</v>
      </c>
      <c r="L5" s="26">
        <v>1</v>
      </c>
      <c r="M5" s="27" t="s">
        <v>122</v>
      </c>
      <c r="N5" s="28">
        <v>46161</v>
      </c>
    </row>
    <row r="6" spans="1:14" s="3" customFormat="1" ht="70" customHeight="1" x14ac:dyDescent="0.35">
      <c r="A6" s="62"/>
      <c r="B6" s="63"/>
      <c r="C6" s="64"/>
      <c r="D6" s="65"/>
      <c r="E6" s="66"/>
      <c r="F6" s="67"/>
      <c r="G6" s="68"/>
      <c r="H6" s="69"/>
      <c r="I6" s="70"/>
      <c r="J6" s="25"/>
      <c r="K6" s="25" t="s">
        <v>246</v>
      </c>
      <c r="L6" s="71"/>
      <c r="M6" s="72"/>
      <c r="N6" s="76"/>
    </row>
    <row r="7" spans="1:14" s="3" customFormat="1" ht="70" customHeight="1" x14ac:dyDescent="0.35">
      <c r="A7" s="17" t="s">
        <v>123</v>
      </c>
      <c r="B7" s="18" t="s">
        <v>124</v>
      </c>
      <c r="C7" s="19" t="s">
        <v>125</v>
      </c>
      <c r="D7" s="20" t="s">
        <v>126</v>
      </c>
      <c r="E7" s="21" t="s">
        <v>127</v>
      </c>
      <c r="F7" s="22">
        <v>40</v>
      </c>
      <c r="G7" s="23">
        <v>2</v>
      </c>
      <c r="H7" s="24">
        <v>2</v>
      </c>
      <c r="I7" s="25" t="s">
        <v>128</v>
      </c>
      <c r="J7" s="25" t="s">
        <v>129</v>
      </c>
      <c r="K7" s="25" t="s">
        <v>246</v>
      </c>
      <c r="L7" s="26">
        <v>2</v>
      </c>
      <c r="M7" s="27"/>
      <c r="N7" s="28">
        <v>46165</v>
      </c>
    </row>
    <row r="8" spans="1:14" s="3" customFormat="1" ht="70" customHeight="1" x14ac:dyDescent="0.35">
      <c r="A8" s="62"/>
      <c r="B8" s="63"/>
      <c r="C8" s="64"/>
      <c r="D8" s="65"/>
      <c r="E8" s="66"/>
      <c r="F8" s="67"/>
      <c r="G8" s="68"/>
      <c r="H8" s="69"/>
      <c r="I8" s="70"/>
      <c r="J8" s="25"/>
      <c r="K8" s="25" t="s">
        <v>246</v>
      </c>
      <c r="L8" s="71"/>
      <c r="M8" s="72"/>
      <c r="N8" s="76"/>
    </row>
    <row r="9" spans="1:14" s="3" customFormat="1" ht="70" customHeight="1" x14ac:dyDescent="0.35">
      <c r="A9" s="17" t="s">
        <v>130</v>
      </c>
      <c r="B9" s="18" t="s">
        <v>131</v>
      </c>
      <c r="C9" s="19" t="s">
        <v>132</v>
      </c>
      <c r="D9" s="20" t="s">
        <v>133</v>
      </c>
      <c r="E9" s="21" t="s">
        <v>134</v>
      </c>
      <c r="F9" s="22">
        <v>30</v>
      </c>
      <c r="G9" s="23">
        <v>2</v>
      </c>
      <c r="H9" s="24">
        <v>2</v>
      </c>
      <c r="I9" s="25" t="s">
        <v>128</v>
      </c>
      <c r="J9" s="25" t="s">
        <v>129</v>
      </c>
      <c r="K9" s="25" t="s">
        <v>246</v>
      </c>
      <c r="L9" s="26">
        <v>3</v>
      </c>
      <c r="M9" s="40"/>
      <c r="N9" s="28">
        <v>46165</v>
      </c>
    </row>
    <row r="10" spans="1:14" s="3" customFormat="1" ht="70" customHeight="1" x14ac:dyDescent="0.35">
      <c r="A10" s="17" t="s">
        <v>135</v>
      </c>
      <c r="B10" s="18" t="s">
        <v>136</v>
      </c>
      <c r="C10" s="19" t="s">
        <v>132</v>
      </c>
      <c r="D10" s="20" t="s">
        <v>137</v>
      </c>
      <c r="E10" s="21" t="s">
        <v>138</v>
      </c>
      <c r="F10" s="22">
        <v>30</v>
      </c>
      <c r="G10" s="23">
        <v>1</v>
      </c>
      <c r="H10" s="24">
        <v>1</v>
      </c>
      <c r="I10" s="25" t="s">
        <v>139</v>
      </c>
      <c r="J10" s="25" t="s">
        <v>140</v>
      </c>
      <c r="K10" s="25" t="s">
        <v>246</v>
      </c>
      <c r="L10" s="26"/>
      <c r="M10" s="27"/>
      <c r="N10" s="28">
        <v>46165</v>
      </c>
    </row>
    <row r="11" spans="1:14" s="3" customFormat="1" ht="70" customHeight="1" x14ac:dyDescent="0.35">
      <c r="A11" s="62"/>
      <c r="B11" s="63"/>
      <c r="C11" s="64"/>
      <c r="D11" s="65"/>
      <c r="E11" s="66"/>
      <c r="F11" s="67"/>
      <c r="G11" s="68"/>
      <c r="H11" s="69"/>
      <c r="I11" s="70"/>
      <c r="J11" s="25"/>
      <c r="K11" s="25" t="s">
        <v>246</v>
      </c>
      <c r="L11" s="71"/>
      <c r="M11" s="72"/>
      <c r="N11" s="76"/>
    </row>
    <row r="12" spans="1:14" s="3" customFormat="1" ht="70" customHeight="1" x14ac:dyDescent="0.35">
      <c r="A12" s="17" t="s">
        <v>141</v>
      </c>
      <c r="B12" s="18" t="s">
        <v>142</v>
      </c>
      <c r="C12" s="19" t="s">
        <v>143</v>
      </c>
      <c r="D12" s="20" t="s">
        <v>144</v>
      </c>
      <c r="E12" s="21" t="s">
        <v>145</v>
      </c>
      <c r="F12" s="22">
        <v>30</v>
      </c>
      <c r="G12" s="23">
        <v>1</v>
      </c>
      <c r="H12" s="24">
        <v>1</v>
      </c>
      <c r="I12" s="25" t="s">
        <v>49</v>
      </c>
      <c r="J12" s="25" t="s">
        <v>43</v>
      </c>
      <c r="K12" s="25" t="s">
        <v>246</v>
      </c>
      <c r="L12" s="26">
        <v>1</v>
      </c>
      <c r="M12" s="27"/>
      <c r="N12" s="28">
        <v>46165</v>
      </c>
    </row>
    <row r="13" spans="1:14" s="3" customFormat="1" ht="70" customHeight="1" x14ac:dyDescent="0.35">
      <c r="A13" s="62"/>
      <c r="B13" s="63"/>
      <c r="C13" s="64"/>
      <c r="D13" s="65"/>
      <c r="E13" s="66"/>
      <c r="F13" s="67"/>
      <c r="G13" s="68"/>
      <c r="H13" s="69"/>
      <c r="I13" s="70"/>
      <c r="J13" s="25"/>
      <c r="K13" s="25" t="s">
        <v>246</v>
      </c>
      <c r="L13" s="71"/>
      <c r="M13" s="72"/>
      <c r="N13" s="76"/>
    </row>
    <row r="14" spans="1:14" s="3" customFormat="1" ht="70" customHeight="1" x14ac:dyDescent="0.35">
      <c r="A14" s="17" t="s">
        <v>146</v>
      </c>
      <c r="B14" s="18" t="s">
        <v>147</v>
      </c>
      <c r="C14" s="19" t="s">
        <v>148</v>
      </c>
      <c r="D14" s="20" t="s">
        <v>149</v>
      </c>
      <c r="E14" s="21" t="s">
        <v>150</v>
      </c>
      <c r="F14" s="22">
        <v>40</v>
      </c>
      <c r="G14" s="23">
        <v>2</v>
      </c>
      <c r="H14" s="24">
        <v>2</v>
      </c>
      <c r="I14" s="25" t="s">
        <v>151</v>
      </c>
      <c r="J14" s="25" t="s">
        <v>152</v>
      </c>
      <c r="K14" s="25" t="s">
        <v>246</v>
      </c>
      <c r="L14" s="26">
        <v>3</v>
      </c>
      <c r="M14" s="27"/>
      <c r="N14" s="28">
        <v>46165</v>
      </c>
    </row>
    <row r="15" spans="1:14" s="3" customFormat="1" ht="70" customHeight="1" x14ac:dyDescent="0.35">
      <c r="A15" s="17" t="s">
        <v>153</v>
      </c>
      <c r="B15" s="18" t="s">
        <v>154</v>
      </c>
      <c r="C15" s="19" t="s">
        <v>148</v>
      </c>
      <c r="D15" s="20" t="s">
        <v>155</v>
      </c>
      <c r="E15" s="21" t="s">
        <v>156</v>
      </c>
      <c r="F15" s="22">
        <v>20</v>
      </c>
      <c r="G15" s="23">
        <v>1</v>
      </c>
      <c r="H15" s="24">
        <v>1</v>
      </c>
      <c r="I15" s="25" t="s">
        <v>151</v>
      </c>
      <c r="J15" s="25" t="s">
        <v>157</v>
      </c>
      <c r="K15" s="25" t="s">
        <v>246</v>
      </c>
      <c r="L15" s="26"/>
      <c r="M15" s="40"/>
      <c r="N15" s="28">
        <v>46165</v>
      </c>
    </row>
    <row r="16" spans="1:14" s="3" customFormat="1" ht="70" customHeight="1" x14ac:dyDescent="0.35">
      <c r="A16" s="62"/>
      <c r="B16" s="63"/>
      <c r="C16" s="64"/>
      <c r="D16" s="65"/>
      <c r="E16" s="66"/>
      <c r="F16" s="67"/>
      <c r="G16" s="68"/>
      <c r="H16" s="69"/>
      <c r="I16" s="70"/>
      <c r="J16" s="25"/>
      <c r="K16" s="25" t="s">
        <v>246</v>
      </c>
      <c r="L16" s="71"/>
      <c r="M16" s="73"/>
      <c r="N16" s="76"/>
    </row>
    <row r="17" spans="1:14" s="3" customFormat="1" ht="70" customHeight="1" x14ac:dyDescent="0.35">
      <c r="A17" s="17" t="s">
        <v>158</v>
      </c>
      <c r="B17" s="18" t="s">
        <v>159</v>
      </c>
      <c r="C17" s="19" t="s">
        <v>63</v>
      </c>
      <c r="D17" s="20" t="s">
        <v>71</v>
      </c>
      <c r="E17" s="21" t="s">
        <v>160</v>
      </c>
      <c r="F17" s="22">
        <v>150</v>
      </c>
      <c r="G17" s="23">
        <v>5</v>
      </c>
      <c r="H17" s="24">
        <v>5</v>
      </c>
      <c r="I17" s="25" t="s">
        <v>57</v>
      </c>
      <c r="J17" s="25" t="s">
        <v>161</v>
      </c>
      <c r="K17" s="25" t="s">
        <v>246</v>
      </c>
      <c r="L17" s="26">
        <v>9</v>
      </c>
      <c r="M17" s="27"/>
      <c r="N17" s="28">
        <v>46165</v>
      </c>
    </row>
    <row r="18" spans="1:14" s="3" customFormat="1" ht="70" customHeight="1" x14ac:dyDescent="0.35">
      <c r="A18" s="17" t="s">
        <v>163</v>
      </c>
      <c r="B18" s="18" t="s">
        <v>164</v>
      </c>
      <c r="C18" s="19" t="s">
        <v>63</v>
      </c>
      <c r="D18" s="20" t="s">
        <v>64</v>
      </c>
      <c r="E18" s="21" t="s">
        <v>65</v>
      </c>
      <c r="F18" s="22">
        <v>150</v>
      </c>
      <c r="G18" s="23">
        <v>4</v>
      </c>
      <c r="H18" s="24">
        <v>4</v>
      </c>
      <c r="I18" s="25" t="s">
        <v>57</v>
      </c>
      <c r="J18" s="25" t="s">
        <v>161</v>
      </c>
      <c r="K18" s="25" t="s">
        <v>246</v>
      </c>
      <c r="L18" s="26"/>
      <c r="M18" s="40"/>
      <c r="N18" s="28">
        <v>46165</v>
      </c>
    </row>
    <row r="19" spans="1:14" s="3" customFormat="1" ht="70" customHeight="1" x14ac:dyDescent="0.35">
      <c r="A19" s="62"/>
      <c r="B19" s="63"/>
      <c r="C19" s="64"/>
      <c r="D19" s="65"/>
      <c r="E19" s="66"/>
      <c r="F19" s="67"/>
      <c r="G19" s="68"/>
      <c r="H19" s="69"/>
      <c r="I19" s="70"/>
      <c r="J19" s="25"/>
      <c r="K19" s="25" t="s">
        <v>246</v>
      </c>
      <c r="L19" s="71"/>
      <c r="M19" s="73"/>
      <c r="N19" s="76"/>
    </row>
    <row r="20" spans="1:14" s="3" customFormat="1" ht="70" customHeight="1" x14ac:dyDescent="0.35">
      <c r="A20" s="17" t="s">
        <v>165</v>
      </c>
      <c r="B20" s="18" t="s">
        <v>166</v>
      </c>
      <c r="C20" s="19" t="s">
        <v>167</v>
      </c>
      <c r="D20" s="20" t="s">
        <v>168</v>
      </c>
      <c r="E20" s="21" t="s">
        <v>169</v>
      </c>
      <c r="F20" s="22">
        <v>50</v>
      </c>
      <c r="G20" s="23">
        <v>5</v>
      </c>
      <c r="H20" s="24">
        <v>5</v>
      </c>
      <c r="I20" s="25" t="s">
        <v>77</v>
      </c>
      <c r="J20" s="25" t="s">
        <v>27</v>
      </c>
      <c r="K20" s="25" t="s">
        <v>246</v>
      </c>
      <c r="L20" s="26">
        <v>5</v>
      </c>
      <c r="M20" s="40"/>
      <c r="N20" s="28">
        <v>46165</v>
      </c>
    </row>
    <row r="21" spans="1:14" s="3" customFormat="1" ht="70" customHeight="1" x14ac:dyDescent="0.35">
      <c r="A21" s="62"/>
      <c r="B21" s="63"/>
      <c r="C21" s="64"/>
      <c r="D21" s="65"/>
      <c r="E21" s="66"/>
      <c r="F21" s="67"/>
      <c r="G21" s="68"/>
      <c r="H21" s="69"/>
      <c r="I21" s="70"/>
      <c r="J21" s="25"/>
      <c r="K21" s="25" t="s">
        <v>246</v>
      </c>
      <c r="L21" s="71"/>
      <c r="M21" s="73"/>
      <c r="N21" s="76"/>
    </row>
    <row r="22" spans="1:14" s="3" customFormat="1" ht="70" customHeight="1" x14ac:dyDescent="0.35">
      <c r="A22" s="17" t="s">
        <v>170</v>
      </c>
      <c r="B22" s="18" t="s">
        <v>171</v>
      </c>
      <c r="C22" s="19" t="s">
        <v>172</v>
      </c>
      <c r="D22" s="20" t="s">
        <v>173</v>
      </c>
      <c r="E22" s="21" t="s">
        <v>174</v>
      </c>
      <c r="F22" s="22">
        <v>50</v>
      </c>
      <c r="G22" s="23">
        <v>5</v>
      </c>
      <c r="H22" s="24">
        <v>5</v>
      </c>
      <c r="I22" s="25" t="s">
        <v>77</v>
      </c>
      <c r="J22" s="25" t="s">
        <v>27</v>
      </c>
      <c r="K22" s="25" t="s">
        <v>246</v>
      </c>
      <c r="L22" s="26">
        <v>5</v>
      </c>
      <c r="M22" s="27"/>
      <c r="N22" s="28">
        <v>46167</v>
      </c>
    </row>
    <row r="23" spans="1:14" s="3" customFormat="1" ht="70" customHeight="1" x14ac:dyDescent="0.35">
      <c r="A23" s="62"/>
      <c r="B23" s="63"/>
      <c r="C23" s="64"/>
      <c r="D23" s="65"/>
      <c r="E23" s="66"/>
      <c r="F23" s="67"/>
      <c r="G23" s="68"/>
      <c r="H23" s="69"/>
      <c r="I23" s="70"/>
      <c r="J23" s="25"/>
      <c r="K23" s="25" t="s">
        <v>246</v>
      </c>
      <c r="L23" s="71"/>
      <c r="M23" s="72"/>
      <c r="N23" s="76"/>
    </row>
    <row r="24" spans="1:14" s="3" customFormat="1" ht="70" customHeight="1" x14ac:dyDescent="0.35">
      <c r="A24" s="17" t="s">
        <v>175</v>
      </c>
      <c r="B24" s="18" t="s">
        <v>176</v>
      </c>
      <c r="C24" s="19" t="s">
        <v>30</v>
      </c>
      <c r="D24" s="20" t="s">
        <v>31</v>
      </c>
      <c r="E24" s="21" t="s">
        <v>32</v>
      </c>
      <c r="F24" s="22">
        <v>40</v>
      </c>
      <c r="G24" s="23">
        <v>2</v>
      </c>
      <c r="H24" s="24">
        <v>2</v>
      </c>
      <c r="I24" s="25" t="s">
        <v>33</v>
      </c>
      <c r="J24" s="25" t="s">
        <v>27</v>
      </c>
      <c r="K24" s="25" t="s">
        <v>246</v>
      </c>
      <c r="L24" s="26">
        <v>2</v>
      </c>
      <c r="M24" s="40"/>
      <c r="N24" s="28">
        <v>46167</v>
      </c>
    </row>
    <row r="25" spans="1:14" s="3" customFormat="1" ht="70" customHeight="1" x14ac:dyDescent="0.35">
      <c r="A25" s="62"/>
      <c r="B25" s="63"/>
      <c r="C25" s="64"/>
      <c r="D25" s="65"/>
      <c r="E25" s="66"/>
      <c r="F25" s="67"/>
      <c r="G25" s="68"/>
      <c r="H25" s="69"/>
      <c r="I25" s="70"/>
      <c r="J25" s="25"/>
      <c r="K25" s="25" t="s">
        <v>246</v>
      </c>
      <c r="L25" s="71"/>
      <c r="M25" s="73"/>
      <c r="N25" s="76"/>
    </row>
    <row r="26" spans="1:14" s="3" customFormat="1" ht="70" customHeight="1" x14ac:dyDescent="0.35">
      <c r="A26" s="17" t="s">
        <v>177</v>
      </c>
      <c r="B26" s="18" t="s">
        <v>178</v>
      </c>
      <c r="C26" s="19" t="s">
        <v>35</v>
      </c>
      <c r="D26" s="20" t="s">
        <v>36</v>
      </c>
      <c r="E26" s="21" t="s">
        <v>37</v>
      </c>
      <c r="F26" s="22">
        <v>40</v>
      </c>
      <c r="G26" s="23">
        <v>2</v>
      </c>
      <c r="H26" s="24">
        <v>2</v>
      </c>
      <c r="I26" s="25" t="s">
        <v>33</v>
      </c>
      <c r="J26" s="25" t="s">
        <v>27</v>
      </c>
      <c r="K26" s="25" t="s">
        <v>246</v>
      </c>
      <c r="L26" s="26">
        <v>2</v>
      </c>
      <c r="M26" s="40"/>
      <c r="N26" s="28">
        <v>46167</v>
      </c>
    </row>
    <row r="27" spans="1:14" s="3" customFormat="1" ht="70" customHeight="1" x14ac:dyDescent="0.35">
      <c r="A27" s="62"/>
      <c r="B27" s="63"/>
      <c r="C27" s="64"/>
      <c r="D27" s="65"/>
      <c r="E27" s="66"/>
      <c r="F27" s="67"/>
      <c r="G27" s="68"/>
      <c r="H27" s="69"/>
      <c r="I27" s="70"/>
      <c r="J27" s="25"/>
      <c r="K27" s="25" t="s">
        <v>246</v>
      </c>
      <c r="L27" s="71"/>
      <c r="M27" s="73"/>
      <c r="N27" s="76"/>
    </row>
    <row r="28" spans="1:14" s="3" customFormat="1" ht="70" customHeight="1" x14ac:dyDescent="0.35">
      <c r="A28" s="17" t="s">
        <v>179</v>
      </c>
      <c r="B28" s="18" t="s">
        <v>180</v>
      </c>
      <c r="C28" s="19" t="s">
        <v>181</v>
      </c>
      <c r="D28" s="20" t="s">
        <v>182</v>
      </c>
      <c r="E28" s="21" t="s">
        <v>183</v>
      </c>
      <c r="F28" s="22">
        <v>40</v>
      </c>
      <c r="G28" s="23">
        <v>2</v>
      </c>
      <c r="H28" s="24">
        <v>2</v>
      </c>
      <c r="I28" s="25" t="s">
        <v>77</v>
      </c>
      <c r="J28" s="25" t="s">
        <v>27</v>
      </c>
      <c r="K28" s="25" t="s">
        <v>246</v>
      </c>
      <c r="L28" s="26">
        <v>2</v>
      </c>
      <c r="M28" s="40"/>
      <c r="N28" s="28">
        <v>46167</v>
      </c>
    </row>
    <row r="29" spans="1:14" s="3" customFormat="1" ht="72" customHeight="1" x14ac:dyDescent="0.35">
      <c r="A29" s="41"/>
      <c r="B29" s="42"/>
      <c r="C29" s="43"/>
      <c r="D29" s="43"/>
      <c r="E29" s="44"/>
      <c r="F29" s="45"/>
      <c r="G29" s="45"/>
      <c r="H29" s="45"/>
      <c r="I29" s="46"/>
      <c r="J29" s="47"/>
      <c r="K29" s="48"/>
      <c r="L29" s="49"/>
      <c r="M29" s="50"/>
      <c r="N29" s="51"/>
    </row>
    <row r="30" spans="1:14" ht="74.25" customHeight="1" x14ac:dyDescent="0.35">
      <c r="L30" s="56"/>
    </row>
    <row r="31" spans="1:14" ht="74.25" customHeight="1" x14ac:dyDescent="0.35">
      <c r="L31" s="56"/>
    </row>
    <row r="32" spans="1:14" ht="74.25" customHeight="1" x14ac:dyDescent="0.35">
      <c r="L32" s="56"/>
    </row>
    <row r="33" spans="1:14" s="54" customFormat="1" ht="74.25" customHeight="1" x14ac:dyDescent="0.35">
      <c r="A33" s="2"/>
      <c r="B33" s="52"/>
      <c r="C33" s="2"/>
      <c r="D33" s="2"/>
      <c r="E33" s="59" t="s">
        <v>21</v>
      </c>
      <c r="G33" s="55"/>
      <c r="I33" s="53"/>
      <c r="J33" s="53"/>
      <c r="K33" s="53"/>
      <c r="L33" s="56"/>
      <c r="M33" s="57"/>
      <c r="N33" s="58"/>
    </row>
    <row r="34" spans="1:14" ht="74.25" customHeight="1" x14ac:dyDescent="0.35">
      <c r="L34" s="56"/>
    </row>
    <row r="35" spans="1:14" ht="74.25" customHeight="1" x14ac:dyDescent="0.35">
      <c r="L35" s="56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57" spans="1:14" s="10" customFormat="1" ht="74.25" customHeight="1" x14ac:dyDescent="0.35">
      <c r="A57" s="2"/>
      <c r="B57" s="52"/>
      <c r="C57" s="2"/>
      <c r="D57" s="2"/>
      <c r="E57" s="53"/>
      <c r="F57" s="54"/>
      <c r="G57" s="54"/>
      <c r="H57" s="55"/>
      <c r="I57" s="53"/>
      <c r="J57" s="53"/>
      <c r="K57" s="53"/>
      <c r="L57" s="56"/>
      <c r="M57" s="57"/>
      <c r="N57" s="58"/>
    </row>
    <row r="58" spans="1:14" s="10" customFormat="1" ht="74.25" customHeight="1" x14ac:dyDescent="0.35">
      <c r="A58" s="2"/>
      <c r="B58" s="52"/>
      <c r="C58" s="2"/>
      <c r="D58" s="2"/>
      <c r="E58" s="53"/>
      <c r="F58" s="54"/>
      <c r="G58" s="54"/>
      <c r="H58" s="55"/>
      <c r="I58" s="53"/>
      <c r="J58" s="53"/>
      <c r="K58" s="53"/>
      <c r="L58" s="56"/>
      <c r="M58" s="57"/>
      <c r="N58" s="58"/>
    </row>
    <row r="59" spans="1:14" s="10" customFormat="1" ht="74.25" customHeight="1" x14ac:dyDescent="0.35">
      <c r="A59" s="2"/>
      <c r="B59" s="52"/>
      <c r="C59" s="2"/>
      <c r="D59" s="2"/>
      <c r="E59" s="53"/>
      <c r="F59" s="54"/>
      <c r="G59" s="54"/>
      <c r="H59" s="55"/>
      <c r="I59" s="53"/>
      <c r="J59" s="53"/>
      <c r="K59" s="53"/>
      <c r="L59" s="56"/>
      <c r="M59" s="57"/>
      <c r="N59" s="58"/>
    </row>
    <row r="60" spans="1:14" s="10" customFormat="1" ht="74.25" customHeight="1" x14ac:dyDescent="0.35">
      <c r="A60" s="2"/>
      <c r="B60" s="52"/>
      <c r="C60" s="2"/>
      <c r="D60" s="2"/>
      <c r="E60" s="53"/>
      <c r="F60" s="54"/>
      <c r="G60" s="54"/>
      <c r="H60" s="55"/>
      <c r="I60" s="53"/>
      <c r="J60" s="53"/>
      <c r="K60" s="53"/>
      <c r="L60" s="56"/>
      <c r="M60" s="57"/>
      <c r="N60" s="58"/>
    </row>
    <row r="61" spans="1:14" s="10" customFormat="1" ht="74.25" customHeight="1" x14ac:dyDescent="0.35">
      <c r="A61" s="2"/>
      <c r="B61" s="52"/>
      <c r="C61" s="2"/>
      <c r="D61" s="2"/>
      <c r="E61" s="53"/>
      <c r="F61" s="54"/>
      <c r="G61" s="54"/>
      <c r="H61" s="55"/>
      <c r="I61" s="53"/>
      <c r="J61" s="53"/>
      <c r="K61" s="53"/>
      <c r="L61" s="56"/>
      <c r="M61" s="57"/>
      <c r="N61" s="58"/>
    </row>
    <row r="62" spans="1:14" s="10" customFormat="1" ht="74.25" customHeight="1" x14ac:dyDescent="0.35">
      <c r="A62" s="2"/>
      <c r="B62" s="52"/>
      <c r="C62" s="2"/>
      <c r="D62" s="2"/>
      <c r="E62" s="53"/>
      <c r="F62" s="54"/>
      <c r="G62" s="54"/>
      <c r="H62" s="55"/>
      <c r="I62" s="53"/>
      <c r="J62" s="53"/>
      <c r="K62" s="53"/>
      <c r="L62" s="56"/>
      <c r="M62" s="57"/>
      <c r="N62" s="58"/>
    </row>
    <row r="63" spans="1:14" s="10" customFormat="1" ht="74.25" customHeight="1" x14ac:dyDescent="0.35">
      <c r="A63" s="2"/>
      <c r="B63" s="52"/>
      <c r="C63" s="2"/>
      <c r="D63" s="2"/>
      <c r="E63" s="53"/>
      <c r="F63" s="54"/>
      <c r="G63" s="54"/>
      <c r="H63" s="55"/>
      <c r="I63" s="53"/>
      <c r="J63" s="53"/>
      <c r="K63" s="53"/>
      <c r="L63" s="56"/>
      <c r="M63" s="57"/>
      <c r="N63" s="58"/>
    </row>
    <row r="672" spans="1:14" s="54" customFormat="1" ht="74.25" customHeight="1" x14ac:dyDescent="0.35">
      <c r="A672" s="2"/>
      <c r="B672" s="52"/>
      <c r="C672" s="2"/>
      <c r="D672" s="2"/>
      <c r="E672" s="60"/>
      <c r="H672" s="55"/>
      <c r="I672" s="53"/>
      <c r="J672" s="53"/>
      <c r="K672" s="53"/>
      <c r="L672" s="61"/>
      <c r="M672" s="57"/>
      <c r="N672" s="58"/>
    </row>
  </sheetData>
  <protectedRanges>
    <protectedRange algorithmName="SHA-512" hashValue="e1FOu1UlwA7reaiyQlEGzbU6dAFPyHPlKfgo6VzFBBobawyOfUsh2c/+wjC8bICpcXVPmRerMGA9+qKsw5p7Iw==" saltValue="UD2tVZrxqZTGI3vDzMBrHw==" spinCount="100000" sqref="E3:E28" name="Range1_1"/>
  </protectedRanges>
  <autoFilter ref="A2:N3" xr:uid="{C37AD070-2916-43CC-A604-A8704404E33C}"/>
  <mergeCells count="1">
    <mergeCell ref="D1:F1"/>
  </mergeCells>
  <conditionalFormatting sqref="A2">
    <cfRule type="duplicateValues" dxfId="63" priority="5"/>
  </conditionalFormatting>
  <conditionalFormatting sqref="A3:A28">
    <cfRule type="duplicateValues" dxfId="62" priority="7"/>
  </conditionalFormatting>
  <conditionalFormatting sqref="A31:A1048576">
    <cfRule type="duplicateValues" dxfId="61" priority="6"/>
  </conditionalFormatting>
  <conditionalFormatting sqref="C1:C1048576">
    <cfRule type="duplicateValues" dxfId="60" priority="1"/>
    <cfRule type="duplicateValues" dxfId="59" priority="2"/>
  </conditionalFormatting>
  <conditionalFormatting sqref="I2:M2">
    <cfRule type="duplicateValues" dxfId="58" priority="4"/>
  </conditionalFormatting>
  <conditionalFormatting sqref="N1">
    <cfRule type="duplicateValues" dxfId="57" priority="3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9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A541-4BD1-41BE-98C5-DB24F1212CE9}">
  <sheetPr filterMode="1">
    <tabColor theme="4"/>
  </sheetPr>
  <dimension ref="A1:N669"/>
  <sheetViews>
    <sheetView zoomScale="25" zoomScaleNormal="25" zoomScaleSheetLayoutView="34" workbookViewId="0">
      <pane xSplit="1" ySplit="2" topLeftCell="C3" activePane="bottomRight" state="frozen"/>
      <selection activeCell="E27" sqref="E27"/>
      <selection pane="topRight" activeCell="E27" sqref="E27"/>
      <selection pane="bottomLeft" activeCell="E27" sqref="E27"/>
      <selection pane="bottomRight" activeCell="A5" sqref="A5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75.5429687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20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184</v>
      </c>
      <c r="B3" s="18" t="s">
        <v>185</v>
      </c>
      <c r="C3" s="19" t="s">
        <v>186</v>
      </c>
      <c r="D3" s="20" t="s">
        <v>187</v>
      </c>
      <c r="E3" s="21" t="s">
        <v>188</v>
      </c>
      <c r="F3" s="22">
        <v>70</v>
      </c>
      <c r="G3" s="23">
        <v>2</v>
      </c>
      <c r="H3" s="24">
        <v>2</v>
      </c>
      <c r="I3" s="25" t="s">
        <v>57</v>
      </c>
      <c r="J3" s="25" t="s">
        <v>189</v>
      </c>
      <c r="K3" s="25" t="s">
        <v>246</v>
      </c>
      <c r="L3" s="26">
        <v>2</v>
      </c>
      <c r="M3" s="27"/>
      <c r="N3" s="28">
        <v>46167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70"/>
      <c r="K4" s="25" t="s">
        <v>246</v>
      </c>
      <c r="L4" s="71"/>
      <c r="M4" s="72"/>
      <c r="N4" s="28"/>
    </row>
    <row r="5" spans="1:14" s="3" customFormat="1" ht="70" customHeight="1" x14ac:dyDescent="0.35">
      <c r="A5" s="17" t="s">
        <v>190</v>
      </c>
      <c r="B5" s="18" t="s">
        <v>191</v>
      </c>
      <c r="C5" s="19" t="s">
        <v>192</v>
      </c>
      <c r="D5" s="20" t="s">
        <v>193</v>
      </c>
      <c r="E5" s="21" t="s">
        <v>194</v>
      </c>
      <c r="F5" s="22">
        <v>40</v>
      </c>
      <c r="G5" s="23">
        <v>2</v>
      </c>
      <c r="H5" s="24">
        <v>2</v>
      </c>
      <c r="I5" s="25" t="s">
        <v>151</v>
      </c>
      <c r="J5" s="25" t="s">
        <v>27</v>
      </c>
      <c r="K5" s="25" t="s">
        <v>246</v>
      </c>
      <c r="L5" s="26">
        <v>2</v>
      </c>
      <c r="M5" s="27"/>
      <c r="N5" s="28">
        <v>46168</v>
      </c>
    </row>
    <row r="6" spans="1:14" s="3" customFormat="1" ht="70" customHeight="1" x14ac:dyDescent="0.35">
      <c r="A6" s="62"/>
      <c r="B6" s="63"/>
      <c r="C6" s="64"/>
      <c r="D6" s="65"/>
      <c r="E6" s="66"/>
      <c r="F6" s="67"/>
      <c r="G6" s="68"/>
      <c r="H6" s="69"/>
      <c r="I6" s="70"/>
      <c r="J6" s="70"/>
      <c r="K6" s="25" t="s">
        <v>246</v>
      </c>
      <c r="L6" s="71"/>
      <c r="M6" s="72"/>
      <c r="N6" s="28"/>
    </row>
    <row r="7" spans="1:14" s="3" customFormat="1" ht="70" customHeight="1" x14ac:dyDescent="0.35">
      <c r="A7" s="17" t="s">
        <v>195</v>
      </c>
      <c r="B7" s="18" t="s">
        <v>196</v>
      </c>
      <c r="C7" s="19" t="s">
        <v>197</v>
      </c>
      <c r="D7" s="20" t="s">
        <v>198</v>
      </c>
      <c r="E7" s="21" t="s">
        <v>199</v>
      </c>
      <c r="F7" s="22">
        <v>40</v>
      </c>
      <c r="G7" s="23">
        <v>1</v>
      </c>
      <c r="H7" s="24">
        <v>1</v>
      </c>
      <c r="I7" s="25" t="s">
        <v>151</v>
      </c>
      <c r="J7" s="25" t="s">
        <v>27</v>
      </c>
      <c r="K7" s="25" t="s">
        <v>246</v>
      </c>
      <c r="L7" s="26">
        <v>1</v>
      </c>
      <c r="M7" s="40"/>
      <c r="N7" s="28">
        <v>46168</v>
      </c>
    </row>
    <row r="8" spans="1:14" s="3" customFormat="1" ht="70" customHeight="1" x14ac:dyDescent="0.35">
      <c r="A8" s="62"/>
      <c r="B8" s="63"/>
      <c r="C8" s="64"/>
      <c r="D8" s="65"/>
      <c r="E8" s="66"/>
      <c r="F8" s="67"/>
      <c r="G8" s="68"/>
      <c r="H8" s="69"/>
      <c r="I8" s="70"/>
      <c r="J8" s="70"/>
      <c r="K8" s="25" t="s">
        <v>246</v>
      </c>
      <c r="L8" s="71"/>
      <c r="M8" s="72"/>
      <c r="N8" s="28"/>
    </row>
    <row r="9" spans="1:14" s="3" customFormat="1" ht="70" customHeight="1" x14ac:dyDescent="0.35">
      <c r="A9" s="17" t="s">
        <v>200</v>
      </c>
      <c r="B9" s="18" t="s">
        <v>201</v>
      </c>
      <c r="C9" s="19" t="s">
        <v>202</v>
      </c>
      <c r="D9" s="20" t="s">
        <v>203</v>
      </c>
      <c r="E9" s="21" t="s">
        <v>204</v>
      </c>
      <c r="F9" s="22">
        <v>40</v>
      </c>
      <c r="G9" s="23">
        <v>2</v>
      </c>
      <c r="H9" s="24">
        <v>2</v>
      </c>
      <c r="I9" s="25" t="s">
        <v>151</v>
      </c>
      <c r="J9" s="25" t="s">
        <v>27</v>
      </c>
      <c r="K9" s="25" t="s">
        <v>246</v>
      </c>
      <c r="L9" s="26">
        <v>2</v>
      </c>
      <c r="M9" s="27"/>
      <c r="N9" s="28">
        <v>46168</v>
      </c>
    </row>
    <row r="10" spans="1:14" s="3" customFormat="1" ht="70" customHeight="1" x14ac:dyDescent="0.35">
      <c r="A10" s="62"/>
      <c r="B10" s="63"/>
      <c r="C10" s="64"/>
      <c r="D10" s="65"/>
      <c r="E10" s="66"/>
      <c r="F10" s="67"/>
      <c r="G10" s="68"/>
      <c r="H10" s="69"/>
      <c r="I10" s="70"/>
      <c r="J10" s="70"/>
      <c r="K10" s="25" t="s">
        <v>246</v>
      </c>
      <c r="L10" s="71"/>
      <c r="M10" s="72"/>
      <c r="N10" s="28"/>
    </row>
    <row r="11" spans="1:14" s="3" customFormat="1" ht="70" customHeight="1" x14ac:dyDescent="0.35">
      <c r="A11" s="17" t="s">
        <v>205</v>
      </c>
      <c r="B11" s="18" t="s">
        <v>206</v>
      </c>
      <c r="C11" s="19" t="s">
        <v>207</v>
      </c>
      <c r="D11" s="20" t="s">
        <v>208</v>
      </c>
      <c r="E11" s="21" t="s">
        <v>209</v>
      </c>
      <c r="F11" s="22">
        <v>30</v>
      </c>
      <c r="G11" s="23">
        <v>2</v>
      </c>
      <c r="H11" s="24">
        <v>2</v>
      </c>
      <c r="I11" s="25" t="s">
        <v>151</v>
      </c>
      <c r="J11" s="25" t="s">
        <v>27</v>
      </c>
      <c r="K11" s="25" t="s">
        <v>246</v>
      </c>
      <c r="L11" s="26">
        <v>2</v>
      </c>
      <c r="M11" s="27"/>
      <c r="N11" s="28">
        <v>46168</v>
      </c>
    </row>
    <row r="12" spans="1:14" s="3" customFormat="1" ht="70" customHeight="1" x14ac:dyDescent="0.35">
      <c r="A12" s="62"/>
      <c r="B12" s="63"/>
      <c r="C12" s="64"/>
      <c r="D12" s="65"/>
      <c r="E12" s="66"/>
      <c r="F12" s="67"/>
      <c r="G12" s="68"/>
      <c r="H12" s="69"/>
      <c r="I12" s="70"/>
      <c r="J12" s="70"/>
      <c r="K12" s="25" t="s">
        <v>246</v>
      </c>
      <c r="L12" s="71"/>
      <c r="M12" s="72"/>
      <c r="N12" s="28"/>
    </row>
    <row r="13" spans="1:14" s="3" customFormat="1" ht="70" customHeight="1" x14ac:dyDescent="0.35">
      <c r="A13" s="17" t="s">
        <v>210</v>
      </c>
      <c r="B13" s="18" t="s">
        <v>211</v>
      </c>
      <c r="C13" s="19" t="s">
        <v>148</v>
      </c>
      <c r="D13" s="20" t="s">
        <v>212</v>
      </c>
      <c r="E13" s="21" t="s">
        <v>213</v>
      </c>
      <c r="F13" s="22">
        <v>50</v>
      </c>
      <c r="G13" s="23">
        <v>2</v>
      </c>
      <c r="H13" s="24">
        <v>2</v>
      </c>
      <c r="I13" s="25" t="s">
        <v>151</v>
      </c>
      <c r="J13" s="25" t="s">
        <v>27</v>
      </c>
      <c r="K13" s="25" t="s">
        <v>246</v>
      </c>
      <c r="L13" s="26">
        <v>2</v>
      </c>
      <c r="M13" s="27"/>
      <c r="N13" s="28">
        <v>46168</v>
      </c>
    </row>
    <row r="14" spans="1:14" s="3" customFormat="1" ht="70" customHeight="1" x14ac:dyDescent="0.35">
      <c r="A14" s="62"/>
      <c r="B14" s="63"/>
      <c r="C14" s="64"/>
      <c r="D14" s="65"/>
      <c r="E14" s="66"/>
      <c r="F14" s="67"/>
      <c r="G14" s="68"/>
      <c r="H14" s="69"/>
      <c r="I14" s="70"/>
      <c r="J14" s="70"/>
      <c r="K14" s="25" t="s">
        <v>246</v>
      </c>
      <c r="L14" s="71"/>
      <c r="M14" s="72"/>
      <c r="N14" s="28"/>
    </row>
    <row r="15" spans="1:14" s="3" customFormat="1" ht="70" customHeight="1" x14ac:dyDescent="0.35">
      <c r="A15" s="17" t="s">
        <v>214</v>
      </c>
      <c r="B15" s="18" t="s">
        <v>215</v>
      </c>
      <c r="C15" s="19" t="s">
        <v>54</v>
      </c>
      <c r="D15" s="20" t="s">
        <v>216</v>
      </c>
      <c r="E15" s="21" t="s">
        <v>217</v>
      </c>
      <c r="F15" s="22">
        <v>30</v>
      </c>
      <c r="G15" s="23">
        <v>1</v>
      </c>
      <c r="H15" s="24">
        <v>1</v>
      </c>
      <c r="I15" s="25" t="s">
        <v>77</v>
      </c>
      <c r="J15" s="25" t="s">
        <v>27</v>
      </c>
      <c r="K15" s="25" t="s">
        <v>246</v>
      </c>
      <c r="L15" s="26">
        <v>6</v>
      </c>
      <c r="M15" s="40"/>
      <c r="N15" s="28">
        <v>46168</v>
      </c>
    </row>
    <row r="16" spans="1:14" s="3" customFormat="1" ht="70" customHeight="1" x14ac:dyDescent="0.35">
      <c r="A16" s="17" t="s">
        <v>218</v>
      </c>
      <c r="B16" s="18" t="s">
        <v>219</v>
      </c>
      <c r="C16" s="19" t="s">
        <v>54</v>
      </c>
      <c r="D16" s="20" t="s">
        <v>220</v>
      </c>
      <c r="E16" s="21" t="s">
        <v>221</v>
      </c>
      <c r="F16" s="22">
        <v>80</v>
      </c>
      <c r="G16" s="23">
        <v>4</v>
      </c>
      <c r="H16" s="24">
        <v>4</v>
      </c>
      <c r="I16" s="25" t="s">
        <v>77</v>
      </c>
      <c r="J16" s="25" t="s">
        <v>27</v>
      </c>
      <c r="K16" s="25" t="s">
        <v>246</v>
      </c>
      <c r="L16" s="26"/>
      <c r="M16" s="27"/>
      <c r="N16" s="28">
        <v>46168</v>
      </c>
    </row>
    <row r="17" spans="1:14" s="3" customFormat="1" ht="70" customHeight="1" x14ac:dyDescent="0.35">
      <c r="A17" s="17" t="s">
        <v>222</v>
      </c>
      <c r="B17" s="18" t="s">
        <v>223</v>
      </c>
      <c r="C17" s="19" t="s">
        <v>54</v>
      </c>
      <c r="D17" s="20" t="s">
        <v>224</v>
      </c>
      <c r="E17" s="21" t="s">
        <v>225</v>
      </c>
      <c r="F17" s="22">
        <v>20</v>
      </c>
      <c r="G17" s="23">
        <v>1</v>
      </c>
      <c r="H17" s="24">
        <v>1</v>
      </c>
      <c r="I17" s="25" t="s">
        <v>77</v>
      </c>
      <c r="J17" s="25" t="s">
        <v>27</v>
      </c>
      <c r="K17" s="25" t="s">
        <v>246</v>
      </c>
      <c r="L17" s="26"/>
      <c r="M17" s="27"/>
      <c r="N17" s="28">
        <v>46168</v>
      </c>
    </row>
    <row r="18" spans="1:14" s="3" customFormat="1" ht="70" customHeight="1" x14ac:dyDescent="0.35">
      <c r="A18" s="62"/>
      <c r="B18" s="63"/>
      <c r="C18" s="64"/>
      <c r="D18" s="65"/>
      <c r="E18" s="66"/>
      <c r="F18" s="67"/>
      <c r="G18" s="68"/>
      <c r="H18" s="69"/>
      <c r="I18" s="70"/>
      <c r="J18" s="70"/>
      <c r="K18" s="25" t="s">
        <v>246</v>
      </c>
      <c r="L18" s="71"/>
      <c r="M18" s="72"/>
      <c r="N18" s="28"/>
    </row>
    <row r="19" spans="1:14" s="3" customFormat="1" ht="70" customHeight="1" x14ac:dyDescent="0.35">
      <c r="A19" s="17" t="s">
        <v>226</v>
      </c>
      <c r="B19" s="18" t="s">
        <v>227</v>
      </c>
      <c r="C19" s="19" t="s">
        <v>228</v>
      </c>
      <c r="D19" s="20" t="s">
        <v>229</v>
      </c>
      <c r="E19" s="21" t="s">
        <v>230</v>
      </c>
      <c r="F19" s="22">
        <v>30</v>
      </c>
      <c r="G19" s="23">
        <v>2</v>
      </c>
      <c r="H19" s="24">
        <v>2</v>
      </c>
      <c r="I19" s="25" t="s">
        <v>26</v>
      </c>
      <c r="J19" s="25" t="s">
        <v>27</v>
      </c>
      <c r="K19" s="25" t="s">
        <v>246</v>
      </c>
      <c r="L19" s="26">
        <v>2</v>
      </c>
      <c r="M19" s="40"/>
      <c r="N19" s="28">
        <v>46168</v>
      </c>
    </row>
    <row r="20" spans="1:14" s="3" customFormat="1" ht="70" customHeight="1" x14ac:dyDescent="0.35">
      <c r="A20" s="62"/>
      <c r="B20" s="63"/>
      <c r="C20" s="64"/>
      <c r="D20" s="65"/>
      <c r="E20" s="66"/>
      <c r="F20" s="67"/>
      <c r="G20" s="68"/>
      <c r="H20" s="69"/>
      <c r="I20" s="70"/>
      <c r="J20" s="70"/>
      <c r="K20" s="25" t="s">
        <v>246</v>
      </c>
      <c r="L20" s="71"/>
      <c r="M20" s="72"/>
      <c r="N20" s="28"/>
    </row>
    <row r="21" spans="1:14" s="3" customFormat="1" ht="70" customHeight="1" x14ac:dyDescent="0.35">
      <c r="A21" s="17" t="s">
        <v>231</v>
      </c>
      <c r="B21" s="18" t="s">
        <v>232</v>
      </c>
      <c r="C21" s="19" t="s">
        <v>172</v>
      </c>
      <c r="D21" s="20" t="s">
        <v>233</v>
      </c>
      <c r="E21" s="21" t="s">
        <v>234</v>
      </c>
      <c r="F21" s="22">
        <v>20</v>
      </c>
      <c r="G21" s="23">
        <v>1</v>
      </c>
      <c r="H21" s="24">
        <v>1</v>
      </c>
      <c r="I21" s="25" t="s">
        <v>77</v>
      </c>
      <c r="J21" s="25" t="s">
        <v>27</v>
      </c>
      <c r="K21" s="25" t="s">
        <v>246</v>
      </c>
      <c r="L21" s="26">
        <v>1</v>
      </c>
      <c r="M21" s="40"/>
      <c r="N21" s="28">
        <v>46168</v>
      </c>
    </row>
    <row r="22" spans="1:14" s="3" customFormat="1" ht="70" hidden="1" customHeight="1" x14ac:dyDescent="0.35">
      <c r="A22" s="17"/>
      <c r="B22" s="18" t="e">
        <v>#N/A</v>
      </c>
      <c r="C22" s="19" t="e">
        <v>#N/A</v>
      </c>
      <c r="D22" s="20" t="e">
        <v>#N/A</v>
      </c>
      <c r="E22" s="21" t="e">
        <v>#N/A</v>
      </c>
      <c r="F22" s="22" t="e">
        <v>#N/A</v>
      </c>
      <c r="G22" s="23" t="e">
        <v>#N/A</v>
      </c>
      <c r="H22" s="24" t="e">
        <v>#N/A</v>
      </c>
      <c r="I22" s="25" t="e">
        <v>#N/A</v>
      </c>
      <c r="J22" s="25" t="e">
        <v>#N/A</v>
      </c>
      <c r="K22" s="25" t="e">
        <v>#N/A</v>
      </c>
      <c r="L22" s="26"/>
      <c r="M22" s="27"/>
      <c r="N22" s="28" t="s">
        <v>235</v>
      </c>
    </row>
    <row r="23" spans="1:14" s="3" customFormat="1" ht="70" hidden="1" customHeight="1" x14ac:dyDescent="0.35">
      <c r="A23" s="17"/>
      <c r="B23" s="18" t="e">
        <v>#N/A</v>
      </c>
      <c r="C23" s="19" t="e">
        <v>#N/A</v>
      </c>
      <c r="D23" s="20" t="e">
        <v>#N/A</v>
      </c>
      <c r="E23" s="21" t="e">
        <v>#N/A</v>
      </c>
      <c r="F23" s="22" t="e">
        <v>#N/A</v>
      </c>
      <c r="G23" s="23" t="e">
        <v>#N/A</v>
      </c>
      <c r="H23" s="24" t="e">
        <v>#N/A</v>
      </c>
      <c r="I23" s="25" t="e">
        <v>#N/A</v>
      </c>
      <c r="J23" s="25" t="e">
        <v>#N/A</v>
      </c>
      <c r="K23" s="25" t="e">
        <v>#N/A</v>
      </c>
      <c r="L23" s="26"/>
      <c r="M23" s="40"/>
      <c r="N23" s="28" t="s">
        <v>235</v>
      </c>
    </row>
    <row r="24" spans="1:14" s="3" customFormat="1" ht="70" hidden="1" customHeight="1" x14ac:dyDescent="0.35">
      <c r="A24" s="17"/>
      <c r="B24" s="18" t="e">
        <f>VLOOKUP(A24,'[2]master plan'!A:C,3,0)</f>
        <v>#N/A</v>
      </c>
      <c r="C24" s="19" t="e">
        <f>VLOOKUP($A24,'[2]master plan'!$A:$N,5,0)</f>
        <v>#N/A</v>
      </c>
      <c r="D24" s="20" t="e">
        <f>VLOOKUP($A24,'[2]master plan'!$A:$N,6,0)</f>
        <v>#N/A</v>
      </c>
      <c r="E24" s="21" t="e">
        <f>VLOOKUP(A24,'[2]master plan'!A:G,7,0)</f>
        <v>#N/A</v>
      </c>
      <c r="F24" s="22" t="e">
        <f>VLOOKUP(A24,'[2]master plan'!A:H,8,0)</f>
        <v>#N/A</v>
      </c>
      <c r="G24" s="23" t="e">
        <f>VLOOKUP(A24,'[2]master plan'!A:W,23,0)</f>
        <v>#N/A</v>
      </c>
      <c r="H24" s="24" t="e">
        <f>VLOOKUP(A24,'[2]master plan'!A:W,23,0)</f>
        <v>#N/A</v>
      </c>
      <c r="I24" s="25" t="e">
        <f>VLOOKUP($A24,'[2]master plan'!$A:$N,12,0)</f>
        <v>#N/A</v>
      </c>
      <c r="J24" s="25" t="e">
        <f>VLOOKUP($A24,'[2]master plan'!$A:$N,13,0)</f>
        <v>#N/A</v>
      </c>
      <c r="K24" s="25" t="e">
        <f>VLOOKUP($A24,'[2]master plan'!$A:$N,14,0)</f>
        <v>#N/A</v>
      </c>
      <c r="L24" s="26"/>
      <c r="M24" s="40"/>
      <c r="N24" s="28" t="str">
        <f>_xlfn.IFNA(VLOOKUP(A24,'[2]master plan'!A:R,18,0),"")</f>
        <v/>
      </c>
    </row>
    <row r="25" spans="1:14" s="3" customFormat="1" ht="70" hidden="1" customHeight="1" x14ac:dyDescent="0.35">
      <c r="A25" s="17"/>
      <c r="B25" s="18" t="e">
        <f>VLOOKUP(A25,'[2]master plan'!A:C,3,0)</f>
        <v>#N/A</v>
      </c>
      <c r="C25" s="19" t="e">
        <f>VLOOKUP($A25,'[2]master plan'!$A:$N,5,0)</f>
        <v>#N/A</v>
      </c>
      <c r="D25" s="20" t="e">
        <f>VLOOKUP($A25,'[2]master plan'!$A:$N,6,0)</f>
        <v>#N/A</v>
      </c>
      <c r="E25" s="21" t="e">
        <f>VLOOKUP(A25,'[2]master plan'!A:G,7,0)</f>
        <v>#N/A</v>
      </c>
      <c r="F25" s="22" t="e">
        <f>VLOOKUP(A25,'[2]master plan'!A:H,8,0)</f>
        <v>#N/A</v>
      </c>
      <c r="G25" s="23" t="e">
        <f>VLOOKUP(A25,'[2]master plan'!A:W,23,0)</f>
        <v>#N/A</v>
      </c>
      <c r="H25" s="24" t="e">
        <f>VLOOKUP(A25,'[2]master plan'!A:W,23,0)</f>
        <v>#N/A</v>
      </c>
      <c r="I25" s="25" t="e">
        <f>VLOOKUP($A25,'[2]master plan'!$A:$N,12,0)</f>
        <v>#N/A</v>
      </c>
      <c r="J25" s="25" t="e">
        <f>VLOOKUP($A25,'[2]master plan'!$A:$N,13,0)</f>
        <v>#N/A</v>
      </c>
      <c r="K25" s="25" t="e">
        <f>VLOOKUP($A25,'[2]master plan'!$A:$N,14,0)</f>
        <v>#N/A</v>
      </c>
      <c r="L25" s="26"/>
      <c r="M25" s="40"/>
      <c r="N25" s="28" t="str">
        <f>_xlfn.IFNA(VLOOKUP(A25,'[2]master plan'!A:R,18,0),"")</f>
        <v/>
      </c>
    </row>
    <row r="26" spans="1:14" s="3" customFormat="1" ht="72" customHeight="1" x14ac:dyDescent="0.35">
      <c r="A26" s="41"/>
      <c r="B26" s="42"/>
      <c r="C26" s="43"/>
      <c r="D26" s="43"/>
      <c r="E26" s="44"/>
      <c r="F26" s="45"/>
      <c r="G26" s="45"/>
      <c r="H26" s="45"/>
      <c r="I26" s="46"/>
      <c r="J26" s="47"/>
      <c r="K26" s="48"/>
      <c r="L26" s="49"/>
      <c r="M26" s="50"/>
      <c r="N26" s="51"/>
    </row>
    <row r="27" spans="1:14" ht="74.25" customHeight="1" x14ac:dyDescent="0.35">
      <c r="L27" s="56"/>
    </row>
    <row r="28" spans="1:14" ht="74.25" customHeight="1" x14ac:dyDescent="0.35">
      <c r="L28" s="56"/>
    </row>
    <row r="29" spans="1:14" ht="74.25" customHeight="1" x14ac:dyDescent="0.35">
      <c r="L29" s="56"/>
    </row>
    <row r="30" spans="1:14" s="54" customFormat="1" ht="74.25" customHeight="1" x14ac:dyDescent="0.35">
      <c r="A30" s="2"/>
      <c r="B30" s="52"/>
      <c r="C30" s="2"/>
      <c r="D30" s="2"/>
      <c r="E30" s="59" t="s">
        <v>21</v>
      </c>
      <c r="G30" s="55"/>
      <c r="I30" s="53"/>
      <c r="J30" s="53"/>
      <c r="K30" s="53"/>
      <c r="L30" s="56"/>
      <c r="M30" s="57"/>
      <c r="N30" s="58"/>
    </row>
    <row r="31" spans="1:14" ht="74.25" customHeight="1" x14ac:dyDescent="0.35">
      <c r="L31" s="56"/>
    </row>
    <row r="32" spans="1:14" ht="74.25" customHeight="1" x14ac:dyDescent="0.35">
      <c r="L32" s="56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57" spans="1:14" s="10" customFormat="1" ht="74.25" customHeight="1" x14ac:dyDescent="0.35">
      <c r="A57" s="2"/>
      <c r="B57" s="52"/>
      <c r="C57" s="2"/>
      <c r="D57" s="2"/>
      <c r="E57" s="53"/>
      <c r="F57" s="54"/>
      <c r="G57" s="54"/>
      <c r="H57" s="55"/>
      <c r="I57" s="53"/>
      <c r="J57" s="53"/>
      <c r="K57" s="53"/>
      <c r="L57" s="56"/>
      <c r="M57" s="57"/>
      <c r="N57" s="58"/>
    </row>
    <row r="58" spans="1:14" s="10" customFormat="1" ht="74.25" customHeight="1" x14ac:dyDescent="0.35">
      <c r="A58" s="2"/>
      <c r="B58" s="52"/>
      <c r="C58" s="2"/>
      <c r="D58" s="2"/>
      <c r="E58" s="53"/>
      <c r="F58" s="54"/>
      <c r="G58" s="54"/>
      <c r="H58" s="55"/>
      <c r="I58" s="53"/>
      <c r="J58" s="53"/>
      <c r="K58" s="53"/>
      <c r="L58" s="56"/>
      <c r="M58" s="57"/>
      <c r="N58" s="58"/>
    </row>
    <row r="59" spans="1:14" s="10" customFormat="1" ht="74.25" customHeight="1" x14ac:dyDescent="0.35">
      <c r="A59" s="2"/>
      <c r="B59" s="52"/>
      <c r="C59" s="2"/>
      <c r="D59" s="2"/>
      <c r="E59" s="53"/>
      <c r="F59" s="54"/>
      <c r="G59" s="54"/>
      <c r="H59" s="55"/>
      <c r="I59" s="53"/>
      <c r="J59" s="53"/>
      <c r="K59" s="53"/>
      <c r="L59" s="56"/>
      <c r="M59" s="57"/>
      <c r="N59" s="58"/>
    </row>
    <row r="60" spans="1:14" s="10" customFormat="1" ht="74.25" customHeight="1" x14ac:dyDescent="0.35">
      <c r="A60" s="2"/>
      <c r="B60" s="52"/>
      <c r="C60" s="2"/>
      <c r="D60" s="2"/>
      <c r="E60" s="53"/>
      <c r="F60" s="54"/>
      <c r="G60" s="54"/>
      <c r="H60" s="55"/>
      <c r="I60" s="53"/>
      <c r="J60" s="53"/>
      <c r="K60" s="53"/>
      <c r="L60" s="56"/>
      <c r="M60" s="57"/>
      <c r="N60" s="58"/>
    </row>
    <row r="669" spans="1:14" s="54" customFormat="1" ht="74.25" customHeight="1" x14ac:dyDescent="0.35">
      <c r="A669" s="2"/>
      <c r="B669" s="52"/>
      <c r="C669" s="2"/>
      <c r="D669" s="2"/>
      <c r="E669" s="60"/>
      <c r="H669" s="55"/>
      <c r="I669" s="53"/>
      <c r="J669" s="53"/>
      <c r="K669" s="53"/>
      <c r="L669" s="61"/>
      <c r="M669" s="57"/>
      <c r="N669" s="58"/>
    </row>
  </sheetData>
  <protectedRanges>
    <protectedRange algorithmName="SHA-512" hashValue="e1FOu1UlwA7reaiyQlEGzbU6dAFPyHPlKfgo6VzFBBobawyOfUsh2c/+wjC8bICpcXVPmRerMGA9+qKsw5p7Iw==" saltValue="UD2tVZrxqZTGI3vDzMBrHw==" spinCount="100000" sqref="E3:E25" name="Range1_1"/>
  </protectedRanges>
  <autoFilter ref="A2:N26" xr:uid="{E2BC4C4A-3703-4A99-A30B-53817C3A378F}">
    <filterColumn colId="1">
      <filters blank="1">
        <filter val="RPRO-260520-0192"/>
        <filter val="RPRO-260520-0193"/>
        <filter val="RPRO-260520-0194"/>
        <filter val="RPRO-260520-0195"/>
        <filter val="RPRO-260520-0196"/>
        <filter val="RPRO-260520-0197"/>
        <filter val="RPRO-260520-0225"/>
        <filter val="RPRO-260520-0226"/>
        <filter val="RPRO-260520-0227"/>
        <filter val="RPRO-260520-0228"/>
        <filter val="RPRO-260520-0229"/>
      </filters>
    </filterColumn>
  </autoFilter>
  <mergeCells count="1">
    <mergeCell ref="D1:F1"/>
  </mergeCells>
  <conditionalFormatting sqref="A2">
    <cfRule type="duplicateValues" dxfId="56" priority="5"/>
  </conditionalFormatting>
  <conditionalFormatting sqref="A3:A25">
    <cfRule type="duplicateValues" dxfId="55" priority="7"/>
  </conditionalFormatting>
  <conditionalFormatting sqref="A28:A1048576">
    <cfRule type="duplicateValues" dxfId="54" priority="6"/>
  </conditionalFormatting>
  <conditionalFormatting sqref="C1:C1048576">
    <cfRule type="duplicateValues" dxfId="53" priority="1"/>
    <cfRule type="duplicateValues" dxfId="52" priority="2"/>
  </conditionalFormatting>
  <conditionalFormatting sqref="I2:M2">
    <cfRule type="duplicateValues" dxfId="51" priority="4"/>
  </conditionalFormatting>
  <conditionalFormatting sqref="N1">
    <cfRule type="duplicateValues" dxfId="50" priority="3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6" max="1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6BC1-AB47-4E1B-BA30-0BF2D008E387}">
  <sheetPr>
    <tabColor theme="4"/>
  </sheetPr>
  <dimension ref="A1:N662"/>
  <sheetViews>
    <sheetView zoomScale="25" zoomScaleNormal="25" zoomScaleSheetLayoutView="34" workbookViewId="0">
      <pane xSplit="1" ySplit="2" topLeftCell="B3" activePane="bottomRight" state="frozen"/>
      <selection activeCell="E27" sqref="E27"/>
      <selection pane="topRight" activeCell="E27" sqref="E27"/>
      <selection pane="bottomLeft" activeCell="E27" sqref="E27"/>
      <selection pane="bottomRight" activeCell="A3" sqref="A3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46.1796875" style="53" customWidth="1"/>
    <col min="6" max="6" width="19.1796875" style="54" customWidth="1"/>
    <col min="7" max="7" width="19" style="54" customWidth="1"/>
    <col min="8" max="8" width="17.1796875" style="55" customWidth="1"/>
    <col min="9" max="10" width="20.1796875" style="53" customWidth="1"/>
    <col min="11" max="11" width="25.7265625" style="53" customWidth="1"/>
    <col min="12" max="12" width="21.453125" style="61" customWidth="1"/>
    <col min="13" max="13" width="22" style="57" customWidth="1"/>
    <col min="14" max="14" width="39.36328125" style="58" bestFit="1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4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236</v>
      </c>
      <c r="B3" s="18" t="s">
        <v>237</v>
      </c>
      <c r="C3" s="19" t="s">
        <v>105</v>
      </c>
      <c r="D3" s="20" t="s">
        <v>238</v>
      </c>
      <c r="E3" s="21" t="s">
        <v>239</v>
      </c>
      <c r="F3" s="22">
        <v>50</v>
      </c>
      <c r="G3" s="23">
        <v>2</v>
      </c>
      <c r="H3" s="24">
        <v>2</v>
      </c>
      <c r="I3" s="25" t="s">
        <v>57</v>
      </c>
      <c r="J3" s="25" t="s">
        <v>240</v>
      </c>
      <c r="K3" s="25" t="s">
        <v>162</v>
      </c>
      <c r="L3" s="26">
        <v>2</v>
      </c>
      <c r="M3" s="27"/>
      <c r="N3" s="28">
        <v>46167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25"/>
      <c r="K4" s="70"/>
      <c r="L4" s="71"/>
      <c r="M4" s="72"/>
      <c r="N4" s="28"/>
    </row>
    <row r="5" spans="1:14" s="3" customFormat="1" ht="70" customHeight="1" x14ac:dyDescent="0.35">
      <c r="A5" s="17" t="s">
        <v>241</v>
      </c>
      <c r="B5" s="18" t="s">
        <v>242</v>
      </c>
      <c r="C5" s="19" t="s">
        <v>39</v>
      </c>
      <c r="D5" s="20" t="s">
        <v>243</v>
      </c>
      <c r="E5" s="21" t="s">
        <v>244</v>
      </c>
      <c r="F5" s="22">
        <v>30</v>
      </c>
      <c r="G5" s="23">
        <v>2</v>
      </c>
      <c r="H5" s="24">
        <v>2</v>
      </c>
      <c r="I5" s="25" t="s">
        <v>57</v>
      </c>
      <c r="J5" s="25" t="s">
        <v>245</v>
      </c>
      <c r="K5" s="25" t="s">
        <v>246</v>
      </c>
      <c r="L5" s="26">
        <v>2</v>
      </c>
      <c r="M5" s="27"/>
      <c r="N5" s="28">
        <v>46167</v>
      </c>
    </row>
    <row r="6" spans="1:14" s="3" customFormat="1" ht="70" customHeight="1" x14ac:dyDescent="0.35">
      <c r="A6" s="17"/>
      <c r="B6" s="18" t="e">
        <f>VLOOKUP(A6,'[2]master plan'!A:C,3,0)</f>
        <v>#N/A</v>
      </c>
      <c r="C6" s="19" t="e">
        <f>VLOOKUP($A6,'[2]master plan'!$A:$N,5,0)</f>
        <v>#N/A</v>
      </c>
      <c r="D6" s="20" t="e">
        <f>VLOOKUP($A6,'[2]master plan'!$A:$N,6,0)</f>
        <v>#N/A</v>
      </c>
      <c r="E6" s="21" t="e">
        <f>VLOOKUP(A6,'[2]master plan'!A:G,7,0)</f>
        <v>#N/A</v>
      </c>
      <c r="F6" s="22" t="e">
        <f>VLOOKUP(A6,'[2]master plan'!A:H,8,0)</f>
        <v>#N/A</v>
      </c>
      <c r="G6" s="23" t="e">
        <f>VLOOKUP(A6,'[2]master plan'!A:W,23,0)</f>
        <v>#N/A</v>
      </c>
      <c r="H6" s="24" t="e">
        <f>VLOOKUP(A6,'[2]master plan'!A:W,23,0)</f>
        <v>#N/A</v>
      </c>
      <c r="I6" s="25" t="e">
        <f>VLOOKUP($A6,'[2]master plan'!$A:$N,12,0)</f>
        <v>#N/A</v>
      </c>
      <c r="J6" s="25" t="e">
        <f>VLOOKUP($A6,'[2]master plan'!$A:$N,13,0)</f>
        <v>#N/A</v>
      </c>
      <c r="K6" s="25" t="e">
        <f>VLOOKUP($A6,'[2]master plan'!$A:$N,14,0)</f>
        <v>#N/A</v>
      </c>
      <c r="L6" s="26"/>
      <c r="M6" s="40"/>
      <c r="N6" s="28" t="str">
        <f>_xlfn.IFNA(VLOOKUP(A6,'[2]master plan'!A:R,18,0),"")</f>
        <v/>
      </c>
    </row>
    <row r="7" spans="1:14" s="3" customFormat="1" ht="144" customHeight="1" x14ac:dyDescent="0.35">
      <c r="A7" s="1" t="s">
        <v>0</v>
      </c>
      <c r="B7" s="1">
        <v>46167.440663078705</v>
      </c>
      <c r="C7" s="2"/>
      <c r="D7" s="80" t="s">
        <v>1</v>
      </c>
      <c r="E7" s="80"/>
      <c r="F7" s="80"/>
      <c r="H7" s="4"/>
      <c r="I7" s="5"/>
      <c r="J7" s="7"/>
      <c r="K7" s="8">
        <v>7</v>
      </c>
      <c r="L7" s="7"/>
      <c r="M7" s="9"/>
      <c r="N7" s="28" t="str">
        <f>_xlfn.IFNA(VLOOKUP(A7,'[2]master plan'!A:R,18,0),"")</f>
        <v/>
      </c>
    </row>
    <row r="8" spans="1:14" s="3" customFormat="1" ht="70" customHeight="1" x14ac:dyDescent="0.35">
      <c r="A8" s="11" t="s">
        <v>2</v>
      </c>
      <c r="B8" s="12" t="s">
        <v>3</v>
      </c>
      <c r="C8" s="11" t="s">
        <v>4</v>
      </c>
      <c r="D8" s="11" t="s">
        <v>5</v>
      </c>
      <c r="E8" s="13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12</v>
      </c>
      <c r="K8" s="14" t="s">
        <v>13</v>
      </c>
      <c r="L8" s="11" t="s">
        <v>14</v>
      </c>
      <c r="M8" s="15" t="s">
        <v>15</v>
      </c>
      <c r="N8" s="28" t="str">
        <f>_xlfn.IFNA(VLOOKUP(A8,'[2]master plan'!A:R,18,0),"")</f>
        <v>Ngày gửi Lab</v>
      </c>
    </row>
    <row r="9" spans="1:14" s="3" customFormat="1" ht="70" customHeight="1" x14ac:dyDescent="0.35">
      <c r="A9" s="17" t="s">
        <v>247</v>
      </c>
      <c r="B9" s="18" t="s">
        <v>248</v>
      </c>
      <c r="C9" s="19" t="s">
        <v>249</v>
      </c>
      <c r="D9" s="20" t="s">
        <v>250</v>
      </c>
      <c r="E9" s="21" t="s">
        <v>251</v>
      </c>
      <c r="F9" s="22">
        <v>15</v>
      </c>
      <c r="G9" s="23">
        <v>2</v>
      </c>
      <c r="H9" s="24">
        <v>2</v>
      </c>
      <c r="I9" s="25" t="s">
        <v>57</v>
      </c>
      <c r="J9" s="25" t="s">
        <v>59</v>
      </c>
      <c r="K9" s="26">
        <v>2</v>
      </c>
      <c r="L9" s="27"/>
      <c r="M9" s="28">
        <v>46169</v>
      </c>
      <c r="N9" s="28">
        <f>_xlfn.IFNA(VLOOKUP(A9,'[2]master plan'!A:R,18,0),"")</f>
        <v>46169</v>
      </c>
    </row>
    <row r="10" spans="1:14" s="3" customFormat="1" ht="70" customHeight="1" x14ac:dyDescent="0.35">
      <c r="A10" s="62"/>
      <c r="B10" s="63"/>
      <c r="C10" s="64"/>
      <c r="D10" s="65"/>
      <c r="E10" s="66"/>
      <c r="F10" s="67"/>
      <c r="G10" s="68"/>
      <c r="H10" s="69"/>
      <c r="I10" s="70"/>
      <c r="J10" s="70"/>
      <c r="K10" s="71"/>
      <c r="L10" s="72"/>
      <c r="M10" s="76"/>
      <c r="N10" s="28" t="str">
        <f>_xlfn.IFNA(VLOOKUP(A10,'[2]master plan'!A:R,18,0),"")</f>
        <v/>
      </c>
    </row>
    <row r="11" spans="1:14" s="3" customFormat="1" ht="70" customHeight="1" x14ac:dyDescent="0.35">
      <c r="A11" s="17" t="s">
        <v>252</v>
      </c>
      <c r="B11" s="18" t="s">
        <v>253</v>
      </c>
      <c r="C11" s="19" t="s">
        <v>63</v>
      </c>
      <c r="D11" s="20" t="s">
        <v>64</v>
      </c>
      <c r="E11" s="21" t="s">
        <v>65</v>
      </c>
      <c r="F11" s="22">
        <v>100</v>
      </c>
      <c r="G11" s="23">
        <v>3</v>
      </c>
      <c r="H11" s="24">
        <v>3</v>
      </c>
      <c r="I11" s="25" t="s">
        <v>57</v>
      </c>
      <c r="J11" s="25" t="s">
        <v>67</v>
      </c>
      <c r="K11" s="26">
        <v>3</v>
      </c>
      <c r="L11" s="27"/>
      <c r="M11" s="28">
        <v>46169</v>
      </c>
      <c r="N11" s="28">
        <f>_xlfn.IFNA(VLOOKUP(A11,'[2]master plan'!A:R,18,0),"")</f>
        <v>46169</v>
      </c>
    </row>
    <row r="12" spans="1:14" s="3" customFormat="1" ht="70" customHeight="1" x14ac:dyDescent="0.35">
      <c r="A12" s="62"/>
      <c r="B12" s="63"/>
      <c r="C12" s="64"/>
      <c r="D12" s="65"/>
      <c r="E12" s="66"/>
      <c r="F12" s="67"/>
      <c r="G12" s="68"/>
      <c r="H12" s="69"/>
      <c r="I12" s="70"/>
      <c r="J12" s="70"/>
      <c r="K12" s="71"/>
      <c r="L12" s="72"/>
      <c r="M12" s="76"/>
      <c r="N12" s="28" t="str">
        <f>_xlfn.IFNA(VLOOKUP(A12,'[2]master plan'!A:R,18,0),"")</f>
        <v/>
      </c>
    </row>
    <row r="13" spans="1:14" s="3" customFormat="1" ht="70" customHeight="1" x14ac:dyDescent="0.35">
      <c r="A13" s="17" t="s">
        <v>254</v>
      </c>
      <c r="B13" s="18" t="s">
        <v>255</v>
      </c>
      <c r="C13" s="19" t="s">
        <v>39</v>
      </c>
      <c r="D13" s="20" t="s">
        <v>256</v>
      </c>
      <c r="E13" s="21" t="s">
        <v>257</v>
      </c>
      <c r="F13" s="22">
        <v>20</v>
      </c>
      <c r="G13" s="23">
        <v>2</v>
      </c>
      <c r="H13" s="24">
        <v>2</v>
      </c>
      <c r="I13" s="25" t="s">
        <v>258</v>
      </c>
      <c r="J13" s="25" t="s">
        <v>28</v>
      </c>
      <c r="K13" s="26">
        <v>2</v>
      </c>
      <c r="L13" s="40"/>
      <c r="M13" s="28">
        <v>46169</v>
      </c>
      <c r="N13" s="28">
        <f>_xlfn.IFNA(VLOOKUP(A13,'[2]master plan'!A:R,18,0),"")</f>
        <v>46169</v>
      </c>
    </row>
    <row r="14" spans="1:14" s="3" customFormat="1" ht="70" customHeight="1" x14ac:dyDescent="0.35">
      <c r="A14" s="17"/>
      <c r="B14" s="18" t="e">
        <f>VLOOKUP(A14,'[2]master plan'!A:C,3,0)</f>
        <v>#N/A</v>
      </c>
      <c r="C14" s="19" t="e">
        <f>VLOOKUP($A14,'[2]master plan'!$A:$N,5,0)</f>
        <v>#N/A</v>
      </c>
      <c r="D14" s="20" t="e">
        <f>VLOOKUP($A14,'[2]master plan'!$A:$N,6,0)</f>
        <v>#N/A</v>
      </c>
      <c r="E14" s="21" t="e">
        <f>VLOOKUP(A14,'[2]master plan'!A:G,7,0)</f>
        <v>#N/A</v>
      </c>
      <c r="F14" s="22" t="e">
        <f>VLOOKUP(A14,'[2]master plan'!A:H,8,0)</f>
        <v>#N/A</v>
      </c>
      <c r="G14" s="23" t="e">
        <f>VLOOKUP(A14,'[2]master plan'!A:W,23,0)</f>
        <v>#N/A</v>
      </c>
      <c r="H14" s="24" t="e">
        <f>VLOOKUP(A14,'[2]master plan'!A:W,23,0)</f>
        <v>#N/A</v>
      </c>
      <c r="I14" s="25" t="e">
        <f>VLOOKUP($A14,'[2]master plan'!$A:$N,12,0)</f>
        <v>#N/A</v>
      </c>
      <c r="J14" s="25" t="e">
        <f>VLOOKUP($A14,'[2]master plan'!$A:$N,13,0)</f>
        <v>#N/A</v>
      </c>
      <c r="K14" s="25" t="e">
        <f>VLOOKUP($A14,'[2]master plan'!$A:$N,14,0)</f>
        <v>#N/A</v>
      </c>
      <c r="L14" s="26"/>
      <c r="M14" s="40"/>
      <c r="N14" s="28" t="str">
        <f>_xlfn.IFNA(VLOOKUP(A14,'[2]master plan'!A:R,18,0),"")</f>
        <v/>
      </c>
    </row>
    <row r="15" spans="1:14" s="3" customFormat="1" ht="70" customHeight="1" x14ac:dyDescent="0.35">
      <c r="A15" s="17"/>
      <c r="B15" s="18" t="e">
        <f>VLOOKUP(A15,'[2]master plan'!A:C,3,0)</f>
        <v>#N/A</v>
      </c>
      <c r="C15" s="19" t="e">
        <f>VLOOKUP($A15,'[2]master plan'!$A:$N,5,0)</f>
        <v>#N/A</v>
      </c>
      <c r="D15" s="20" t="e">
        <f>VLOOKUP($A15,'[2]master plan'!$A:$N,6,0)</f>
        <v>#N/A</v>
      </c>
      <c r="E15" s="21" t="e">
        <f>VLOOKUP(A15,'[2]master plan'!A:G,7,0)</f>
        <v>#N/A</v>
      </c>
      <c r="F15" s="22" t="e">
        <f>VLOOKUP(A15,'[2]master plan'!A:H,8,0)</f>
        <v>#N/A</v>
      </c>
      <c r="G15" s="23" t="e">
        <f>VLOOKUP(A15,'[2]master plan'!A:W,23,0)</f>
        <v>#N/A</v>
      </c>
      <c r="H15" s="24" t="e">
        <f>VLOOKUP(A15,'[2]master plan'!A:W,23,0)</f>
        <v>#N/A</v>
      </c>
      <c r="I15" s="25" t="e">
        <f>VLOOKUP($A15,'[2]master plan'!$A:$N,12,0)</f>
        <v>#N/A</v>
      </c>
      <c r="J15" s="25" t="e">
        <f>VLOOKUP($A15,'[2]master plan'!$A:$N,13,0)</f>
        <v>#N/A</v>
      </c>
      <c r="K15" s="25" t="e">
        <f>VLOOKUP($A15,'[2]master plan'!$A:$N,14,0)</f>
        <v>#N/A</v>
      </c>
      <c r="L15" s="26"/>
      <c r="M15" s="27"/>
      <c r="N15" s="28" t="str">
        <f>_xlfn.IFNA(VLOOKUP(A15,'[2]master plan'!A:R,18,0),"")</f>
        <v/>
      </c>
    </row>
    <row r="16" spans="1:14" s="3" customFormat="1" ht="70" customHeight="1" x14ac:dyDescent="0.35">
      <c r="A16" s="17"/>
      <c r="B16" s="18" t="e">
        <f>VLOOKUP(A16,'[2]master plan'!A:C,3,0)</f>
        <v>#N/A</v>
      </c>
      <c r="C16" s="19" t="e">
        <f>VLOOKUP($A16,'[2]master plan'!$A:$N,5,0)</f>
        <v>#N/A</v>
      </c>
      <c r="D16" s="20" t="e">
        <f>VLOOKUP($A16,'[2]master plan'!$A:$N,6,0)</f>
        <v>#N/A</v>
      </c>
      <c r="E16" s="21" t="e">
        <f>VLOOKUP(A16,'[2]master plan'!A:G,7,0)</f>
        <v>#N/A</v>
      </c>
      <c r="F16" s="22" t="e">
        <f>VLOOKUP(A16,'[2]master plan'!A:H,8,0)</f>
        <v>#N/A</v>
      </c>
      <c r="G16" s="23" t="e">
        <f>VLOOKUP(A16,'[2]master plan'!A:W,23,0)</f>
        <v>#N/A</v>
      </c>
      <c r="H16" s="24" t="e">
        <f>VLOOKUP(A16,'[2]master plan'!A:W,23,0)</f>
        <v>#N/A</v>
      </c>
      <c r="I16" s="25" t="e">
        <f>VLOOKUP($A16,'[2]master plan'!$A:$N,12,0)</f>
        <v>#N/A</v>
      </c>
      <c r="J16" s="25" t="e">
        <f>VLOOKUP($A16,'[2]master plan'!$A:$N,13,0)</f>
        <v>#N/A</v>
      </c>
      <c r="K16" s="25" t="e">
        <f>VLOOKUP($A16,'[2]master plan'!$A:$N,14,0)</f>
        <v>#N/A</v>
      </c>
      <c r="L16" s="26"/>
      <c r="M16" s="40"/>
      <c r="N16" s="28" t="str">
        <f>_xlfn.IFNA(VLOOKUP(A16,'[2]master plan'!A:R,18,0),"")</f>
        <v/>
      </c>
    </row>
    <row r="17" spans="1:14" s="3" customFormat="1" ht="70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40"/>
      <c r="N17" s="28" t="str">
        <f>_xlfn.IFNA(VLOOKUP(A17,'[2]master plan'!A:R,18,0),"")</f>
        <v/>
      </c>
    </row>
    <row r="18" spans="1:14" s="3" customFormat="1" ht="70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40"/>
      <c r="N18" s="28" t="str">
        <f>_xlfn.IFNA(VLOOKUP(A18,'[2]master plan'!A:R,18,0),"")</f>
        <v/>
      </c>
    </row>
    <row r="19" spans="1:14" s="3" customFormat="1" ht="72" customHeight="1" x14ac:dyDescent="0.35">
      <c r="A19" s="41"/>
      <c r="B19" s="42"/>
      <c r="C19" s="43"/>
      <c r="D19" s="43"/>
      <c r="E19" s="44"/>
      <c r="F19" s="45"/>
      <c r="G19" s="45"/>
      <c r="H19" s="45"/>
      <c r="I19" s="46"/>
      <c r="J19" s="47"/>
      <c r="K19" s="48"/>
      <c r="L19" s="49"/>
      <c r="M19" s="50"/>
      <c r="N19" s="51"/>
    </row>
    <row r="20" spans="1:14" ht="74.25" customHeight="1" x14ac:dyDescent="0.35">
      <c r="L20" s="56"/>
    </row>
    <row r="21" spans="1:14" ht="74.25" customHeight="1" x14ac:dyDescent="0.35">
      <c r="L21" s="56"/>
    </row>
    <row r="22" spans="1:14" ht="74.25" customHeight="1" x14ac:dyDescent="0.35">
      <c r="L22" s="56"/>
    </row>
    <row r="23" spans="1:14" s="54" customFormat="1" ht="74.25" customHeight="1" x14ac:dyDescent="0.35">
      <c r="A23" s="2"/>
      <c r="B23" s="52"/>
      <c r="C23" s="2"/>
      <c r="D23" s="2"/>
      <c r="E23" s="59" t="s">
        <v>21</v>
      </c>
      <c r="G23" s="55"/>
      <c r="I23" s="53"/>
      <c r="J23" s="53"/>
      <c r="K23" s="53"/>
      <c r="L23" s="56"/>
      <c r="M23" s="57"/>
      <c r="N23" s="58"/>
    </row>
    <row r="24" spans="1:14" ht="74.25" customHeight="1" x14ac:dyDescent="0.35">
      <c r="L24" s="56"/>
    </row>
    <row r="25" spans="1:14" ht="74.25" customHeight="1" x14ac:dyDescent="0.35">
      <c r="L25" s="56"/>
    </row>
    <row r="26" spans="1:14" s="10" customFormat="1" ht="74.25" customHeight="1" x14ac:dyDescent="0.35">
      <c r="A26" s="2"/>
      <c r="B26" s="52"/>
      <c r="C26" s="2"/>
      <c r="D26" s="2"/>
      <c r="E26" s="53"/>
      <c r="F26" s="54"/>
      <c r="G26" s="54"/>
      <c r="H26" s="55"/>
      <c r="I26" s="53"/>
      <c r="J26" s="53"/>
      <c r="K26" s="53"/>
      <c r="L26" s="56"/>
      <c r="M26" s="57"/>
      <c r="N26" s="58"/>
    </row>
    <row r="27" spans="1:14" s="10" customFormat="1" ht="74.25" customHeight="1" x14ac:dyDescent="0.35">
      <c r="A27" s="2"/>
      <c r="B27" s="52"/>
      <c r="C27" s="2"/>
      <c r="D27" s="2"/>
      <c r="E27" s="53"/>
      <c r="F27" s="54"/>
      <c r="G27" s="54"/>
      <c r="H27" s="55"/>
      <c r="I27" s="53"/>
      <c r="J27" s="53"/>
      <c r="K27" s="53"/>
      <c r="L27" s="56"/>
      <c r="M27" s="57"/>
      <c r="N27" s="58"/>
    </row>
    <row r="28" spans="1:14" s="10" customFormat="1" ht="74.25" customHeight="1" x14ac:dyDescent="0.35">
      <c r="A28" s="2"/>
      <c r="B28" s="52"/>
      <c r="C28" s="2"/>
      <c r="D28" s="2"/>
      <c r="E28" s="53"/>
      <c r="F28" s="54"/>
      <c r="G28" s="54"/>
      <c r="H28" s="55"/>
      <c r="I28" s="53"/>
      <c r="J28" s="53"/>
      <c r="K28" s="53"/>
      <c r="L28" s="56"/>
      <c r="M28" s="57"/>
      <c r="N28" s="58"/>
    </row>
    <row r="29" spans="1:14" s="10" customFormat="1" ht="74.25" customHeight="1" x14ac:dyDescent="0.35">
      <c r="A29" s="2"/>
      <c r="B29" s="52"/>
      <c r="C29" s="2"/>
      <c r="D29" s="2"/>
      <c r="E29" s="53"/>
      <c r="F29" s="54"/>
      <c r="G29" s="54"/>
      <c r="H29" s="55"/>
      <c r="I29" s="53"/>
      <c r="J29" s="53"/>
      <c r="K29" s="53"/>
      <c r="L29" s="56"/>
      <c r="M29" s="57"/>
      <c r="N29" s="58"/>
    </row>
    <row r="30" spans="1:14" s="10" customFormat="1" ht="74.25" customHeight="1" x14ac:dyDescent="0.35">
      <c r="A30" s="2"/>
      <c r="B30" s="52"/>
      <c r="C30" s="2"/>
      <c r="D30" s="2"/>
      <c r="E30" s="53"/>
      <c r="F30" s="54"/>
      <c r="G30" s="54"/>
      <c r="H30" s="55"/>
      <c r="I30" s="53"/>
      <c r="J30" s="53"/>
      <c r="K30" s="53"/>
      <c r="L30" s="56"/>
      <c r="M30" s="57"/>
      <c r="N30" s="58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662" spans="1:14" s="54" customFormat="1" ht="74.25" customHeight="1" x14ac:dyDescent="0.35">
      <c r="A662" s="2"/>
      <c r="B662" s="52"/>
      <c r="C662" s="2"/>
      <c r="D662" s="2"/>
      <c r="E662" s="60"/>
      <c r="H662" s="55"/>
      <c r="I662" s="53"/>
      <c r="J662" s="53"/>
      <c r="K662" s="53"/>
      <c r="L662" s="61"/>
      <c r="M662" s="57"/>
      <c r="N662" s="58"/>
    </row>
  </sheetData>
  <protectedRanges>
    <protectedRange algorithmName="SHA-512" hashValue="e1FOu1UlwA7reaiyQlEGzbU6dAFPyHPlKfgo6VzFBBobawyOfUsh2c/+wjC8bICpcXVPmRerMGA9+qKsw5p7Iw==" saltValue="UD2tVZrxqZTGI3vDzMBrHw==" spinCount="100000" sqref="E3:E6 E14:E18" name="Range1_1"/>
    <protectedRange algorithmName="SHA-512" hashValue="e1FOu1UlwA7reaiyQlEGzbU6dAFPyHPlKfgo6VzFBBobawyOfUsh2c/+wjC8bICpcXVPmRerMGA9+qKsw5p7Iw==" saltValue="UD2tVZrxqZTGI3vDzMBrHw==" spinCount="100000" sqref="E9:E13" name="Range1_1_1"/>
  </protectedRanges>
  <autoFilter ref="A2:N19" xr:uid="{E2BC4C4A-3703-4A99-A30B-53817C3A378F}"/>
  <mergeCells count="2">
    <mergeCell ref="D1:F1"/>
    <mergeCell ref="D7:F7"/>
  </mergeCells>
  <conditionalFormatting sqref="A2">
    <cfRule type="duplicateValues" dxfId="49" priority="11"/>
  </conditionalFormatting>
  <conditionalFormatting sqref="A3:A6 A14:A18">
    <cfRule type="duplicateValues" dxfId="48" priority="13"/>
  </conditionalFormatting>
  <conditionalFormatting sqref="A8">
    <cfRule type="duplicateValues" dxfId="47" priority="5"/>
  </conditionalFormatting>
  <conditionalFormatting sqref="A9:A13">
    <cfRule type="duplicateValues" dxfId="46" priority="6"/>
  </conditionalFormatting>
  <conditionalFormatting sqref="A21:A1048576">
    <cfRule type="duplicateValues" dxfId="45" priority="12"/>
  </conditionalFormatting>
  <conditionalFormatting sqref="C1:C6 C14:C1048576">
    <cfRule type="duplicateValues" dxfId="44" priority="7"/>
    <cfRule type="duplicateValues" dxfId="43" priority="8"/>
  </conditionalFormatting>
  <conditionalFormatting sqref="C7:C13">
    <cfRule type="duplicateValues" dxfId="42" priority="2"/>
    <cfRule type="duplicateValues" dxfId="41" priority="3"/>
  </conditionalFormatting>
  <conditionalFormatting sqref="I8:L8">
    <cfRule type="duplicateValues" dxfId="40" priority="4"/>
  </conditionalFormatting>
  <conditionalFormatting sqref="I2:M2">
    <cfRule type="duplicateValues" dxfId="39" priority="10"/>
  </conditionalFormatting>
  <conditionalFormatting sqref="M7">
    <cfRule type="duplicateValues" dxfId="38" priority="1"/>
  </conditionalFormatting>
  <conditionalFormatting sqref="N1">
    <cfRule type="duplicateValues" dxfId="37" priority="9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19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D7D-34C5-42FC-9669-845822F69DA3}">
  <sheetPr filterMode="1">
    <tabColor theme="4"/>
  </sheetPr>
  <dimension ref="A1:N665"/>
  <sheetViews>
    <sheetView zoomScale="30" zoomScaleNormal="30" zoomScaleSheetLayoutView="34" workbookViewId="0">
      <pane xSplit="1" ySplit="2" topLeftCell="B9" activePane="bottomRight" state="frozen"/>
      <selection activeCell="E27" sqref="E27"/>
      <selection pane="topRight" activeCell="E27" sqref="E27"/>
      <selection pane="bottomLeft" activeCell="E27" sqref="E27"/>
      <selection pane="bottomRight" activeCell="A10" sqref="A10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52.8164062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28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77" t="s">
        <v>259</v>
      </c>
      <c r="B3" s="18" t="s">
        <v>260</v>
      </c>
      <c r="C3" s="19" t="s">
        <v>167</v>
      </c>
      <c r="D3" s="20" t="s">
        <v>168</v>
      </c>
      <c r="E3" s="21" t="s">
        <v>169</v>
      </c>
      <c r="F3" s="22">
        <v>30</v>
      </c>
      <c r="G3" s="23">
        <v>3</v>
      </c>
      <c r="H3" s="24">
        <v>3</v>
      </c>
      <c r="I3" s="25" t="s">
        <v>77</v>
      </c>
      <c r="J3" s="25" t="s">
        <v>27</v>
      </c>
      <c r="K3" s="25" t="s">
        <v>28</v>
      </c>
      <c r="L3" s="26">
        <v>3</v>
      </c>
      <c r="M3" s="27"/>
      <c r="N3" s="28">
        <v>46171</v>
      </c>
    </row>
    <row r="4" spans="1:14" s="3" customFormat="1" ht="70" customHeight="1" x14ac:dyDescent="0.35">
      <c r="A4" s="78"/>
      <c r="B4" s="63"/>
      <c r="C4" s="64"/>
      <c r="D4" s="65"/>
      <c r="E4" s="66"/>
      <c r="F4" s="67"/>
      <c r="G4" s="68"/>
      <c r="H4" s="69"/>
      <c r="I4" s="70"/>
      <c r="J4" s="70"/>
      <c r="K4" s="70"/>
      <c r="L4" s="71"/>
      <c r="M4" s="72"/>
      <c r="N4" s="28"/>
    </row>
    <row r="5" spans="1:14" s="3" customFormat="1" ht="70" customHeight="1" x14ac:dyDescent="0.35">
      <c r="A5" s="77" t="s">
        <v>261</v>
      </c>
      <c r="B5" s="18" t="s">
        <v>262</v>
      </c>
      <c r="C5" s="19" t="s">
        <v>54</v>
      </c>
      <c r="D5" s="20" t="s">
        <v>220</v>
      </c>
      <c r="E5" s="21" t="s">
        <v>221</v>
      </c>
      <c r="F5" s="22">
        <v>100</v>
      </c>
      <c r="G5" s="23">
        <v>5</v>
      </c>
      <c r="H5" s="24">
        <v>5</v>
      </c>
      <c r="I5" s="25" t="s">
        <v>77</v>
      </c>
      <c r="J5" s="25" t="s">
        <v>27</v>
      </c>
      <c r="K5" s="25" t="s">
        <v>28</v>
      </c>
      <c r="L5" s="26">
        <v>13</v>
      </c>
      <c r="M5" s="27"/>
      <c r="N5" s="28">
        <v>46171</v>
      </c>
    </row>
    <row r="6" spans="1:14" s="3" customFormat="1" ht="70" customHeight="1" x14ac:dyDescent="0.35">
      <c r="A6" s="77" t="s">
        <v>263</v>
      </c>
      <c r="B6" s="18" t="s">
        <v>264</v>
      </c>
      <c r="C6" s="19" t="s">
        <v>54</v>
      </c>
      <c r="D6" s="20" t="s">
        <v>55</v>
      </c>
      <c r="E6" s="21" t="s">
        <v>56</v>
      </c>
      <c r="F6" s="22">
        <v>20</v>
      </c>
      <c r="G6" s="23">
        <v>1</v>
      </c>
      <c r="H6" s="24">
        <v>1</v>
      </c>
      <c r="I6" s="25" t="s">
        <v>77</v>
      </c>
      <c r="J6" s="25" t="s">
        <v>27</v>
      </c>
      <c r="K6" s="25" t="s">
        <v>28</v>
      </c>
      <c r="L6" s="26"/>
      <c r="M6" s="40"/>
      <c r="N6" s="28">
        <v>46171</v>
      </c>
    </row>
    <row r="7" spans="1:14" s="3" customFormat="1" ht="70" customHeight="1" x14ac:dyDescent="0.35">
      <c r="A7" s="77" t="s">
        <v>265</v>
      </c>
      <c r="B7" s="18" t="s">
        <v>266</v>
      </c>
      <c r="C7" s="19" t="s">
        <v>54</v>
      </c>
      <c r="D7" s="20" t="s">
        <v>267</v>
      </c>
      <c r="E7" s="21" t="s">
        <v>268</v>
      </c>
      <c r="F7" s="22">
        <v>10</v>
      </c>
      <c r="G7" s="23">
        <v>2</v>
      </c>
      <c r="H7" s="24">
        <v>2</v>
      </c>
      <c r="I7" s="25" t="s">
        <v>77</v>
      </c>
      <c r="J7" s="25" t="s">
        <v>27</v>
      </c>
      <c r="K7" s="25" t="s">
        <v>28</v>
      </c>
      <c r="L7" s="26"/>
      <c r="M7" s="27"/>
      <c r="N7" s="28">
        <v>46171</v>
      </c>
    </row>
    <row r="8" spans="1:14" s="3" customFormat="1" ht="70" customHeight="1" x14ac:dyDescent="0.35">
      <c r="A8" s="77" t="s">
        <v>269</v>
      </c>
      <c r="B8" s="18" t="s">
        <v>270</v>
      </c>
      <c r="C8" s="19" t="s">
        <v>54</v>
      </c>
      <c r="D8" s="20" t="s">
        <v>271</v>
      </c>
      <c r="E8" s="21" t="s">
        <v>272</v>
      </c>
      <c r="F8" s="22">
        <v>50</v>
      </c>
      <c r="G8" s="23">
        <v>5</v>
      </c>
      <c r="H8" s="24">
        <v>5</v>
      </c>
      <c r="I8" s="25" t="s">
        <v>77</v>
      </c>
      <c r="J8" s="25" t="s">
        <v>27</v>
      </c>
      <c r="K8" s="25" t="s">
        <v>28</v>
      </c>
      <c r="L8" s="26"/>
      <c r="M8" s="27"/>
      <c r="N8" s="28">
        <v>46172</v>
      </c>
    </row>
    <row r="9" spans="1:14" s="3" customFormat="1" ht="70" customHeight="1" x14ac:dyDescent="0.35">
      <c r="A9" s="78"/>
      <c r="B9" s="63"/>
      <c r="C9" s="64"/>
      <c r="D9" s="65"/>
      <c r="E9" s="66"/>
      <c r="F9" s="67"/>
      <c r="G9" s="68"/>
      <c r="H9" s="69"/>
      <c r="I9" s="70"/>
      <c r="J9" s="70"/>
      <c r="K9" s="70"/>
      <c r="L9" s="71"/>
      <c r="M9" s="72"/>
      <c r="N9" s="28"/>
    </row>
    <row r="10" spans="1:14" s="3" customFormat="1" ht="70" customHeight="1" x14ac:dyDescent="0.35">
      <c r="A10" s="77" t="s">
        <v>273</v>
      </c>
      <c r="B10" s="18" t="s">
        <v>274</v>
      </c>
      <c r="C10" s="19" t="s">
        <v>23</v>
      </c>
      <c r="D10" s="20" t="s">
        <v>275</v>
      </c>
      <c r="E10" s="21" t="s">
        <v>276</v>
      </c>
      <c r="F10" s="22">
        <v>50</v>
      </c>
      <c r="G10" s="23">
        <v>2</v>
      </c>
      <c r="H10" s="24">
        <v>2</v>
      </c>
      <c r="I10" s="25" t="s">
        <v>26</v>
      </c>
      <c r="J10" s="25" t="s">
        <v>27</v>
      </c>
      <c r="K10" s="25" t="s">
        <v>78</v>
      </c>
      <c r="L10" s="26">
        <v>4</v>
      </c>
      <c r="M10" s="27"/>
      <c r="N10" s="28">
        <v>46171</v>
      </c>
    </row>
    <row r="11" spans="1:14" s="3" customFormat="1" ht="70" customHeight="1" x14ac:dyDescent="0.35">
      <c r="A11" s="77" t="s">
        <v>277</v>
      </c>
      <c r="B11" s="18" t="s">
        <v>278</v>
      </c>
      <c r="C11" s="19" t="s">
        <v>23</v>
      </c>
      <c r="D11" s="20" t="s">
        <v>275</v>
      </c>
      <c r="E11" s="21" t="s">
        <v>279</v>
      </c>
      <c r="F11" s="22">
        <v>50</v>
      </c>
      <c r="G11" s="23">
        <v>2</v>
      </c>
      <c r="H11" s="24">
        <v>2</v>
      </c>
      <c r="I11" s="25" t="s">
        <v>57</v>
      </c>
      <c r="J11" s="25" t="s">
        <v>280</v>
      </c>
      <c r="K11" s="25" t="s">
        <v>67</v>
      </c>
      <c r="L11" s="26"/>
      <c r="M11" s="27"/>
      <c r="N11" s="28">
        <v>46171</v>
      </c>
    </row>
    <row r="12" spans="1:14" s="3" customFormat="1" ht="70" customHeight="1" x14ac:dyDescent="0.35">
      <c r="A12" s="78"/>
      <c r="B12" s="63"/>
      <c r="C12" s="64"/>
      <c r="D12" s="65"/>
      <c r="E12" s="66"/>
      <c r="F12" s="67"/>
      <c r="G12" s="68"/>
      <c r="H12" s="69"/>
      <c r="I12" s="70"/>
      <c r="J12" s="70"/>
      <c r="K12" s="70"/>
      <c r="L12" s="71"/>
      <c r="M12" s="72"/>
      <c r="N12" s="28"/>
    </row>
    <row r="13" spans="1:14" s="3" customFormat="1" ht="70" customHeight="1" x14ac:dyDescent="0.35">
      <c r="A13" s="77" t="s">
        <v>281</v>
      </c>
      <c r="B13" s="18" t="s">
        <v>282</v>
      </c>
      <c r="C13" s="19" t="s">
        <v>181</v>
      </c>
      <c r="D13" s="20" t="s">
        <v>182</v>
      </c>
      <c r="E13" s="21" t="s">
        <v>183</v>
      </c>
      <c r="F13" s="22">
        <v>100</v>
      </c>
      <c r="G13" s="23">
        <v>5</v>
      </c>
      <c r="H13" s="24">
        <v>5</v>
      </c>
      <c r="I13" s="25" t="s">
        <v>77</v>
      </c>
      <c r="J13" s="25" t="s">
        <v>27</v>
      </c>
      <c r="K13" s="25" t="s">
        <v>28</v>
      </c>
      <c r="L13" s="26">
        <v>5</v>
      </c>
      <c r="M13" s="40"/>
      <c r="N13" s="28">
        <v>46172</v>
      </c>
    </row>
    <row r="14" spans="1:14" s="3" customFormat="1" ht="70" customHeight="1" x14ac:dyDescent="0.35">
      <c r="A14" s="78"/>
      <c r="B14" s="63"/>
      <c r="C14" s="64"/>
      <c r="D14" s="65"/>
      <c r="E14" s="66"/>
      <c r="F14" s="67"/>
      <c r="G14" s="68"/>
      <c r="H14" s="69"/>
      <c r="I14" s="70"/>
      <c r="J14" s="70"/>
      <c r="K14" s="70"/>
      <c r="L14" s="71"/>
      <c r="M14" s="73"/>
      <c r="N14" s="28"/>
    </row>
    <row r="15" spans="1:14" s="3" customFormat="1" ht="70" customHeight="1" x14ac:dyDescent="0.35">
      <c r="A15" s="77" t="s">
        <v>283</v>
      </c>
      <c r="B15" s="18" t="s">
        <v>284</v>
      </c>
      <c r="C15" s="19" t="s">
        <v>172</v>
      </c>
      <c r="D15" s="20" t="s">
        <v>173</v>
      </c>
      <c r="E15" s="21" t="s">
        <v>174</v>
      </c>
      <c r="F15" s="22">
        <v>30</v>
      </c>
      <c r="G15" s="23">
        <v>3</v>
      </c>
      <c r="H15" s="24">
        <v>3</v>
      </c>
      <c r="I15" s="25" t="s">
        <v>77</v>
      </c>
      <c r="J15" s="25" t="s">
        <v>27</v>
      </c>
      <c r="K15" s="25" t="s">
        <v>28</v>
      </c>
      <c r="L15" s="26">
        <v>3</v>
      </c>
      <c r="M15" s="27"/>
      <c r="N15" s="28">
        <v>46172</v>
      </c>
    </row>
    <row r="16" spans="1:14" s="3" customFormat="1" ht="70" hidden="1" customHeight="1" x14ac:dyDescent="0.35">
      <c r="A16" s="17"/>
      <c r="B16" s="18" t="e">
        <f>VLOOKUP(A16,'[2]master plan'!A:C,3,0)</f>
        <v>#N/A</v>
      </c>
      <c r="C16" s="19" t="e">
        <f>VLOOKUP($A16,'[2]master plan'!$A:$N,5,0)</f>
        <v>#N/A</v>
      </c>
      <c r="D16" s="20" t="e">
        <f>VLOOKUP($A16,'[2]master plan'!$A:$N,6,0)</f>
        <v>#N/A</v>
      </c>
      <c r="E16" s="21" t="e">
        <f>VLOOKUP(A16,'[2]master plan'!A:G,7,0)</f>
        <v>#N/A</v>
      </c>
      <c r="F16" s="22" t="e">
        <f>VLOOKUP(A16,'[2]master plan'!A:H,8,0)</f>
        <v>#N/A</v>
      </c>
      <c r="G16" s="23" t="e">
        <f>VLOOKUP(A16,'[2]master plan'!A:W,23,0)</f>
        <v>#N/A</v>
      </c>
      <c r="H16" s="24" t="e">
        <f>VLOOKUP(A16,'[2]master plan'!A:W,23,0)</f>
        <v>#N/A</v>
      </c>
      <c r="I16" s="25" t="e">
        <f>VLOOKUP($A16,'[2]master plan'!$A:$N,12,0)</f>
        <v>#N/A</v>
      </c>
      <c r="J16" s="25" t="e">
        <f>VLOOKUP($A16,'[2]master plan'!$A:$N,13,0)</f>
        <v>#N/A</v>
      </c>
      <c r="K16" s="25" t="e">
        <f>VLOOKUP($A16,'[2]master plan'!$A:$N,14,0)</f>
        <v>#N/A</v>
      </c>
      <c r="L16" s="26"/>
      <c r="M16" s="40"/>
      <c r="N16" s="28" t="str">
        <f>_xlfn.IFNA(VLOOKUP(A16,'[2]master plan'!A:R,18,0),"")</f>
        <v/>
      </c>
    </row>
    <row r="17" spans="1:14" s="3" customFormat="1" ht="70" hidden="1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40"/>
      <c r="N17" s="28" t="str">
        <f>_xlfn.IFNA(VLOOKUP(A17,'[2]master plan'!A:R,18,0),"")</f>
        <v/>
      </c>
    </row>
    <row r="18" spans="1:14" s="3" customFormat="1" ht="70" hidden="1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27"/>
      <c r="N18" s="28" t="str">
        <f>_xlfn.IFNA(VLOOKUP(A18,'[2]master plan'!A:R,18,0),"")</f>
        <v/>
      </c>
    </row>
    <row r="19" spans="1:14" s="3" customFormat="1" ht="70" hidden="1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hidden="1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40"/>
      <c r="N20" s="28" t="str">
        <f>_xlfn.IFNA(VLOOKUP(A20,'[2]master plan'!A:R,18,0),"")</f>
        <v/>
      </c>
    </row>
    <row r="21" spans="1:14" s="3" customFormat="1" ht="70" hidden="1" customHeight="1" x14ac:dyDescent="0.35">
      <c r="A21" s="17"/>
      <c r="B21" s="18" t="e">
        <f>VLOOKUP(A21,'[2]master plan'!A:C,3,0)</f>
        <v>#N/A</v>
      </c>
      <c r="C21" s="19" t="e">
        <f>VLOOKUP($A21,'[2]master plan'!$A:$N,5,0)</f>
        <v>#N/A</v>
      </c>
      <c r="D21" s="20" t="e">
        <f>VLOOKUP($A21,'[2]master plan'!$A:$N,6,0)</f>
        <v>#N/A</v>
      </c>
      <c r="E21" s="21" t="e">
        <f>VLOOKUP(A21,'[2]master plan'!A:G,7,0)</f>
        <v>#N/A</v>
      </c>
      <c r="F21" s="22" t="e">
        <f>VLOOKUP(A21,'[2]master plan'!A:H,8,0)</f>
        <v>#N/A</v>
      </c>
      <c r="G21" s="23" t="e">
        <f>VLOOKUP(A21,'[2]master plan'!A:W,23,0)</f>
        <v>#N/A</v>
      </c>
      <c r="H21" s="24" t="e">
        <f>VLOOKUP(A21,'[2]master plan'!A:W,23,0)</f>
        <v>#N/A</v>
      </c>
      <c r="I21" s="25" t="e">
        <f>VLOOKUP($A21,'[2]master plan'!$A:$N,12,0)</f>
        <v>#N/A</v>
      </c>
      <c r="J21" s="25" t="e">
        <f>VLOOKUP($A21,'[2]master plan'!$A:$N,13,0)</f>
        <v>#N/A</v>
      </c>
      <c r="K21" s="25" t="e">
        <f>VLOOKUP($A21,'[2]master plan'!$A:$N,14,0)</f>
        <v>#N/A</v>
      </c>
      <c r="L21" s="26"/>
      <c r="M21" s="40"/>
      <c r="N21" s="28" t="str">
        <f>_xlfn.IFNA(VLOOKUP(A21,'[2]master plan'!A:R,18,0),"")</f>
        <v/>
      </c>
    </row>
    <row r="22" spans="1:14" s="3" customFormat="1" ht="72" customHeight="1" x14ac:dyDescent="0.35">
      <c r="A22" s="41"/>
      <c r="B22" s="42"/>
      <c r="C22" s="43"/>
      <c r="D22" s="43"/>
      <c r="E22" s="44"/>
      <c r="F22" s="45"/>
      <c r="G22" s="45"/>
      <c r="H22" s="45"/>
      <c r="I22" s="46"/>
      <c r="J22" s="47"/>
      <c r="K22" s="48"/>
      <c r="L22" s="49"/>
      <c r="M22" s="50"/>
      <c r="N22" s="51"/>
    </row>
    <row r="23" spans="1:14" ht="74.25" customHeight="1" x14ac:dyDescent="0.35">
      <c r="L23" s="56"/>
    </row>
    <row r="24" spans="1:14" ht="74.25" customHeight="1" x14ac:dyDescent="0.35">
      <c r="L24" s="56"/>
    </row>
    <row r="25" spans="1:14" ht="74.25" customHeight="1" x14ac:dyDescent="0.35">
      <c r="L25" s="56"/>
    </row>
    <row r="26" spans="1:14" s="54" customFormat="1" ht="74.25" customHeight="1" x14ac:dyDescent="0.35">
      <c r="A26" s="2"/>
      <c r="B26" s="52"/>
      <c r="C26" s="2"/>
      <c r="D26" s="2"/>
      <c r="E26" s="59" t="s">
        <v>21</v>
      </c>
      <c r="G26" s="55"/>
      <c r="I26" s="53"/>
      <c r="J26" s="53"/>
      <c r="K26" s="53"/>
      <c r="L26" s="56"/>
      <c r="M26" s="57"/>
      <c r="N26" s="58"/>
    </row>
    <row r="27" spans="1:14" ht="74.25" customHeight="1" x14ac:dyDescent="0.35">
      <c r="L27" s="56"/>
    </row>
    <row r="28" spans="1:14" ht="74.25" customHeight="1" x14ac:dyDescent="0.35">
      <c r="L28" s="56"/>
    </row>
    <row r="29" spans="1:14" s="10" customFormat="1" ht="74.25" customHeight="1" x14ac:dyDescent="0.35">
      <c r="A29" s="2"/>
      <c r="B29" s="52"/>
      <c r="C29" s="2"/>
      <c r="D29" s="2"/>
      <c r="E29" s="53"/>
      <c r="F29" s="54"/>
      <c r="G29" s="54"/>
      <c r="H29" s="55"/>
      <c r="I29" s="53"/>
      <c r="J29" s="53"/>
      <c r="K29" s="53"/>
      <c r="L29" s="56"/>
      <c r="M29" s="57"/>
      <c r="N29" s="58"/>
    </row>
    <row r="30" spans="1:14" s="10" customFormat="1" ht="74.25" customHeight="1" x14ac:dyDescent="0.35">
      <c r="A30" s="2"/>
      <c r="B30" s="52"/>
      <c r="C30" s="2"/>
      <c r="D30" s="2"/>
      <c r="E30" s="53"/>
      <c r="F30" s="54"/>
      <c r="G30" s="54"/>
      <c r="H30" s="55"/>
      <c r="I30" s="53"/>
      <c r="J30" s="53"/>
      <c r="K30" s="53"/>
      <c r="L30" s="56"/>
      <c r="M30" s="57"/>
      <c r="N30" s="58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665" spans="1:14" s="54" customFormat="1" ht="74.25" customHeight="1" x14ac:dyDescent="0.35">
      <c r="A665" s="2"/>
      <c r="B665" s="52"/>
      <c r="C665" s="2"/>
      <c r="D665" s="2"/>
      <c r="E665" s="60"/>
      <c r="H665" s="55"/>
      <c r="I665" s="53"/>
      <c r="J665" s="53"/>
      <c r="K665" s="53"/>
      <c r="L665" s="61"/>
      <c r="M665" s="57"/>
      <c r="N665" s="58"/>
    </row>
  </sheetData>
  <protectedRanges>
    <protectedRange algorithmName="SHA-512" hashValue="e1FOu1UlwA7reaiyQlEGzbU6dAFPyHPlKfgo6VzFBBobawyOfUsh2c/+wjC8bICpcXVPmRerMGA9+qKsw5p7Iw==" saltValue="UD2tVZrxqZTGI3vDzMBrHw==" spinCount="100000" sqref="E3:E21" name="Range1_1"/>
    <protectedRange algorithmName="SHA-512" hashValue="e1FOu1UlwA7reaiyQlEGzbU6dAFPyHPlKfgo6VzFBBobawyOfUsh2c/+wjC8bICpcXVPmRerMGA9+qKsw5p7Iw==" saltValue="UD2tVZrxqZTGI3vDzMBrHw==" spinCount="100000" sqref="A13:A15 A3:A10" name="Range1"/>
    <protectedRange algorithmName="SHA-512" hashValue="e1FOu1UlwA7reaiyQlEGzbU6dAFPyHPlKfgo6VzFBBobawyOfUsh2c/+wjC8bICpcXVPmRerMGA9+qKsw5p7Iw==" saltValue="UD2tVZrxqZTGI3vDzMBrHw==" spinCount="100000" sqref="A11:A12" name="Range1_2"/>
  </protectedRanges>
  <autoFilter ref="A2:N22" xr:uid="{E2BC4C4A-3703-4A99-A30B-53817C3A378F}">
    <filterColumn colId="1">
      <filters blank="1">
        <filter val="RPRO-260525-0001"/>
        <filter val="RPRO-260525-0002"/>
        <filter val="RPRO-260525-0003"/>
        <filter val="RPRO-260525-0004"/>
        <filter val="RPRO-260525-0005"/>
        <filter val="RPRO-260525-0006"/>
        <filter val="RPRO-260525-0007"/>
        <filter val="RPRO-260525-0008"/>
        <filter val="RPRO-260525-0009"/>
      </filters>
    </filterColumn>
  </autoFilter>
  <mergeCells count="1">
    <mergeCell ref="D1:F1"/>
  </mergeCells>
  <conditionalFormatting sqref="A2">
    <cfRule type="duplicateValues" dxfId="36" priority="5"/>
  </conditionalFormatting>
  <conditionalFormatting sqref="A3:A15">
    <cfRule type="duplicateValues" dxfId="35" priority="8"/>
  </conditionalFormatting>
  <conditionalFormatting sqref="A16:A21">
    <cfRule type="duplicateValues" dxfId="34" priority="7"/>
  </conditionalFormatting>
  <conditionalFormatting sqref="A24:A1048576">
    <cfRule type="duplicateValues" dxfId="33" priority="6"/>
  </conditionalFormatting>
  <conditionalFormatting sqref="C1:C1048576">
    <cfRule type="duplicateValues" dxfId="32" priority="1"/>
    <cfRule type="duplicateValues" dxfId="31" priority="2"/>
  </conditionalFormatting>
  <conditionalFormatting sqref="I2:M2">
    <cfRule type="duplicateValues" dxfId="30" priority="4"/>
  </conditionalFormatting>
  <conditionalFormatting sqref="N1">
    <cfRule type="duplicateValues" dxfId="29" priority="3"/>
  </conditionalFormatting>
  <printOptions horizontalCentered="1"/>
  <pageMargins left="0.18" right="0.17" top="0.5" bottom="0" header="0.17" footer="0.17"/>
  <pageSetup paperSize="9" scale="29" fitToHeight="0" orientation="landscape" r:id="rId1"/>
  <headerFooter>
    <oddFooter>Page &amp;P of &amp;N</oddFooter>
  </headerFooter>
  <rowBreaks count="1" manualBreakCount="1">
    <brk id="22" max="1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EA4B-CC67-4680-BD3A-58C9FA21EC7F}">
  <sheetPr filterMode="1">
    <tabColor theme="4"/>
  </sheetPr>
  <dimension ref="A1:N665"/>
  <sheetViews>
    <sheetView zoomScale="30" zoomScaleNormal="30" zoomScaleSheetLayoutView="34" workbookViewId="0">
      <pane xSplit="1" ySplit="2" topLeftCell="B3" activePane="bottomRight" state="frozen"/>
      <selection activeCell="E27" sqref="E27"/>
      <selection pane="topRight" activeCell="E27" sqref="E27"/>
      <selection pane="bottomLeft" activeCell="E27" sqref="E27"/>
      <selection pane="bottomRight" activeCell="A3" sqref="A3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38.45312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5" width="22.26953125" style="2" bestFit="1" customWidth="1"/>
    <col min="16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14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62" t="s">
        <v>285</v>
      </c>
      <c r="B3" s="18" t="s">
        <v>286</v>
      </c>
      <c r="C3" s="19" t="s">
        <v>98</v>
      </c>
      <c r="D3" s="20" t="s">
        <v>287</v>
      </c>
      <c r="E3" s="21" t="s">
        <v>288</v>
      </c>
      <c r="F3" s="22">
        <v>100</v>
      </c>
      <c r="G3" s="23">
        <v>3</v>
      </c>
      <c r="H3" s="24">
        <v>3</v>
      </c>
      <c r="I3" s="25" t="s">
        <v>57</v>
      </c>
      <c r="J3" s="25" t="s">
        <v>289</v>
      </c>
      <c r="K3" s="25" t="s">
        <v>290</v>
      </c>
      <c r="L3" s="26">
        <v>7</v>
      </c>
      <c r="M3" s="75" t="s">
        <v>291</v>
      </c>
      <c r="N3" s="28">
        <v>46171</v>
      </c>
    </row>
    <row r="4" spans="1:14" s="3" customFormat="1" ht="70" customHeight="1" x14ac:dyDescent="0.35">
      <c r="A4" s="17" t="s">
        <v>292</v>
      </c>
      <c r="B4" s="18" t="s">
        <v>293</v>
      </c>
      <c r="C4" s="19" t="s">
        <v>98</v>
      </c>
      <c r="D4" s="20" t="s">
        <v>99</v>
      </c>
      <c r="E4" s="21" t="s">
        <v>100</v>
      </c>
      <c r="F4" s="22">
        <v>100</v>
      </c>
      <c r="G4" s="23">
        <v>4</v>
      </c>
      <c r="H4" s="24">
        <v>4</v>
      </c>
      <c r="I4" s="25" t="s">
        <v>57</v>
      </c>
      <c r="J4" s="25" t="s">
        <v>289</v>
      </c>
      <c r="K4" s="25" t="s">
        <v>290</v>
      </c>
      <c r="L4" s="26"/>
      <c r="M4" s="75" t="s">
        <v>291</v>
      </c>
      <c r="N4" s="28">
        <v>46171</v>
      </c>
    </row>
    <row r="5" spans="1:14" s="3" customFormat="1" ht="70" customHeight="1" x14ac:dyDescent="0.35">
      <c r="A5" s="62"/>
      <c r="B5" s="63"/>
      <c r="C5" s="64"/>
      <c r="D5" s="65"/>
      <c r="E5" s="66"/>
      <c r="F5" s="67"/>
      <c r="G5" s="68"/>
      <c r="H5" s="69"/>
      <c r="I5" s="70"/>
      <c r="J5" s="25"/>
      <c r="K5" s="70"/>
      <c r="L5" s="71"/>
      <c r="M5" s="72"/>
      <c r="N5" s="76"/>
    </row>
    <row r="6" spans="1:14" s="3" customFormat="1" ht="70" customHeight="1" x14ac:dyDescent="0.35">
      <c r="A6" s="17" t="s">
        <v>294</v>
      </c>
      <c r="B6" s="18" t="s">
        <v>295</v>
      </c>
      <c r="C6" s="19" t="s">
        <v>296</v>
      </c>
      <c r="D6" s="20" t="s">
        <v>297</v>
      </c>
      <c r="E6" s="21" t="s">
        <v>298</v>
      </c>
      <c r="F6" s="22">
        <v>70</v>
      </c>
      <c r="G6" s="23">
        <v>2</v>
      </c>
      <c r="H6" s="24">
        <v>2</v>
      </c>
      <c r="I6" s="25" t="s">
        <v>151</v>
      </c>
      <c r="J6" s="25" t="s">
        <v>299</v>
      </c>
      <c r="K6" s="25" t="s">
        <v>300</v>
      </c>
      <c r="L6" s="26">
        <v>2</v>
      </c>
      <c r="M6" s="79" t="s">
        <v>301</v>
      </c>
      <c r="N6" s="28">
        <v>46172</v>
      </c>
    </row>
    <row r="7" spans="1:14" s="3" customFormat="1" ht="70" customHeight="1" x14ac:dyDescent="0.35">
      <c r="A7" s="62"/>
      <c r="B7" s="63"/>
      <c r="C7" s="64"/>
      <c r="D7" s="65"/>
      <c r="E7" s="66"/>
      <c r="F7" s="67"/>
      <c r="G7" s="68"/>
      <c r="H7" s="69"/>
      <c r="I7" s="70"/>
      <c r="J7" s="25"/>
      <c r="K7" s="70"/>
      <c r="L7" s="71"/>
      <c r="M7" s="73"/>
      <c r="N7" s="76"/>
    </row>
    <row r="8" spans="1:14" s="3" customFormat="1" ht="70" customHeight="1" x14ac:dyDescent="0.35">
      <c r="A8" s="17" t="s">
        <v>302</v>
      </c>
      <c r="B8" s="18" t="s">
        <v>303</v>
      </c>
      <c r="C8" s="19" t="s">
        <v>304</v>
      </c>
      <c r="D8" s="20" t="s">
        <v>305</v>
      </c>
      <c r="E8" s="21" t="s">
        <v>306</v>
      </c>
      <c r="F8" s="22">
        <v>50</v>
      </c>
      <c r="G8" s="23">
        <v>1</v>
      </c>
      <c r="H8" s="24">
        <v>1</v>
      </c>
      <c r="I8" s="25" t="s">
        <v>151</v>
      </c>
      <c r="J8" s="25" t="s">
        <v>289</v>
      </c>
      <c r="K8" s="25" t="s">
        <v>300</v>
      </c>
      <c r="L8" s="26">
        <v>1</v>
      </c>
      <c r="M8" s="27"/>
      <c r="N8" s="28">
        <v>46172</v>
      </c>
    </row>
    <row r="9" spans="1:14" s="3" customFormat="1" ht="70" customHeight="1" x14ac:dyDescent="0.35">
      <c r="A9" s="62"/>
      <c r="B9" s="63"/>
      <c r="C9" s="64"/>
      <c r="D9" s="65"/>
      <c r="E9" s="66"/>
      <c r="F9" s="67"/>
      <c r="G9" s="68"/>
      <c r="H9" s="69"/>
      <c r="I9" s="70"/>
      <c r="J9" s="25"/>
      <c r="K9" s="70"/>
      <c r="L9" s="71"/>
      <c r="M9" s="72"/>
      <c r="N9" s="76"/>
    </row>
    <row r="10" spans="1:14" s="3" customFormat="1" ht="70" customHeight="1" x14ac:dyDescent="0.35">
      <c r="A10" s="17" t="s">
        <v>307</v>
      </c>
      <c r="B10" s="18" t="s">
        <v>308</v>
      </c>
      <c r="C10" s="19" t="s">
        <v>309</v>
      </c>
      <c r="D10" s="20" t="s">
        <v>310</v>
      </c>
      <c r="E10" s="21" t="s">
        <v>311</v>
      </c>
      <c r="F10" s="22">
        <v>40</v>
      </c>
      <c r="G10" s="23">
        <v>2</v>
      </c>
      <c r="H10" s="24">
        <v>2</v>
      </c>
      <c r="I10" s="25" t="s">
        <v>151</v>
      </c>
      <c r="J10" s="25" t="s">
        <v>289</v>
      </c>
      <c r="K10" s="25" t="s">
        <v>28</v>
      </c>
      <c r="L10" s="26">
        <v>2</v>
      </c>
      <c r="M10" s="27"/>
      <c r="N10" s="28">
        <v>46172</v>
      </c>
    </row>
    <row r="11" spans="1:14" s="3" customFormat="1" ht="70" customHeight="1" x14ac:dyDescent="0.35">
      <c r="A11" s="62"/>
      <c r="B11" s="63"/>
      <c r="C11" s="64"/>
      <c r="D11" s="65"/>
      <c r="E11" s="66"/>
      <c r="F11" s="67"/>
      <c r="G11" s="68"/>
      <c r="H11" s="69"/>
      <c r="I11" s="70"/>
      <c r="J11" s="25"/>
      <c r="K11" s="70"/>
      <c r="L11" s="71"/>
      <c r="M11" s="72"/>
      <c r="N11" s="76"/>
    </row>
    <row r="12" spans="1:14" s="3" customFormat="1" ht="70" customHeight="1" x14ac:dyDescent="0.35">
      <c r="A12" s="17" t="s">
        <v>312</v>
      </c>
      <c r="B12" s="18" t="s">
        <v>313</v>
      </c>
      <c r="C12" s="19" t="s">
        <v>314</v>
      </c>
      <c r="D12" s="20" t="s">
        <v>315</v>
      </c>
      <c r="E12" s="21" t="s">
        <v>316</v>
      </c>
      <c r="F12" s="22">
        <v>70</v>
      </c>
      <c r="G12" s="23">
        <v>2</v>
      </c>
      <c r="H12" s="24">
        <v>2</v>
      </c>
      <c r="I12" s="25" t="s">
        <v>151</v>
      </c>
      <c r="J12" s="25" t="s">
        <v>299</v>
      </c>
      <c r="K12" s="25" t="s">
        <v>300</v>
      </c>
      <c r="L12" s="26">
        <v>2</v>
      </c>
      <c r="M12" s="79" t="s">
        <v>301</v>
      </c>
      <c r="N12" s="28">
        <v>46172</v>
      </c>
    </row>
    <row r="13" spans="1:14" s="3" customFormat="1" ht="70" hidden="1" customHeight="1" x14ac:dyDescent="0.35">
      <c r="A13" s="17"/>
      <c r="B13" s="18" t="e">
        <f>VLOOKUP(A13,'[2]master plan'!A:C,3,0)</f>
        <v>#N/A</v>
      </c>
      <c r="C13" s="19" t="e">
        <f>VLOOKUP($A13,'[2]master plan'!$A:$N,5,0)</f>
        <v>#N/A</v>
      </c>
      <c r="D13" s="20" t="e">
        <f>VLOOKUP($A13,'[2]master plan'!$A:$N,6,0)</f>
        <v>#N/A</v>
      </c>
      <c r="E13" s="21" t="e">
        <f>VLOOKUP(A13,'[2]master plan'!A:G,7,0)</f>
        <v>#N/A</v>
      </c>
      <c r="F13" s="22" t="e">
        <f>VLOOKUP(A13,'[2]master plan'!A:H,8,0)</f>
        <v>#N/A</v>
      </c>
      <c r="G13" s="23" t="e">
        <f>VLOOKUP(A13,'[2]master plan'!A:W,23,0)</f>
        <v>#N/A</v>
      </c>
      <c r="H13" s="24" t="e">
        <f>VLOOKUP(A13,'[2]master plan'!A:W,23,0)</f>
        <v>#N/A</v>
      </c>
      <c r="I13" s="25" t="e">
        <f>VLOOKUP($A13,'[2]master plan'!$A:$N,12,0)</f>
        <v>#N/A</v>
      </c>
      <c r="J13" s="25" t="e">
        <f>VLOOKUP($A13,'[2]master plan'!$A:$N,13,0)</f>
        <v>#N/A</v>
      </c>
      <c r="K13" s="25" t="e">
        <f>VLOOKUP($A13,'[2]master plan'!$A:$N,14,0)</f>
        <v>#N/A</v>
      </c>
      <c r="L13" s="26"/>
      <c r="M13" s="40"/>
      <c r="N13" s="28" t="str">
        <f>_xlfn.IFNA(VLOOKUP(A13,'[2]master plan'!A:R,18,0),"")</f>
        <v/>
      </c>
    </row>
    <row r="14" spans="1:14" s="3" customFormat="1" ht="70" hidden="1" customHeight="1" x14ac:dyDescent="0.35">
      <c r="A14" s="17"/>
      <c r="B14" s="18" t="e">
        <f>VLOOKUP(A14,'[2]master plan'!A:C,3,0)</f>
        <v>#N/A</v>
      </c>
      <c r="C14" s="19" t="e">
        <f>VLOOKUP($A14,'[2]master plan'!$A:$N,5,0)</f>
        <v>#N/A</v>
      </c>
      <c r="D14" s="20" t="e">
        <f>VLOOKUP($A14,'[2]master plan'!$A:$N,6,0)</f>
        <v>#N/A</v>
      </c>
      <c r="E14" s="21" t="e">
        <f>VLOOKUP(A14,'[2]master plan'!A:G,7,0)</f>
        <v>#N/A</v>
      </c>
      <c r="F14" s="22" t="e">
        <f>VLOOKUP(A14,'[2]master plan'!A:H,8,0)</f>
        <v>#N/A</v>
      </c>
      <c r="G14" s="23" t="e">
        <f>VLOOKUP(A14,'[2]master plan'!A:W,23,0)</f>
        <v>#N/A</v>
      </c>
      <c r="H14" s="24" t="e">
        <f>VLOOKUP(A14,'[2]master plan'!A:W,23,0)</f>
        <v>#N/A</v>
      </c>
      <c r="I14" s="25" t="e">
        <f>VLOOKUP($A14,'[2]master plan'!$A:$N,12,0)</f>
        <v>#N/A</v>
      </c>
      <c r="J14" s="25" t="e">
        <f>VLOOKUP($A14,'[2]master plan'!$A:$N,13,0)</f>
        <v>#N/A</v>
      </c>
      <c r="K14" s="25" t="e">
        <f>VLOOKUP($A14,'[2]master plan'!$A:$N,14,0)</f>
        <v>#N/A</v>
      </c>
      <c r="L14" s="26"/>
      <c r="M14" s="27"/>
      <c r="N14" s="28" t="str">
        <f>_xlfn.IFNA(VLOOKUP(A14,'[2]master plan'!A:R,18,0),"")</f>
        <v/>
      </c>
    </row>
    <row r="15" spans="1:14" s="3" customFormat="1" ht="70" hidden="1" customHeight="1" x14ac:dyDescent="0.35">
      <c r="A15" s="17"/>
      <c r="B15" s="18" t="e">
        <f>VLOOKUP(A15,'[2]master plan'!A:C,3,0)</f>
        <v>#N/A</v>
      </c>
      <c r="C15" s="19" t="e">
        <f>VLOOKUP($A15,'[2]master plan'!$A:$N,5,0)</f>
        <v>#N/A</v>
      </c>
      <c r="D15" s="20" t="e">
        <f>VLOOKUP($A15,'[2]master plan'!$A:$N,6,0)</f>
        <v>#N/A</v>
      </c>
      <c r="E15" s="21" t="e">
        <f>VLOOKUP(A15,'[2]master plan'!A:G,7,0)</f>
        <v>#N/A</v>
      </c>
      <c r="F15" s="22" t="e">
        <f>VLOOKUP(A15,'[2]master plan'!A:H,8,0)</f>
        <v>#N/A</v>
      </c>
      <c r="G15" s="23" t="e">
        <f>VLOOKUP(A15,'[2]master plan'!A:W,23,0)</f>
        <v>#N/A</v>
      </c>
      <c r="H15" s="24" t="e">
        <f>VLOOKUP(A15,'[2]master plan'!A:W,23,0)</f>
        <v>#N/A</v>
      </c>
      <c r="I15" s="25" t="e">
        <f>VLOOKUP($A15,'[2]master plan'!$A:$N,12,0)</f>
        <v>#N/A</v>
      </c>
      <c r="J15" s="25" t="e">
        <f>VLOOKUP($A15,'[2]master plan'!$A:$N,13,0)</f>
        <v>#N/A</v>
      </c>
      <c r="K15" s="25" t="e">
        <f>VLOOKUP($A15,'[2]master plan'!$A:$N,14,0)</f>
        <v>#N/A</v>
      </c>
      <c r="L15" s="26"/>
      <c r="M15" s="27"/>
      <c r="N15" s="28" t="str">
        <f>_xlfn.IFNA(VLOOKUP(A15,'[2]master plan'!A:R,18,0),"")</f>
        <v/>
      </c>
    </row>
    <row r="16" spans="1:14" s="3" customFormat="1" ht="70" hidden="1" customHeight="1" x14ac:dyDescent="0.35">
      <c r="A16" s="17"/>
      <c r="B16" s="18" t="e">
        <f>VLOOKUP(A16,'[2]master plan'!A:C,3,0)</f>
        <v>#N/A</v>
      </c>
      <c r="C16" s="19" t="e">
        <f>VLOOKUP($A16,'[2]master plan'!$A:$N,5,0)</f>
        <v>#N/A</v>
      </c>
      <c r="D16" s="20" t="e">
        <f>VLOOKUP($A16,'[2]master plan'!$A:$N,6,0)</f>
        <v>#N/A</v>
      </c>
      <c r="E16" s="21" t="e">
        <f>VLOOKUP(A16,'[2]master plan'!A:G,7,0)</f>
        <v>#N/A</v>
      </c>
      <c r="F16" s="22" t="e">
        <f>VLOOKUP(A16,'[2]master plan'!A:H,8,0)</f>
        <v>#N/A</v>
      </c>
      <c r="G16" s="23" t="e">
        <f>VLOOKUP(A16,'[2]master plan'!A:W,23,0)</f>
        <v>#N/A</v>
      </c>
      <c r="H16" s="24" t="e">
        <f>VLOOKUP(A16,'[2]master plan'!A:W,23,0)</f>
        <v>#N/A</v>
      </c>
      <c r="I16" s="25" t="e">
        <f>VLOOKUP($A16,'[2]master plan'!$A:$N,12,0)</f>
        <v>#N/A</v>
      </c>
      <c r="J16" s="25" t="e">
        <f>VLOOKUP($A16,'[2]master plan'!$A:$N,13,0)</f>
        <v>#N/A</v>
      </c>
      <c r="K16" s="25" t="e">
        <f>VLOOKUP($A16,'[2]master plan'!$A:$N,14,0)</f>
        <v>#N/A</v>
      </c>
      <c r="L16" s="26"/>
      <c r="M16" s="40"/>
      <c r="N16" s="28" t="str">
        <f>_xlfn.IFNA(VLOOKUP(A16,'[2]master plan'!A:R,18,0),"")</f>
        <v/>
      </c>
    </row>
    <row r="17" spans="1:14" s="3" customFormat="1" ht="70" hidden="1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40"/>
      <c r="N17" s="28" t="str">
        <f>_xlfn.IFNA(VLOOKUP(A17,'[2]master plan'!A:R,18,0),"")</f>
        <v/>
      </c>
    </row>
    <row r="18" spans="1:14" s="3" customFormat="1" ht="70" hidden="1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27"/>
      <c r="N18" s="28" t="str">
        <f>_xlfn.IFNA(VLOOKUP(A18,'[2]master plan'!A:R,18,0),"")</f>
        <v/>
      </c>
    </row>
    <row r="19" spans="1:14" s="3" customFormat="1" ht="70" hidden="1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hidden="1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40"/>
      <c r="N20" s="28" t="str">
        <f>_xlfn.IFNA(VLOOKUP(A20,'[2]master plan'!A:R,18,0),"")</f>
        <v/>
      </c>
    </row>
    <row r="21" spans="1:14" s="3" customFormat="1" ht="70" hidden="1" customHeight="1" x14ac:dyDescent="0.35">
      <c r="A21" s="17"/>
      <c r="B21" s="18" t="e">
        <f>VLOOKUP(A21,'[2]master plan'!A:C,3,0)</f>
        <v>#N/A</v>
      </c>
      <c r="C21" s="19" t="e">
        <f>VLOOKUP($A21,'[2]master plan'!$A:$N,5,0)</f>
        <v>#N/A</v>
      </c>
      <c r="D21" s="20" t="e">
        <f>VLOOKUP($A21,'[2]master plan'!$A:$N,6,0)</f>
        <v>#N/A</v>
      </c>
      <c r="E21" s="21" t="e">
        <f>VLOOKUP(A21,'[2]master plan'!A:G,7,0)</f>
        <v>#N/A</v>
      </c>
      <c r="F21" s="22" t="e">
        <f>VLOOKUP(A21,'[2]master plan'!A:H,8,0)</f>
        <v>#N/A</v>
      </c>
      <c r="G21" s="23" t="e">
        <f>VLOOKUP(A21,'[2]master plan'!A:W,23,0)</f>
        <v>#N/A</v>
      </c>
      <c r="H21" s="24" t="e">
        <f>VLOOKUP(A21,'[2]master plan'!A:W,23,0)</f>
        <v>#N/A</v>
      </c>
      <c r="I21" s="25" t="e">
        <f>VLOOKUP($A21,'[2]master plan'!$A:$N,12,0)</f>
        <v>#N/A</v>
      </c>
      <c r="J21" s="25" t="e">
        <f>VLOOKUP($A21,'[2]master plan'!$A:$N,13,0)</f>
        <v>#N/A</v>
      </c>
      <c r="K21" s="25" t="e">
        <f>VLOOKUP($A21,'[2]master plan'!$A:$N,14,0)</f>
        <v>#N/A</v>
      </c>
      <c r="L21" s="26"/>
      <c r="M21" s="40"/>
      <c r="N21" s="28" t="str">
        <f>_xlfn.IFNA(VLOOKUP(A21,'[2]master plan'!A:R,18,0),"")</f>
        <v/>
      </c>
    </row>
    <row r="22" spans="1:14" s="3" customFormat="1" ht="72" customHeight="1" x14ac:dyDescent="0.35">
      <c r="A22" s="41"/>
      <c r="B22" s="42"/>
      <c r="C22" s="43"/>
      <c r="D22" s="43"/>
      <c r="E22" s="44"/>
      <c r="F22" s="45"/>
      <c r="G22" s="45"/>
      <c r="H22" s="45"/>
      <c r="I22" s="46"/>
      <c r="J22" s="47"/>
      <c r="K22" s="48"/>
      <c r="L22" s="49"/>
      <c r="M22" s="50"/>
      <c r="N22" s="51"/>
    </row>
    <row r="23" spans="1:14" ht="74.25" customHeight="1" x14ac:dyDescent="0.35">
      <c r="L23" s="56"/>
    </row>
    <row r="24" spans="1:14" ht="74.25" customHeight="1" x14ac:dyDescent="0.35">
      <c r="L24" s="56"/>
    </row>
    <row r="25" spans="1:14" ht="74.25" customHeight="1" x14ac:dyDescent="0.35">
      <c r="L25" s="56"/>
    </row>
    <row r="26" spans="1:14" s="54" customFormat="1" ht="74.25" customHeight="1" x14ac:dyDescent="0.35">
      <c r="A26" s="2"/>
      <c r="B26" s="52"/>
      <c r="C26" s="2"/>
      <c r="D26" s="2"/>
      <c r="E26" s="59" t="s">
        <v>21</v>
      </c>
      <c r="G26" s="55"/>
      <c r="I26" s="53"/>
      <c r="J26" s="53"/>
      <c r="K26" s="53"/>
      <c r="L26" s="56"/>
      <c r="M26" s="57"/>
      <c r="N26" s="58"/>
    </row>
    <row r="27" spans="1:14" ht="74.25" customHeight="1" x14ac:dyDescent="0.35">
      <c r="L27" s="56"/>
    </row>
    <row r="28" spans="1:14" ht="74.25" customHeight="1" x14ac:dyDescent="0.35">
      <c r="L28" s="56"/>
    </row>
    <row r="29" spans="1:14" s="10" customFormat="1" ht="74.25" customHeight="1" x14ac:dyDescent="0.35">
      <c r="A29" s="2"/>
      <c r="B29" s="52"/>
      <c r="C29" s="2"/>
      <c r="D29" s="2"/>
      <c r="E29" s="53"/>
      <c r="F29" s="54"/>
      <c r="G29" s="54"/>
      <c r="H29" s="55"/>
      <c r="I29" s="53"/>
      <c r="J29" s="53"/>
      <c r="K29" s="53"/>
      <c r="L29" s="56"/>
      <c r="M29" s="57"/>
      <c r="N29" s="58"/>
    </row>
    <row r="30" spans="1:14" s="10" customFormat="1" ht="74.25" customHeight="1" x14ac:dyDescent="0.35">
      <c r="A30" s="2"/>
      <c r="B30" s="52"/>
      <c r="C30" s="2"/>
      <c r="D30" s="2"/>
      <c r="E30" s="53"/>
      <c r="F30" s="54"/>
      <c r="G30" s="54"/>
      <c r="H30" s="55"/>
      <c r="I30" s="53"/>
      <c r="J30" s="53"/>
      <c r="K30" s="53"/>
      <c r="L30" s="56"/>
      <c r="M30" s="57"/>
      <c r="N30" s="58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665" spans="1:14" s="54" customFormat="1" ht="74.25" customHeight="1" x14ac:dyDescent="0.35">
      <c r="A665" s="2"/>
      <c r="B665" s="52"/>
      <c r="C665" s="2"/>
      <c r="D665" s="2"/>
      <c r="E665" s="60"/>
      <c r="H665" s="55"/>
      <c r="I665" s="53"/>
      <c r="J665" s="53"/>
      <c r="K665" s="53"/>
      <c r="L665" s="61"/>
      <c r="M665" s="57"/>
      <c r="N665" s="58"/>
    </row>
  </sheetData>
  <protectedRanges>
    <protectedRange algorithmName="SHA-512" hashValue="e1FOu1UlwA7reaiyQlEGzbU6dAFPyHPlKfgo6VzFBBobawyOfUsh2c/+wjC8bICpcXVPmRerMGA9+qKsw5p7Iw==" saltValue="UD2tVZrxqZTGI3vDzMBrHw==" spinCount="100000" sqref="E3:E21" name="Range1_1"/>
  </protectedRanges>
  <autoFilter ref="A2:N22" xr:uid="{E2BC4C4A-3703-4A99-A30B-53817C3A378F}">
    <filterColumn colId="1">
      <filters blank="1">
        <filter val="RPRO-260527-0578"/>
        <filter val="RPRO-260527-0579"/>
        <filter val="RPRO-260527-0580"/>
        <filter val="RPRO-260527-0581"/>
        <filter val="RPRO-260527-0582"/>
        <filter val="RPRO-260527-0583"/>
      </filters>
    </filterColumn>
  </autoFilter>
  <mergeCells count="1">
    <mergeCell ref="D1:F1"/>
  </mergeCells>
  <conditionalFormatting sqref="A2">
    <cfRule type="duplicateValues" dxfId="28" priority="5"/>
  </conditionalFormatting>
  <conditionalFormatting sqref="A3:A21">
    <cfRule type="duplicateValues" dxfId="27" priority="7"/>
  </conditionalFormatting>
  <conditionalFormatting sqref="A24:A1048576">
    <cfRule type="duplicateValues" dxfId="26" priority="6"/>
  </conditionalFormatting>
  <conditionalFormatting sqref="C1:C1048576">
    <cfRule type="duplicateValues" dxfId="25" priority="1"/>
    <cfRule type="duplicateValues" dxfId="24" priority="2"/>
  </conditionalFormatting>
  <conditionalFormatting sqref="I2:M2">
    <cfRule type="duplicateValues" dxfId="23" priority="4"/>
  </conditionalFormatting>
  <conditionalFormatting sqref="N1">
    <cfRule type="duplicateValues" dxfId="22" priority="3"/>
  </conditionalFormatting>
  <printOptions horizontalCentered="1"/>
  <pageMargins left="0.18" right="0.17" top="0.5" bottom="0" header="0.17" footer="0.17"/>
  <pageSetup paperSize="9" scale="29" fitToHeight="0" orientation="landscape" r:id="rId1"/>
  <headerFooter>
    <oddFooter>Page &amp;P of &amp;N</oddFooter>
  </headerFooter>
  <rowBreaks count="1" manualBreakCount="1">
    <brk id="22" max="1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5852-BF71-4530-A0E5-2256D89D5807}">
  <sheetPr>
    <tabColor theme="4"/>
  </sheetPr>
  <dimension ref="A1:N668"/>
  <sheetViews>
    <sheetView zoomScale="25" zoomScaleNormal="25" zoomScaleSheetLayoutView="34" workbookViewId="0">
      <pane xSplit="1" ySplit="2" topLeftCell="B12" activePane="bottomRight" state="frozen"/>
      <selection activeCell="E27" sqref="E27"/>
      <selection pane="topRight" activeCell="E27" sqref="E27"/>
      <selection pane="bottomLeft" activeCell="E27" sqref="E27"/>
      <selection pane="bottomRight" activeCell="A3" sqref="A3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50.453125" style="53" customWidth="1"/>
    <col min="6" max="6" width="19.1796875" style="54" hidden="1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17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317</v>
      </c>
      <c r="B3" s="18" t="s">
        <v>318</v>
      </c>
      <c r="C3" s="19" t="s">
        <v>105</v>
      </c>
      <c r="D3" s="20" t="s">
        <v>106</v>
      </c>
      <c r="E3" s="21" t="s">
        <v>107</v>
      </c>
      <c r="F3" s="22">
        <v>50</v>
      </c>
      <c r="G3" s="23">
        <v>2</v>
      </c>
      <c r="H3" s="24">
        <v>2</v>
      </c>
      <c r="I3" s="25" t="s">
        <v>57</v>
      </c>
      <c r="J3" s="25" t="s">
        <v>319</v>
      </c>
      <c r="K3" s="25" t="s">
        <v>67</v>
      </c>
      <c r="L3" s="26">
        <v>2</v>
      </c>
      <c r="M3" s="27" t="s">
        <v>320</v>
      </c>
      <c r="N3" s="28">
        <v>46174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25"/>
      <c r="K4" s="70"/>
      <c r="L4" s="71"/>
      <c r="M4" s="72"/>
      <c r="N4" s="28"/>
    </row>
    <row r="5" spans="1:14" s="3" customFormat="1" ht="70" customHeight="1" x14ac:dyDescent="0.35">
      <c r="A5" s="17" t="s">
        <v>321</v>
      </c>
      <c r="B5" s="18" t="s">
        <v>322</v>
      </c>
      <c r="C5" s="19" t="s">
        <v>63</v>
      </c>
      <c r="D5" s="20" t="s">
        <v>323</v>
      </c>
      <c r="E5" s="21" t="s">
        <v>324</v>
      </c>
      <c r="F5" s="22">
        <v>30</v>
      </c>
      <c r="G5" s="23">
        <v>2</v>
      </c>
      <c r="H5" s="24">
        <v>2</v>
      </c>
      <c r="I5" s="25" t="s">
        <v>258</v>
      </c>
      <c r="J5" s="25" t="s">
        <v>299</v>
      </c>
      <c r="K5" s="25" t="s">
        <v>28</v>
      </c>
      <c r="L5" s="26">
        <v>2</v>
      </c>
      <c r="M5" s="27" t="s">
        <v>325</v>
      </c>
      <c r="N5" s="28">
        <v>46174</v>
      </c>
    </row>
    <row r="6" spans="1:14" s="3" customFormat="1" ht="70" customHeight="1" x14ac:dyDescent="0.35">
      <c r="A6" s="62"/>
      <c r="B6" s="63"/>
      <c r="C6" s="64"/>
      <c r="D6" s="65"/>
      <c r="E6" s="66"/>
      <c r="F6" s="67"/>
      <c r="G6" s="68"/>
      <c r="H6" s="69"/>
      <c r="I6" s="70"/>
      <c r="J6" s="25"/>
      <c r="K6" s="70"/>
      <c r="L6" s="71"/>
      <c r="M6" s="72"/>
      <c r="N6" s="28"/>
    </row>
    <row r="7" spans="1:14" s="3" customFormat="1" ht="70" customHeight="1" x14ac:dyDescent="0.35">
      <c r="A7" s="17" t="s">
        <v>326</v>
      </c>
      <c r="B7" s="18" t="s">
        <v>327</v>
      </c>
      <c r="C7" s="19" t="s">
        <v>181</v>
      </c>
      <c r="D7" s="20" t="s">
        <v>328</v>
      </c>
      <c r="E7" s="21" t="s">
        <v>329</v>
      </c>
      <c r="F7" s="22">
        <v>10</v>
      </c>
      <c r="G7" s="23">
        <v>1</v>
      </c>
      <c r="H7" s="24">
        <v>1</v>
      </c>
      <c r="I7" s="25" t="s">
        <v>258</v>
      </c>
      <c r="J7" s="25" t="s">
        <v>299</v>
      </c>
      <c r="K7" s="25" t="s">
        <v>28</v>
      </c>
      <c r="L7" s="26">
        <v>1</v>
      </c>
      <c r="M7" s="27" t="s">
        <v>320</v>
      </c>
      <c r="N7" s="28">
        <v>46174</v>
      </c>
    </row>
    <row r="8" spans="1:14" s="3" customFormat="1" ht="70" customHeight="1" x14ac:dyDescent="0.35">
      <c r="A8" s="62"/>
      <c r="B8" s="63"/>
      <c r="C8" s="64"/>
      <c r="D8" s="65"/>
      <c r="E8" s="66"/>
      <c r="F8" s="67"/>
      <c r="G8" s="68"/>
      <c r="H8" s="69"/>
      <c r="I8" s="70"/>
      <c r="J8" s="25"/>
      <c r="K8" s="70"/>
      <c r="L8" s="71"/>
      <c r="M8" s="73"/>
      <c r="N8" s="28"/>
    </row>
    <row r="9" spans="1:14" s="3" customFormat="1" ht="70" customHeight="1" x14ac:dyDescent="0.35">
      <c r="A9" s="17" t="s">
        <v>330</v>
      </c>
      <c r="B9" s="18" t="s">
        <v>331</v>
      </c>
      <c r="C9" s="19" t="s">
        <v>332</v>
      </c>
      <c r="D9" s="20" t="s">
        <v>333</v>
      </c>
      <c r="E9" s="21" t="s">
        <v>334</v>
      </c>
      <c r="F9" s="22">
        <v>30</v>
      </c>
      <c r="G9" s="23">
        <v>3</v>
      </c>
      <c r="H9" s="24">
        <v>3</v>
      </c>
      <c r="I9" s="25" t="s">
        <v>258</v>
      </c>
      <c r="J9" s="25" t="s">
        <v>289</v>
      </c>
      <c r="K9" s="25" t="s">
        <v>28</v>
      </c>
      <c r="L9" s="26">
        <v>3</v>
      </c>
      <c r="M9" s="40" t="s">
        <v>320</v>
      </c>
      <c r="N9" s="28">
        <v>46175</v>
      </c>
    </row>
    <row r="10" spans="1:14" s="3" customFormat="1" ht="70" customHeight="1" x14ac:dyDescent="0.35">
      <c r="A10" s="62"/>
      <c r="B10" s="63"/>
      <c r="C10" s="64"/>
      <c r="D10" s="65"/>
      <c r="E10" s="66"/>
      <c r="F10" s="67"/>
      <c r="G10" s="68"/>
      <c r="H10" s="69"/>
      <c r="I10" s="70"/>
      <c r="J10" s="25"/>
      <c r="K10" s="70"/>
      <c r="L10" s="71"/>
      <c r="M10" s="73"/>
      <c r="N10" s="28"/>
    </row>
    <row r="11" spans="1:14" s="3" customFormat="1" ht="70" customHeight="1" x14ac:dyDescent="0.35">
      <c r="A11" s="17" t="s">
        <v>335</v>
      </c>
      <c r="B11" s="18" t="s">
        <v>336</v>
      </c>
      <c r="C11" s="19" t="s">
        <v>337</v>
      </c>
      <c r="D11" s="20" t="s">
        <v>338</v>
      </c>
      <c r="E11" s="21" t="s">
        <v>339</v>
      </c>
      <c r="F11" s="22">
        <v>20</v>
      </c>
      <c r="G11" s="23">
        <v>2</v>
      </c>
      <c r="H11" s="24">
        <v>2</v>
      </c>
      <c r="I11" s="25" t="s">
        <v>258</v>
      </c>
      <c r="J11" s="25" t="s">
        <v>289</v>
      </c>
      <c r="K11" s="25" t="s">
        <v>28</v>
      </c>
      <c r="L11" s="26">
        <v>2</v>
      </c>
      <c r="M11" s="27" t="s">
        <v>320</v>
      </c>
      <c r="N11" s="28">
        <v>46175</v>
      </c>
    </row>
    <row r="12" spans="1:14" s="3" customFormat="1" ht="70" customHeight="1" x14ac:dyDescent="0.35">
      <c r="A12" s="62"/>
      <c r="B12" s="63"/>
      <c r="C12" s="64"/>
      <c r="D12" s="65"/>
      <c r="E12" s="66"/>
      <c r="F12" s="67"/>
      <c r="G12" s="68"/>
      <c r="H12" s="69"/>
      <c r="I12" s="70"/>
      <c r="J12" s="25"/>
      <c r="K12" s="70"/>
      <c r="L12" s="71"/>
      <c r="M12" s="72"/>
      <c r="N12" s="28"/>
    </row>
    <row r="13" spans="1:14" s="3" customFormat="1" ht="70" customHeight="1" x14ac:dyDescent="0.35">
      <c r="A13" s="17" t="s">
        <v>340</v>
      </c>
      <c r="B13" s="18" t="s">
        <v>341</v>
      </c>
      <c r="C13" s="19" t="s">
        <v>342</v>
      </c>
      <c r="D13" s="20" t="s">
        <v>343</v>
      </c>
      <c r="E13" s="21" t="s">
        <v>344</v>
      </c>
      <c r="F13" s="22">
        <v>20</v>
      </c>
      <c r="G13" s="23">
        <v>2</v>
      </c>
      <c r="H13" s="24">
        <v>2</v>
      </c>
      <c r="I13" s="25" t="s">
        <v>258</v>
      </c>
      <c r="J13" s="25" t="s">
        <v>289</v>
      </c>
      <c r="K13" s="25" t="s">
        <v>28</v>
      </c>
      <c r="L13" s="26">
        <v>2</v>
      </c>
      <c r="M13" s="27" t="s">
        <v>320</v>
      </c>
      <c r="N13" s="28">
        <v>46175</v>
      </c>
    </row>
    <row r="14" spans="1:14" s="3" customFormat="1" ht="70" customHeight="1" x14ac:dyDescent="0.35">
      <c r="A14" s="62"/>
      <c r="B14" s="63"/>
      <c r="C14" s="64"/>
      <c r="D14" s="65"/>
      <c r="E14" s="66"/>
      <c r="F14" s="67"/>
      <c r="G14" s="68"/>
      <c r="H14" s="69"/>
      <c r="I14" s="70"/>
      <c r="J14" s="25"/>
      <c r="K14" s="70"/>
      <c r="L14" s="71"/>
      <c r="M14" s="72"/>
      <c r="N14" s="28"/>
    </row>
    <row r="15" spans="1:14" s="3" customFormat="1" ht="70" customHeight="1" x14ac:dyDescent="0.35">
      <c r="A15" s="17" t="s">
        <v>345</v>
      </c>
      <c r="B15" s="18" t="s">
        <v>346</v>
      </c>
      <c r="C15" s="19" t="s">
        <v>347</v>
      </c>
      <c r="D15" s="20" t="s">
        <v>348</v>
      </c>
      <c r="E15" s="21" t="s">
        <v>349</v>
      </c>
      <c r="F15" s="22">
        <v>20</v>
      </c>
      <c r="G15" s="23">
        <v>2</v>
      </c>
      <c r="H15" s="24">
        <v>2</v>
      </c>
      <c r="I15" s="25" t="s">
        <v>258</v>
      </c>
      <c r="J15" s="25" t="s">
        <v>289</v>
      </c>
      <c r="K15" s="25" t="s">
        <v>28</v>
      </c>
      <c r="L15" s="26">
        <v>2</v>
      </c>
      <c r="M15" s="27" t="s">
        <v>320</v>
      </c>
      <c r="N15" s="28">
        <v>46175</v>
      </c>
    </row>
    <row r="16" spans="1:14" s="3" customFormat="1" ht="70" customHeight="1" x14ac:dyDescent="0.35">
      <c r="A16" s="62"/>
      <c r="B16" s="63"/>
      <c r="C16" s="64"/>
      <c r="D16" s="65"/>
      <c r="E16" s="66"/>
      <c r="F16" s="67"/>
      <c r="G16" s="68"/>
      <c r="H16" s="69"/>
      <c r="I16" s="70"/>
      <c r="J16" s="25"/>
      <c r="K16" s="70"/>
      <c r="L16" s="71"/>
      <c r="M16" s="72"/>
      <c r="N16" s="28"/>
    </row>
    <row r="17" spans="1:14" s="3" customFormat="1" ht="70" customHeight="1" x14ac:dyDescent="0.35">
      <c r="A17" s="17" t="s">
        <v>350</v>
      </c>
      <c r="B17" s="18" t="s">
        <v>351</v>
      </c>
      <c r="C17" s="19" t="s">
        <v>352</v>
      </c>
      <c r="D17" s="20" t="s">
        <v>353</v>
      </c>
      <c r="E17" s="21" t="s">
        <v>354</v>
      </c>
      <c r="F17" s="22">
        <v>30</v>
      </c>
      <c r="G17" s="23">
        <v>3</v>
      </c>
      <c r="H17" s="24">
        <v>3</v>
      </c>
      <c r="I17" s="25" t="s">
        <v>258</v>
      </c>
      <c r="J17" s="25" t="s">
        <v>289</v>
      </c>
      <c r="K17" s="25" t="s">
        <v>28</v>
      </c>
      <c r="L17" s="26">
        <v>3</v>
      </c>
      <c r="M17" s="40" t="s">
        <v>320</v>
      </c>
      <c r="N17" s="28">
        <v>46175</v>
      </c>
    </row>
    <row r="18" spans="1:14" s="3" customFormat="1" ht="70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27"/>
      <c r="N18" s="28" t="str">
        <f>_xlfn.IFNA(VLOOKUP(A18,'[2]master plan'!A:R,18,0),"")</f>
        <v/>
      </c>
    </row>
    <row r="19" spans="1:14" s="3" customFormat="1" ht="70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40"/>
      <c r="N20" s="28" t="str">
        <f>_xlfn.IFNA(VLOOKUP(A20,'[2]master plan'!A:R,18,0),"")</f>
        <v/>
      </c>
    </row>
    <row r="21" spans="1:14" s="3" customFormat="1" ht="70" customHeight="1" x14ac:dyDescent="0.35">
      <c r="A21" s="17"/>
      <c r="B21" s="18" t="e">
        <f>VLOOKUP(A21,'[2]master plan'!A:C,3,0)</f>
        <v>#N/A</v>
      </c>
      <c r="C21" s="19" t="e">
        <f>VLOOKUP($A21,'[2]master plan'!$A:$N,5,0)</f>
        <v>#N/A</v>
      </c>
      <c r="D21" s="20" t="e">
        <f>VLOOKUP($A21,'[2]master plan'!$A:$N,6,0)</f>
        <v>#N/A</v>
      </c>
      <c r="E21" s="21" t="e">
        <f>VLOOKUP(A21,'[2]master plan'!A:G,7,0)</f>
        <v>#N/A</v>
      </c>
      <c r="F21" s="22" t="e">
        <f>VLOOKUP(A21,'[2]master plan'!A:H,8,0)</f>
        <v>#N/A</v>
      </c>
      <c r="G21" s="23" t="e">
        <f>VLOOKUP(A21,'[2]master plan'!A:W,23,0)</f>
        <v>#N/A</v>
      </c>
      <c r="H21" s="24" t="e">
        <f>VLOOKUP(A21,'[2]master plan'!A:W,23,0)</f>
        <v>#N/A</v>
      </c>
      <c r="I21" s="25" t="e">
        <f>VLOOKUP($A21,'[2]master plan'!$A:$N,12,0)</f>
        <v>#N/A</v>
      </c>
      <c r="J21" s="25" t="e">
        <f>VLOOKUP($A21,'[2]master plan'!$A:$N,13,0)</f>
        <v>#N/A</v>
      </c>
      <c r="K21" s="25" t="e">
        <f>VLOOKUP($A21,'[2]master plan'!$A:$N,14,0)</f>
        <v>#N/A</v>
      </c>
      <c r="L21" s="26"/>
      <c r="M21" s="27"/>
      <c r="N21" s="28" t="str">
        <f>_xlfn.IFNA(VLOOKUP(A21,'[2]master plan'!A:R,18,0),"")</f>
        <v/>
      </c>
    </row>
    <row r="22" spans="1:14" s="3" customFormat="1" ht="70" customHeight="1" x14ac:dyDescent="0.35">
      <c r="A22" s="17"/>
      <c r="B22" s="18" t="e">
        <f>VLOOKUP(A22,'[2]master plan'!A:C,3,0)</f>
        <v>#N/A</v>
      </c>
      <c r="C22" s="19" t="e">
        <f>VLOOKUP($A22,'[2]master plan'!$A:$N,5,0)</f>
        <v>#N/A</v>
      </c>
      <c r="D22" s="20" t="e">
        <f>VLOOKUP($A22,'[2]master plan'!$A:$N,6,0)</f>
        <v>#N/A</v>
      </c>
      <c r="E22" s="21" t="e">
        <f>VLOOKUP(A22,'[2]master plan'!A:G,7,0)</f>
        <v>#N/A</v>
      </c>
      <c r="F22" s="22" t="e">
        <f>VLOOKUP(A22,'[2]master plan'!A:H,8,0)</f>
        <v>#N/A</v>
      </c>
      <c r="G22" s="23" t="e">
        <f>VLOOKUP(A22,'[2]master plan'!A:W,23,0)</f>
        <v>#N/A</v>
      </c>
      <c r="H22" s="24" t="e">
        <f>VLOOKUP(A22,'[2]master plan'!A:W,23,0)</f>
        <v>#N/A</v>
      </c>
      <c r="I22" s="25" t="e">
        <f>VLOOKUP($A22,'[2]master plan'!$A:$N,12,0)</f>
        <v>#N/A</v>
      </c>
      <c r="J22" s="25" t="e">
        <f>VLOOKUP($A22,'[2]master plan'!$A:$N,13,0)</f>
        <v>#N/A</v>
      </c>
      <c r="K22" s="25" t="e">
        <f>VLOOKUP($A22,'[2]master plan'!$A:$N,14,0)</f>
        <v>#N/A</v>
      </c>
      <c r="L22" s="26"/>
      <c r="M22" s="40"/>
      <c r="N22" s="28" t="str">
        <f>_xlfn.IFNA(VLOOKUP(A22,'[2]master plan'!A:R,18,0),"")</f>
        <v/>
      </c>
    </row>
    <row r="23" spans="1:14" s="3" customFormat="1" ht="70" customHeight="1" x14ac:dyDescent="0.35">
      <c r="A23" s="17"/>
      <c r="B23" s="18" t="e">
        <f>VLOOKUP(A23,'[2]master plan'!A:C,3,0)</f>
        <v>#N/A</v>
      </c>
      <c r="C23" s="19" t="e">
        <f>VLOOKUP($A23,'[2]master plan'!$A:$N,5,0)</f>
        <v>#N/A</v>
      </c>
      <c r="D23" s="20" t="e">
        <f>VLOOKUP($A23,'[2]master plan'!$A:$N,6,0)</f>
        <v>#N/A</v>
      </c>
      <c r="E23" s="21" t="e">
        <f>VLOOKUP(A23,'[2]master plan'!A:G,7,0)</f>
        <v>#N/A</v>
      </c>
      <c r="F23" s="22" t="e">
        <f>VLOOKUP(A23,'[2]master plan'!A:H,8,0)</f>
        <v>#N/A</v>
      </c>
      <c r="G23" s="23" t="e">
        <f>VLOOKUP(A23,'[2]master plan'!A:W,23,0)</f>
        <v>#N/A</v>
      </c>
      <c r="H23" s="24" t="e">
        <f>VLOOKUP(A23,'[2]master plan'!A:W,23,0)</f>
        <v>#N/A</v>
      </c>
      <c r="I23" s="25" t="e">
        <f>VLOOKUP($A23,'[2]master plan'!$A:$N,12,0)</f>
        <v>#N/A</v>
      </c>
      <c r="J23" s="25" t="e">
        <f>VLOOKUP($A23,'[2]master plan'!$A:$N,13,0)</f>
        <v>#N/A</v>
      </c>
      <c r="K23" s="25" t="e">
        <f>VLOOKUP($A23,'[2]master plan'!$A:$N,14,0)</f>
        <v>#N/A</v>
      </c>
      <c r="L23" s="26"/>
      <c r="M23" s="40"/>
      <c r="N23" s="28" t="str">
        <f>_xlfn.IFNA(VLOOKUP(A23,'[2]master plan'!A:R,18,0),"")</f>
        <v/>
      </c>
    </row>
    <row r="24" spans="1:14" s="3" customFormat="1" ht="70" customHeight="1" x14ac:dyDescent="0.35">
      <c r="A24" s="17"/>
      <c r="B24" s="18" t="e">
        <f>VLOOKUP(A24,'[2]master plan'!A:C,3,0)</f>
        <v>#N/A</v>
      </c>
      <c r="C24" s="19" t="e">
        <f>VLOOKUP($A24,'[2]master plan'!$A:$N,5,0)</f>
        <v>#N/A</v>
      </c>
      <c r="D24" s="20" t="e">
        <f>VLOOKUP($A24,'[2]master plan'!$A:$N,6,0)</f>
        <v>#N/A</v>
      </c>
      <c r="E24" s="21" t="e">
        <f>VLOOKUP(A24,'[2]master plan'!A:G,7,0)</f>
        <v>#N/A</v>
      </c>
      <c r="F24" s="22" t="e">
        <f>VLOOKUP(A24,'[2]master plan'!A:H,8,0)</f>
        <v>#N/A</v>
      </c>
      <c r="G24" s="23" t="e">
        <f>VLOOKUP(A24,'[2]master plan'!A:W,23,0)</f>
        <v>#N/A</v>
      </c>
      <c r="H24" s="24" t="e">
        <f>VLOOKUP(A24,'[2]master plan'!A:W,23,0)</f>
        <v>#N/A</v>
      </c>
      <c r="I24" s="25" t="e">
        <f>VLOOKUP($A24,'[2]master plan'!$A:$N,12,0)</f>
        <v>#N/A</v>
      </c>
      <c r="J24" s="25" t="e">
        <f>VLOOKUP($A24,'[2]master plan'!$A:$N,13,0)</f>
        <v>#N/A</v>
      </c>
      <c r="K24" s="25" t="e">
        <f>VLOOKUP($A24,'[2]master plan'!$A:$N,14,0)</f>
        <v>#N/A</v>
      </c>
      <c r="L24" s="26"/>
      <c r="M24" s="40"/>
      <c r="N24" s="28" t="str">
        <f>_xlfn.IFNA(VLOOKUP(A24,'[2]master plan'!A:R,18,0),"")</f>
        <v/>
      </c>
    </row>
    <row r="25" spans="1:14" s="3" customFormat="1" ht="72" customHeight="1" x14ac:dyDescent="0.35">
      <c r="A25" s="41"/>
      <c r="B25" s="42"/>
      <c r="C25" s="43"/>
      <c r="D25" s="43"/>
      <c r="E25" s="44"/>
      <c r="F25" s="45"/>
      <c r="G25" s="45"/>
      <c r="H25" s="45"/>
      <c r="I25" s="46"/>
      <c r="J25" s="47"/>
      <c r="K25" s="48"/>
      <c r="L25" s="49"/>
      <c r="M25" s="50"/>
      <c r="N25" s="51"/>
    </row>
    <row r="26" spans="1:14" ht="74.25" customHeight="1" x14ac:dyDescent="0.35">
      <c r="L26" s="56"/>
    </row>
    <row r="27" spans="1:14" ht="74.25" customHeight="1" x14ac:dyDescent="0.35">
      <c r="L27" s="56"/>
    </row>
    <row r="28" spans="1:14" ht="74.25" customHeight="1" x14ac:dyDescent="0.35">
      <c r="L28" s="56"/>
    </row>
    <row r="29" spans="1:14" s="54" customFormat="1" ht="74.25" customHeight="1" x14ac:dyDescent="0.35">
      <c r="A29" s="2"/>
      <c r="B29" s="52"/>
      <c r="C29" s="2"/>
      <c r="D29" s="2"/>
      <c r="E29" s="59" t="s">
        <v>21</v>
      </c>
      <c r="G29" s="55"/>
      <c r="I29" s="53"/>
      <c r="J29" s="53"/>
      <c r="K29" s="53"/>
      <c r="L29" s="56"/>
      <c r="M29" s="57"/>
      <c r="N29" s="58"/>
    </row>
    <row r="30" spans="1:14" ht="74.25" customHeight="1" x14ac:dyDescent="0.35">
      <c r="L30" s="56"/>
    </row>
    <row r="31" spans="1:14" ht="74.25" customHeight="1" x14ac:dyDescent="0.35">
      <c r="L31" s="56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57" spans="1:14" s="10" customFormat="1" ht="74.25" customHeight="1" x14ac:dyDescent="0.35">
      <c r="A57" s="2"/>
      <c r="B57" s="52"/>
      <c r="C57" s="2"/>
      <c r="D57" s="2"/>
      <c r="E57" s="53"/>
      <c r="F57" s="54"/>
      <c r="G57" s="54"/>
      <c r="H57" s="55"/>
      <c r="I57" s="53"/>
      <c r="J57" s="53"/>
      <c r="K57" s="53"/>
      <c r="L57" s="56"/>
      <c r="M57" s="57"/>
      <c r="N57" s="58"/>
    </row>
    <row r="58" spans="1:14" s="10" customFormat="1" ht="74.25" customHeight="1" x14ac:dyDescent="0.35">
      <c r="A58" s="2"/>
      <c r="B58" s="52"/>
      <c r="C58" s="2"/>
      <c r="D58" s="2"/>
      <c r="E58" s="53"/>
      <c r="F58" s="54"/>
      <c r="G58" s="54"/>
      <c r="H58" s="55"/>
      <c r="I58" s="53"/>
      <c r="J58" s="53"/>
      <c r="K58" s="53"/>
      <c r="L58" s="56"/>
      <c r="M58" s="57"/>
      <c r="N58" s="58"/>
    </row>
    <row r="59" spans="1:14" s="10" customFormat="1" ht="74.25" customHeight="1" x14ac:dyDescent="0.35">
      <c r="A59" s="2"/>
      <c r="B59" s="52"/>
      <c r="C59" s="2"/>
      <c r="D59" s="2"/>
      <c r="E59" s="53"/>
      <c r="F59" s="54"/>
      <c r="G59" s="54"/>
      <c r="H59" s="55"/>
      <c r="I59" s="53"/>
      <c r="J59" s="53"/>
      <c r="K59" s="53"/>
      <c r="L59" s="56"/>
      <c r="M59" s="57"/>
      <c r="N59" s="58"/>
    </row>
    <row r="668" spans="1:14" s="54" customFormat="1" ht="74.25" customHeight="1" x14ac:dyDescent="0.35">
      <c r="A668" s="2"/>
      <c r="B668" s="52"/>
      <c r="C668" s="2"/>
      <c r="D668" s="2"/>
      <c r="E668" s="60"/>
      <c r="H668" s="55"/>
      <c r="I668" s="53"/>
      <c r="J668" s="53"/>
      <c r="K668" s="53"/>
      <c r="L668" s="61"/>
      <c r="M668" s="57"/>
      <c r="N668" s="58"/>
    </row>
  </sheetData>
  <protectedRanges>
    <protectedRange algorithmName="SHA-512" hashValue="e1FOu1UlwA7reaiyQlEGzbU6dAFPyHPlKfgo6VzFBBobawyOfUsh2c/+wjC8bICpcXVPmRerMGA9+qKsw5p7Iw==" saltValue="UD2tVZrxqZTGI3vDzMBrHw==" spinCount="100000" sqref="E3:E24" name="Range1_1"/>
  </protectedRanges>
  <autoFilter ref="A2:N25" xr:uid="{E2BC4C4A-3703-4A99-A30B-53817C3A378F}"/>
  <mergeCells count="1">
    <mergeCell ref="D1:F1"/>
  </mergeCells>
  <conditionalFormatting sqref="A2">
    <cfRule type="duplicateValues" dxfId="21" priority="6"/>
  </conditionalFormatting>
  <conditionalFormatting sqref="A3:A24">
    <cfRule type="duplicateValues" dxfId="20" priority="8"/>
  </conditionalFormatting>
  <conditionalFormatting sqref="A27:A1048576">
    <cfRule type="duplicateValues" dxfId="19" priority="7"/>
  </conditionalFormatting>
  <conditionalFormatting sqref="C1:C1048576">
    <cfRule type="duplicateValues" dxfId="18" priority="1"/>
    <cfRule type="duplicateValues" dxfId="17" priority="2"/>
    <cfRule type="duplicateValues" dxfId="16" priority="3"/>
  </conditionalFormatting>
  <conditionalFormatting sqref="I2:M2">
    <cfRule type="duplicateValues" dxfId="15" priority="5"/>
  </conditionalFormatting>
  <conditionalFormatting sqref="N1">
    <cfRule type="duplicateValues" dxfId="14" priority="4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5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FDD-C476-4FE6-B890-05884597F111}">
  <sheetPr filterMode="1">
    <tabColor theme="4"/>
  </sheetPr>
  <dimension ref="A1:N664"/>
  <sheetViews>
    <sheetView zoomScale="25" zoomScaleNormal="25" zoomScaleSheetLayoutView="34" workbookViewId="0">
      <pane xSplit="1" ySplit="2" topLeftCell="B3" activePane="bottomRight" state="frozen"/>
      <selection activeCell="E27" sqref="E27"/>
      <selection pane="topRight" activeCell="E27" sqref="E27"/>
      <selection pane="bottomLeft" activeCell="E27" sqref="E27"/>
      <selection pane="bottomRight" activeCell="M7" sqref="M7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customWidth="1"/>
    <col min="5" max="5" width="175.5429687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5" width="22.26953125" style="2" bestFit="1" customWidth="1"/>
    <col min="16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9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355</v>
      </c>
      <c r="B3" s="18" t="s">
        <v>356</v>
      </c>
      <c r="C3" s="19" t="s">
        <v>63</v>
      </c>
      <c r="D3" s="20" t="s">
        <v>71</v>
      </c>
      <c r="E3" s="21" t="s">
        <v>72</v>
      </c>
      <c r="F3" s="22">
        <v>100</v>
      </c>
      <c r="G3" s="23">
        <v>3</v>
      </c>
      <c r="H3" s="24">
        <v>3</v>
      </c>
      <c r="I3" s="25" t="s">
        <v>73</v>
      </c>
      <c r="J3" s="25" t="s">
        <v>27</v>
      </c>
      <c r="K3" s="25" t="s">
        <v>74</v>
      </c>
      <c r="L3" s="26">
        <v>4</v>
      </c>
      <c r="M3" s="27" t="s">
        <v>246</v>
      </c>
      <c r="N3" s="28">
        <v>46178</v>
      </c>
    </row>
    <row r="4" spans="1:14" s="3" customFormat="1" ht="70" customHeight="1" x14ac:dyDescent="0.35">
      <c r="A4" s="17" t="s">
        <v>357</v>
      </c>
      <c r="B4" s="18" t="s">
        <v>358</v>
      </c>
      <c r="C4" s="19" t="s">
        <v>63</v>
      </c>
      <c r="D4" s="20" t="s">
        <v>359</v>
      </c>
      <c r="E4" s="21" t="s">
        <v>360</v>
      </c>
      <c r="F4" s="22">
        <v>30</v>
      </c>
      <c r="G4" s="23">
        <v>1</v>
      </c>
      <c r="H4" s="24">
        <v>1</v>
      </c>
      <c r="I4" s="25" t="s">
        <v>73</v>
      </c>
      <c r="J4" s="25" t="s">
        <v>27</v>
      </c>
      <c r="K4" s="25" t="s">
        <v>28</v>
      </c>
      <c r="L4" s="26"/>
      <c r="M4" s="27"/>
      <c r="N4" s="28">
        <v>46178</v>
      </c>
    </row>
    <row r="5" spans="1:14" s="3" customFormat="1" ht="70" customHeight="1" x14ac:dyDescent="0.35">
      <c r="A5" s="62"/>
      <c r="B5" s="63"/>
      <c r="C5" s="64"/>
      <c r="D5" s="65"/>
      <c r="E5" s="66"/>
      <c r="F5" s="67"/>
      <c r="G5" s="68"/>
      <c r="H5" s="69"/>
      <c r="I5" s="70"/>
      <c r="J5" s="70"/>
      <c r="K5" s="70"/>
      <c r="L5" s="71"/>
      <c r="M5" s="72"/>
      <c r="N5" s="28"/>
    </row>
    <row r="6" spans="1:14" s="3" customFormat="1" ht="70" customHeight="1" x14ac:dyDescent="0.35">
      <c r="A6" s="17" t="s">
        <v>361</v>
      </c>
      <c r="B6" s="18" t="s">
        <v>362</v>
      </c>
      <c r="C6" s="19" t="s">
        <v>54</v>
      </c>
      <c r="D6" s="20" t="s">
        <v>363</v>
      </c>
      <c r="E6" s="21" t="s">
        <v>364</v>
      </c>
      <c r="F6" s="22">
        <v>50</v>
      </c>
      <c r="G6" s="23">
        <v>2</v>
      </c>
      <c r="H6" s="24">
        <v>2</v>
      </c>
      <c r="I6" s="25" t="s">
        <v>77</v>
      </c>
      <c r="J6" s="25" t="s">
        <v>27</v>
      </c>
      <c r="K6" s="25" t="s">
        <v>78</v>
      </c>
      <c r="L6" s="26">
        <v>2</v>
      </c>
      <c r="M6" s="40" t="s">
        <v>246</v>
      </c>
      <c r="N6" s="28">
        <v>46178</v>
      </c>
    </row>
    <row r="7" spans="1:14" s="3" customFormat="1" ht="70" customHeight="1" x14ac:dyDescent="0.35">
      <c r="A7" s="62"/>
      <c r="B7" s="63"/>
      <c r="C7" s="64"/>
      <c r="D7" s="65"/>
      <c r="E7" s="66"/>
      <c r="F7" s="67"/>
      <c r="G7" s="68"/>
      <c r="H7" s="69"/>
      <c r="I7" s="70"/>
      <c r="J7" s="70"/>
      <c r="K7" s="70"/>
      <c r="L7" s="71"/>
      <c r="M7" s="73"/>
      <c r="N7" s="28"/>
    </row>
    <row r="8" spans="1:14" s="3" customFormat="1" ht="70" customHeight="1" x14ac:dyDescent="0.35">
      <c r="A8" s="17" t="s">
        <v>365</v>
      </c>
      <c r="B8" s="18" t="s">
        <v>366</v>
      </c>
      <c r="C8" s="19" t="s">
        <v>105</v>
      </c>
      <c r="D8" s="20" t="s">
        <v>367</v>
      </c>
      <c r="E8" s="21" t="s">
        <v>368</v>
      </c>
      <c r="F8" s="22">
        <v>30</v>
      </c>
      <c r="G8" s="23">
        <v>1</v>
      </c>
      <c r="H8" s="24">
        <v>1</v>
      </c>
      <c r="I8" s="25" t="s">
        <v>369</v>
      </c>
      <c r="J8" s="25" t="s">
        <v>370</v>
      </c>
      <c r="K8" s="25" t="s">
        <v>67</v>
      </c>
      <c r="L8" s="26">
        <v>1</v>
      </c>
      <c r="M8" s="27" t="s">
        <v>378</v>
      </c>
      <c r="N8" s="28">
        <v>46178</v>
      </c>
    </row>
    <row r="9" spans="1:14" s="3" customFormat="1" ht="70" customHeight="1" x14ac:dyDescent="0.35">
      <c r="A9" s="62"/>
      <c r="B9" s="63"/>
      <c r="C9" s="64"/>
      <c r="D9" s="65"/>
      <c r="E9" s="66"/>
      <c r="F9" s="67"/>
      <c r="G9" s="68"/>
      <c r="H9" s="69"/>
      <c r="I9" s="70"/>
      <c r="J9" s="70"/>
      <c r="K9" s="70"/>
      <c r="L9" s="71"/>
      <c r="M9" s="72"/>
      <c r="N9" s="28"/>
    </row>
    <row r="10" spans="1:14" s="3" customFormat="1" ht="70" customHeight="1" x14ac:dyDescent="0.35">
      <c r="A10" s="17" t="s">
        <v>371</v>
      </c>
      <c r="B10" s="18" t="s">
        <v>372</v>
      </c>
      <c r="C10" s="19" t="s">
        <v>373</v>
      </c>
      <c r="D10" s="20" t="s">
        <v>374</v>
      </c>
      <c r="E10" s="21" t="s">
        <v>375</v>
      </c>
      <c r="F10" s="22">
        <v>50</v>
      </c>
      <c r="G10" s="23">
        <v>2</v>
      </c>
      <c r="H10" s="24">
        <v>2</v>
      </c>
      <c r="I10" s="25" t="s">
        <v>376</v>
      </c>
      <c r="J10" s="25" t="s">
        <v>27</v>
      </c>
      <c r="K10" s="25" t="s">
        <v>377</v>
      </c>
      <c r="L10" s="26">
        <v>2</v>
      </c>
      <c r="M10" s="27" t="s">
        <v>246</v>
      </c>
      <c r="N10" s="28">
        <v>46178</v>
      </c>
    </row>
    <row r="11" spans="1:14" s="3" customFormat="1" ht="70" hidden="1" customHeight="1" x14ac:dyDescent="0.35">
      <c r="A11" s="17"/>
      <c r="B11" s="18" t="e">
        <f>VLOOKUP(A11,'[2]master plan'!A:C,3,0)</f>
        <v>#N/A</v>
      </c>
      <c r="C11" s="19" t="e">
        <f>VLOOKUP($A11,'[2]master plan'!$A:$N,5,0)</f>
        <v>#N/A</v>
      </c>
      <c r="D11" s="20" t="e">
        <f>VLOOKUP($A11,'[2]master plan'!$A:$N,6,0)</f>
        <v>#N/A</v>
      </c>
      <c r="E11" s="21" t="e">
        <f>VLOOKUP(A11,'[2]master plan'!A:G,7,0)</f>
        <v>#N/A</v>
      </c>
      <c r="F11" s="22" t="e">
        <f>VLOOKUP(A11,'[2]master plan'!A:H,8,0)</f>
        <v>#N/A</v>
      </c>
      <c r="G11" s="23" t="e">
        <f>VLOOKUP(A11,'[2]master plan'!A:W,23,0)</f>
        <v>#N/A</v>
      </c>
      <c r="H11" s="24" t="e">
        <f>VLOOKUP(A11,'[2]master plan'!A:W,23,0)</f>
        <v>#N/A</v>
      </c>
      <c r="I11" s="25" t="e">
        <f>VLOOKUP($A11,'[2]master plan'!$A:$N,12,0)</f>
        <v>#N/A</v>
      </c>
      <c r="J11" s="25" t="e">
        <f>VLOOKUP($A11,'[2]master plan'!$A:$N,13,0)</f>
        <v>#N/A</v>
      </c>
      <c r="K11" s="25" t="e">
        <f>VLOOKUP($A11,'[2]master plan'!$A:$N,14,0)</f>
        <v>#N/A</v>
      </c>
      <c r="L11" s="26"/>
      <c r="M11" s="27"/>
      <c r="N11" s="28" t="str">
        <f>_xlfn.IFNA(VLOOKUP(A11,'[2]master plan'!A:R,18,0),"")</f>
        <v/>
      </c>
    </row>
    <row r="12" spans="1:14" s="3" customFormat="1" ht="70" hidden="1" customHeight="1" x14ac:dyDescent="0.35">
      <c r="A12" s="17"/>
      <c r="B12" s="18" t="e">
        <f>VLOOKUP(A12,'[2]master plan'!A:C,3,0)</f>
        <v>#N/A</v>
      </c>
      <c r="C12" s="19" t="e">
        <f>VLOOKUP($A12,'[2]master plan'!$A:$N,5,0)</f>
        <v>#N/A</v>
      </c>
      <c r="D12" s="20" t="e">
        <f>VLOOKUP($A12,'[2]master plan'!$A:$N,6,0)</f>
        <v>#N/A</v>
      </c>
      <c r="E12" s="21" t="e">
        <f>VLOOKUP(A12,'[2]master plan'!A:G,7,0)</f>
        <v>#N/A</v>
      </c>
      <c r="F12" s="22" t="e">
        <f>VLOOKUP(A12,'[2]master plan'!A:H,8,0)</f>
        <v>#N/A</v>
      </c>
      <c r="G12" s="23" t="e">
        <f>VLOOKUP(A12,'[2]master plan'!A:W,23,0)</f>
        <v>#N/A</v>
      </c>
      <c r="H12" s="24" t="e">
        <f>VLOOKUP(A12,'[2]master plan'!A:W,23,0)</f>
        <v>#N/A</v>
      </c>
      <c r="I12" s="25" t="e">
        <f>VLOOKUP($A12,'[2]master plan'!$A:$N,12,0)</f>
        <v>#N/A</v>
      </c>
      <c r="J12" s="25" t="e">
        <f>VLOOKUP($A12,'[2]master plan'!$A:$N,13,0)</f>
        <v>#N/A</v>
      </c>
      <c r="K12" s="25" t="e">
        <f>VLOOKUP($A12,'[2]master plan'!$A:$N,14,0)</f>
        <v>#N/A</v>
      </c>
      <c r="L12" s="26"/>
      <c r="M12" s="40"/>
      <c r="N12" s="28" t="str">
        <f>_xlfn.IFNA(VLOOKUP(A12,'[2]master plan'!A:R,18,0),"")</f>
        <v/>
      </c>
    </row>
    <row r="13" spans="1:14" s="3" customFormat="1" ht="70" hidden="1" customHeight="1" x14ac:dyDescent="0.35">
      <c r="A13" s="17"/>
      <c r="B13" s="18" t="e">
        <f>VLOOKUP(A13,'[2]master plan'!A:C,3,0)</f>
        <v>#N/A</v>
      </c>
      <c r="C13" s="19" t="e">
        <f>VLOOKUP($A13,'[2]master plan'!$A:$N,5,0)</f>
        <v>#N/A</v>
      </c>
      <c r="D13" s="20" t="e">
        <f>VLOOKUP($A13,'[2]master plan'!$A:$N,6,0)</f>
        <v>#N/A</v>
      </c>
      <c r="E13" s="21" t="e">
        <f>VLOOKUP(A13,'[2]master plan'!A:G,7,0)</f>
        <v>#N/A</v>
      </c>
      <c r="F13" s="22" t="e">
        <f>VLOOKUP(A13,'[2]master plan'!A:H,8,0)</f>
        <v>#N/A</v>
      </c>
      <c r="G13" s="23" t="e">
        <f>VLOOKUP(A13,'[2]master plan'!A:W,23,0)</f>
        <v>#N/A</v>
      </c>
      <c r="H13" s="24" t="e">
        <f>VLOOKUP(A13,'[2]master plan'!A:W,23,0)</f>
        <v>#N/A</v>
      </c>
      <c r="I13" s="25" t="e">
        <f>VLOOKUP($A13,'[2]master plan'!$A:$N,12,0)</f>
        <v>#N/A</v>
      </c>
      <c r="J13" s="25" t="e">
        <f>VLOOKUP($A13,'[2]master plan'!$A:$N,13,0)</f>
        <v>#N/A</v>
      </c>
      <c r="K13" s="25" t="e">
        <f>VLOOKUP($A13,'[2]master plan'!$A:$N,14,0)</f>
        <v>#N/A</v>
      </c>
      <c r="L13" s="26"/>
      <c r="M13" s="27"/>
      <c r="N13" s="28" t="str">
        <f>_xlfn.IFNA(VLOOKUP(A13,'[2]master plan'!A:R,18,0),"")</f>
        <v/>
      </c>
    </row>
    <row r="14" spans="1:14" s="3" customFormat="1" ht="70" hidden="1" customHeight="1" x14ac:dyDescent="0.35">
      <c r="A14" s="17"/>
      <c r="B14" s="18" t="e">
        <f>VLOOKUP(A14,'[2]master plan'!A:C,3,0)</f>
        <v>#N/A</v>
      </c>
      <c r="C14" s="19" t="e">
        <f>VLOOKUP($A14,'[2]master plan'!$A:$N,5,0)</f>
        <v>#N/A</v>
      </c>
      <c r="D14" s="20" t="e">
        <f>VLOOKUP($A14,'[2]master plan'!$A:$N,6,0)</f>
        <v>#N/A</v>
      </c>
      <c r="E14" s="21" t="e">
        <f>VLOOKUP(A14,'[2]master plan'!A:G,7,0)</f>
        <v>#N/A</v>
      </c>
      <c r="F14" s="22" t="e">
        <f>VLOOKUP(A14,'[2]master plan'!A:H,8,0)</f>
        <v>#N/A</v>
      </c>
      <c r="G14" s="23" t="e">
        <f>VLOOKUP(A14,'[2]master plan'!A:W,23,0)</f>
        <v>#N/A</v>
      </c>
      <c r="H14" s="24" t="e">
        <f>VLOOKUP(A14,'[2]master plan'!A:W,23,0)</f>
        <v>#N/A</v>
      </c>
      <c r="I14" s="25" t="e">
        <f>VLOOKUP($A14,'[2]master plan'!$A:$N,12,0)</f>
        <v>#N/A</v>
      </c>
      <c r="J14" s="25" t="e">
        <f>VLOOKUP($A14,'[2]master plan'!$A:$N,13,0)</f>
        <v>#N/A</v>
      </c>
      <c r="K14" s="25" t="e">
        <f>VLOOKUP($A14,'[2]master plan'!$A:$N,14,0)</f>
        <v>#N/A</v>
      </c>
      <c r="L14" s="26"/>
      <c r="M14" s="27"/>
      <c r="N14" s="28" t="str">
        <f>_xlfn.IFNA(VLOOKUP(A14,'[2]master plan'!A:R,18,0),"")</f>
        <v/>
      </c>
    </row>
    <row r="15" spans="1:14" s="3" customFormat="1" ht="70" hidden="1" customHeight="1" x14ac:dyDescent="0.35">
      <c r="A15" s="17"/>
      <c r="B15" s="18" t="e">
        <f>VLOOKUP(A15,'[2]master plan'!A:C,3,0)</f>
        <v>#N/A</v>
      </c>
      <c r="C15" s="19" t="e">
        <f>VLOOKUP($A15,'[2]master plan'!$A:$N,5,0)</f>
        <v>#N/A</v>
      </c>
      <c r="D15" s="20" t="e">
        <f>VLOOKUP($A15,'[2]master plan'!$A:$N,6,0)</f>
        <v>#N/A</v>
      </c>
      <c r="E15" s="21" t="e">
        <f>VLOOKUP(A15,'[2]master plan'!A:G,7,0)</f>
        <v>#N/A</v>
      </c>
      <c r="F15" s="22" t="e">
        <f>VLOOKUP(A15,'[2]master plan'!A:H,8,0)</f>
        <v>#N/A</v>
      </c>
      <c r="G15" s="23" t="e">
        <f>VLOOKUP(A15,'[2]master plan'!A:W,23,0)</f>
        <v>#N/A</v>
      </c>
      <c r="H15" s="24" t="e">
        <f>VLOOKUP(A15,'[2]master plan'!A:W,23,0)</f>
        <v>#N/A</v>
      </c>
      <c r="I15" s="25" t="e">
        <f>VLOOKUP($A15,'[2]master plan'!$A:$N,12,0)</f>
        <v>#N/A</v>
      </c>
      <c r="J15" s="25" t="e">
        <f>VLOOKUP($A15,'[2]master plan'!$A:$N,13,0)</f>
        <v>#N/A</v>
      </c>
      <c r="K15" s="25" t="e">
        <f>VLOOKUP($A15,'[2]master plan'!$A:$N,14,0)</f>
        <v>#N/A</v>
      </c>
      <c r="L15" s="26"/>
      <c r="M15" s="40"/>
      <c r="N15" s="28" t="str">
        <f>_xlfn.IFNA(VLOOKUP(A15,'[2]master plan'!A:R,18,0),"")</f>
        <v/>
      </c>
    </row>
    <row r="16" spans="1:14" s="3" customFormat="1" ht="70" hidden="1" customHeight="1" x14ac:dyDescent="0.35">
      <c r="A16" s="17"/>
      <c r="B16" s="18" t="e">
        <f>VLOOKUP(A16,'[2]master plan'!A:C,3,0)</f>
        <v>#N/A</v>
      </c>
      <c r="C16" s="19" t="e">
        <f>VLOOKUP($A16,'[2]master plan'!$A:$N,5,0)</f>
        <v>#N/A</v>
      </c>
      <c r="D16" s="20" t="e">
        <f>VLOOKUP($A16,'[2]master plan'!$A:$N,6,0)</f>
        <v>#N/A</v>
      </c>
      <c r="E16" s="21" t="e">
        <f>VLOOKUP(A16,'[2]master plan'!A:G,7,0)</f>
        <v>#N/A</v>
      </c>
      <c r="F16" s="22" t="e">
        <f>VLOOKUP(A16,'[2]master plan'!A:H,8,0)</f>
        <v>#N/A</v>
      </c>
      <c r="G16" s="23" t="e">
        <f>VLOOKUP(A16,'[2]master plan'!A:W,23,0)</f>
        <v>#N/A</v>
      </c>
      <c r="H16" s="24" t="e">
        <f>VLOOKUP(A16,'[2]master plan'!A:W,23,0)</f>
        <v>#N/A</v>
      </c>
      <c r="I16" s="25" t="e">
        <f>VLOOKUP($A16,'[2]master plan'!$A:$N,12,0)</f>
        <v>#N/A</v>
      </c>
      <c r="J16" s="25" t="e">
        <f>VLOOKUP($A16,'[2]master plan'!$A:$N,13,0)</f>
        <v>#N/A</v>
      </c>
      <c r="K16" s="25" t="e">
        <f>VLOOKUP($A16,'[2]master plan'!$A:$N,14,0)</f>
        <v>#N/A</v>
      </c>
      <c r="L16" s="26"/>
      <c r="M16" s="40"/>
      <c r="N16" s="28" t="str">
        <f>_xlfn.IFNA(VLOOKUP(A16,'[2]master plan'!A:R,18,0),"")</f>
        <v/>
      </c>
    </row>
    <row r="17" spans="1:14" s="3" customFormat="1" ht="70" hidden="1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27"/>
      <c r="N17" s="28" t="str">
        <f>_xlfn.IFNA(VLOOKUP(A17,'[2]master plan'!A:R,18,0),"")</f>
        <v/>
      </c>
    </row>
    <row r="18" spans="1:14" s="3" customFormat="1" ht="70" hidden="1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40"/>
      <c r="N18" s="28" t="str">
        <f>_xlfn.IFNA(VLOOKUP(A18,'[2]master plan'!A:R,18,0),"")</f>
        <v/>
      </c>
    </row>
    <row r="19" spans="1:14" s="3" customFormat="1" ht="70" hidden="1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hidden="1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40"/>
      <c r="N20" s="28" t="str">
        <f>_xlfn.IFNA(VLOOKUP(A20,'[2]master plan'!A:R,18,0),"")</f>
        <v/>
      </c>
    </row>
    <row r="21" spans="1:14" s="3" customFormat="1" ht="72" customHeight="1" x14ac:dyDescent="0.35">
      <c r="A21" s="41"/>
      <c r="B21" s="42"/>
      <c r="C21" s="43"/>
      <c r="D21" s="43"/>
      <c r="E21" s="44"/>
      <c r="F21" s="45"/>
      <c r="G21" s="45"/>
      <c r="H21" s="45"/>
      <c r="I21" s="46"/>
      <c r="J21" s="47"/>
      <c r="K21" s="48"/>
      <c r="L21" s="49"/>
      <c r="M21" s="50"/>
      <c r="N21" s="51"/>
    </row>
    <row r="22" spans="1:14" ht="74.25" customHeight="1" x14ac:dyDescent="0.35">
      <c r="L22" s="56"/>
    </row>
    <row r="23" spans="1:14" ht="74.25" customHeight="1" x14ac:dyDescent="0.35">
      <c r="L23" s="56"/>
    </row>
    <row r="24" spans="1:14" ht="74.25" customHeight="1" x14ac:dyDescent="0.35">
      <c r="L24" s="56"/>
    </row>
    <row r="25" spans="1:14" s="54" customFormat="1" ht="74.25" customHeight="1" x14ac:dyDescent="0.35">
      <c r="A25" s="2"/>
      <c r="B25" s="52"/>
      <c r="C25" s="2"/>
      <c r="D25" s="2"/>
      <c r="E25" s="59" t="s">
        <v>21</v>
      </c>
      <c r="G25" s="55"/>
      <c r="I25" s="53"/>
      <c r="J25" s="53"/>
      <c r="K25" s="53"/>
      <c r="L25" s="56"/>
      <c r="M25" s="57"/>
      <c r="N25" s="58"/>
    </row>
    <row r="26" spans="1:14" ht="74.25" customHeight="1" x14ac:dyDescent="0.35">
      <c r="L26" s="56"/>
    </row>
    <row r="27" spans="1:14" ht="74.25" customHeight="1" x14ac:dyDescent="0.35">
      <c r="L27" s="56"/>
    </row>
    <row r="28" spans="1:14" s="10" customFormat="1" ht="74.25" customHeight="1" x14ac:dyDescent="0.35">
      <c r="A28" s="2"/>
      <c r="B28" s="52"/>
      <c r="C28" s="2"/>
      <c r="D28" s="2"/>
      <c r="E28" s="53"/>
      <c r="F28" s="54"/>
      <c r="G28" s="54"/>
      <c r="H28" s="55"/>
      <c r="I28" s="53"/>
      <c r="J28" s="53"/>
      <c r="K28" s="53"/>
      <c r="L28" s="56"/>
      <c r="M28" s="57"/>
      <c r="N28" s="58"/>
    </row>
    <row r="29" spans="1:14" s="10" customFormat="1" ht="74.25" customHeight="1" x14ac:dyDescent="0.35">
      <c r="A29" s="2"/>
      <c r="B29" s="52"/>
      <c r="C29" s="2"/>
      <c r="D29" s="2"/>
      <c r="E29" s="53"/>
      <c r="F29" s="54"/>
      <c r="G29" s="54"/>
      <c r="H29" s="55"/>
      <c r="I29" s="53"/>
      <c r="J29" s="53"/>
      <c r="K29" s="53"/>
      <c r="L29" s="56"/>
      <c r="M29" s="57"/>
      <c r="N29" s="58"/>
    </row>
    <row r="30" spans="1:14" s="10" customFormat="1" ht="74.25" customHeight="1" x14ac:dyDescent="0.35">
      <c r="A30" s="2"/>
      <c r="B30" s="52"/>
      <c r="C30" s="2"/>
      <c r="D30" s="2"/>
      <c r="E30" s="53"/>
      <c r="F30" s="54"/>
      <c r="G30" s="54"/>
      <c r="H30" s="55"/>
      <c r="I30" s="53"/>
      <c r="J30" s="53"/>
      <c r="K30" s="53"/>
      <c r="L30" s="56"/>
      <c r="M30" s="57"/>
      <c r="N30" s="58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664" spans="1:14" s="54" customFormat="1" ht="74.25" customHeight="1" x14ac:dyDescent="0.35">
      <c r="A664" s="2"/>
      <c r="B664" s="52"/>
      <c r="C664" s="2"/>
      <c r="D664" s="2"/>
      <c r="E664" s="60"/>
      <c r="H664" s="55"/>
      <c r="I664" s="53"/>
      <c r="J664" s="53"/>
      <c r="K664" s="53"/>
      <c r="L664" s="61"/>
      <c r="M664" s="57"/>
      <c r="N664" s="58"/>
    </row>
  </sheetData>
  <protectedRanges>
    <protectedRange algorithmName="SHA-512" hashValue="e1FOu1UlwA7reaiyQlEGzbU6dAFPyHPlKfgo6VzFBBobawyOfUsh2c/+wjC8bICpcXVPmRerMGA9+qKsw5p7Iw==" saltValue="UD2tVZrxqZTGI3vDzMBrHw==" spinCount="100000" sqref="E3:E20" name="Range1_1"/>
  </protectedRanges>
  <autoFilter ref="A2:N21" xr:uid="{E2BC4C4A-3703-4A99-A30B-53817C3A378F}">
    <filterColumn colId="1">
      <filters blank="1">
        <filter val="RPRO-260601-0847"/>
        <filter val="RPRO-260601-0848"/>
        <filter val="RPRO-260601-0849"/>
        <filter val="RPRO-260601-0850"/>
        <filter val="RPRO-260601-0851"/>
      </filters>
    </filterColumn>
  </autoFilter>
  <mergeCells count="1">
    <mergeCell ref="D1:F1"/>
  </mergeCells>
  <conditionalFormatting sqref="A2">
    <cfRule type="duplicateValues" dxfId="13" priority="5"/>
  </conditionalFormatting>
  <conditionalFormatting sqref="A3:A20">
    <cfRule type="duplicateValues" dxfId="12" priority="7"/>
  </conditionalFormatting>
  <conditionalFormatting sqref="A23:A1048576">
    <cfRule type="duplicateValues" dxfId="11" priority="6"/>
  </conditionalFormatting>
  <conditionalFormatting sqref="C1:C1048576">
    <cfRule type="duplicateValues" dxfId="10" priority="1"/>
    <cfRule type="duplicateValues" dxfId="9" priority="2"/>
  </conditionalFormatting>
  <conditionalFormatting sqref="I2:M2">
    <cfRule type="duplicateValues" dxfId="8" priority="4"/>
  </conditionalFormatting>
  <conditionalFormatting sqref="N1">
    <cfRule type="duplicateValues" dxfId="7" priority="3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1" max="1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68E0-ADB4-4444-A4B8-EE9F960C9A25}">
  <sheetPr filterMode="1">
    <tabColor theme="4"/>
  </sheetPr>
  <dimension ref="A1:N667"/>
  <sheetViews>
    <sheetView tabSelected="1" zoomScale="25" zoomScaleNormal="25" zoomScaleSheetLayoutView="34" workbookViewId="0">
      <pane xSplit="1" ySplit="2" topLeftCell="B3" activePane="bottomRight" state="frozen"/>
      <selection activeCell="E27" sqref="E27"/>
      <selection pane="topRight" activeCell="E27" sqref="E27"/>
      <selection pane="bottomLeft" activeCell="E27" sqref="E27"/>
      <selection pane="bottomRight" activeCell="AB6" sqref="AB6"/>
    </sheetView>
  </sheetViews>
  <sheetFormatPr defaultColWidth="9.1796875" defaultRowHeight="74.25" customHeight="1" x14ac:dyDescent="0.35"/>
  <cols>
    <col min="1" max="1" width="30.26953125" style="2" customWidth="1"/>
    <col min="2" max="2" width="41.453125" style="52" customWidth="1"/>
    <col min="3" max="3" width="26.81640625" style="2" customWidth="1"/>
    <col min="4" max="4" width="28.81640625" style="2" hidden="1" customWidth="1"/>
    <col min="5" max="5" width="140.1796875" style="53" customWidth="1"/>
    <col min="6" max="6" width="19.1796875" style="54" customWidth="1"/>
    <col min="7" max="7" width="19" style="54" customWidth="1"/>
    <col min="8" max="8" width="17.1796875" style="55" customWidth="1"/>
    <col min="9" max="9" width="20.1796875" style="53" customWidth="1"/>
    <col min="10" max="10" width="20.1796875" style="53" hidden="1" customWidth="1"/>
    <col min="11" max="11" width="33.54296875" style="53" customWidth="1"/>
    <col min="12" max="12" width="21.453125" style="61" customWidth="1"/>
    <col min="13" max="13" width="22" style="57" customWidth="1"/>
    <col min="14" max="14" width="28.1796875" style="58" customWidth="1"/>
    <col min="15" max="15" width="22.26953125" style="2" bestFit="1" customWidth="1"/>
    <col min="16" max="16384" width="9.1796875" style="2"/>
  </cols>
  <sheetData>
    <row r="1" spans="1:14" ht="128.5" customHeight="1" x14ac:dyDescent="0.35">
      <c r="A1" s="1" t="s">
        <v>0</v>
      </c>
      <c r="B1" s="1">
        <f ca="1">NOW()</f>
        <v>46176.520486574074</v>
      </c>
      <c r="D1" s="80" t="s">
        <v>1</v>
      </c>
      <c r="E1" s="80"/>
      <c r="F1" s="80"/>
      <c r="G1" s="3"/>
      <c r="H1" s="4"/>
      <c r="I1" s="5"/>
      <c r="J1" s="6"/>
      <c r="K1" s="7"/>
      <c r="L1" s="8">
        <f>SUBTOTAL(9,L2:L1048576)</f>
        <v>16</v>
      </c>
      <c r="M1" s="7"/>
      <c r="N1" s="9"/>
    </row>
    <row r="2" spans="1:14" s="16" customFormat="1" ht="132.75" customHeight="1" x14ac:dyDescent="0.35">
      <c r="A2" s="11" t="s">
        <v>2</v>
      </c>
      <c r="B2" s="12" t="s">
        <v>3</v>
      </c>
      <c r="C2" s="11" t="s">
        <v>4</v>
      </c>
      <c r="D2" s="11" t="s">
        <v>5</v>
      </c>
      <c r="E2" s="13" t="s">
        <v>6</v>
      </c>
      <c r="F2" s="11" t="s">
        <v>7</v>
      </c>
      <c r="G2" s="11" t="s">
        <v>8</v>
      </c>
      <c r="H2" s="11" t="s">
        <v>9</v>
      </c>
      <c r="I2" s="11" t="s">
        <v>10</v>
      </c>
      <c r="J2" s="11" t="s">
        <v>11</v>
      </c>
      <c r="K2" s="11" t="s">
        <v>12</v>
      </c>
      <c r="L2" s="14" t="s">
        <v>13</v>
      </c>
      <c r="M2" s="11" t="s">
        <v>14</v>
      </c>
      <c r="N2" s="15" t="s">
        <v>15</v>
      </c>
    </row>
    <row r="3" spans="1:14" s="3" customFormat="1" ht="70" customHeight="1" x14ac:dyDescent="0.35">
      <c r="A3" s="17" t="s">
        <v>379</v>
      </c>
      <c r="B3" s="18" t="s">
        <v>380</v>
      </c>
      <c r="C3" s="19" t="s">
        <v>172</v>
      </c>
      <c r="D3" s="20" t="s">
        <v>381</v>
      </c>
      <c r="E3" s="21" t="s">
        <v>382</v>
      </c>
      <c r="F3" s="22">
        <v>10</v>
      </c>
      <c r="G3" s="23">
        <v>2</v>
      </c>
      <c r="H3" s="24">
        <v>2</v>
      </c>
      <c r="I3" s="25" t="s">
        <v>77</v>
      </c>
      <c r="J3" s="25" t="s">
        <v>27</v>
      </c>
      <c r="K3" s="25" t="s">
        <v>383</v>
      </c>
      <c r="L3" s="26">
        <v>2</v>
      </c>
      <c r="M3" s="27" t="s">
        <v>246</v>
      </c>
      <c r="N3" s="28">
        <v>46178</v>
      </c>
    </row>
    <row r="4" spans="1:14" s="3" customFormat="1" ht="70" customHeight="1" x14ac:dyDescent="0.35">
      <c r="A4" s="62"/>
      <c r="B4" s="63"/>
      <c r="C4" s="64"/>
      <c r="D4" s="65"/>
      <c r="E4" s="66"/>
      <c r="F4" s="67"/>
      <c r="G4" s="68"/>
      <c r="H4" s="69"/>
      <c r="I4" s="70"/>
      <c r="J4" s="25"/>
      <c r="K4" s="70"/>
      <c r="L4" s="71"/>
      <c r="M4" s="72"/>
      <c r="N4" s="76"/>
    </row>
    <row r="5" spans="1:14" s="3" customFormat="1" ht="70" customHeight="1" x14ac:dyDescent="0.35">
      <c r="A5" s="17" t="s">
        <v>384</v>
      </c>
      <c r="B5" s="18" t="s">
        <v>385</v>
      </c>
      <c r="C5" s="19" t="s">
        <v>386</v>
      </c>
      <c r="D5" s="20" t="s">
        <v>387</v>
      </c>
      <c r="E5" s="21" t="s">
        <v>388</v>
      </c>
      <c r="F5" s="22">
        <v>30</v>
      </c>
      <c r="G5" s="23">
        <v>2</v>
      </c>
      <c r="H5" s="24">
        <v>2</v>
      </c>
      <c r="I5" s="25" t="s">
        <v>258</v>
      </c>
      <c r="J5" s="25" t="s">
        <v>299</v>
      </c>
      <c r="K5" s="25" t="s">
        <v>28</v>
      </c>
      <c r="L5" s="26">
        <v>2</v>
      </c>
      <c r="M5" s="27" t="s">
        <v>320</v>
      </c>
      <c r="N5" s="28">
        <v>46178</v>
      </c>
    </row>
    <row r="6" spans="1:14" s="3" customFormat="1" ht="70" customHeight="1" x14ac:dyDescent="0.35">
      <c r="A6" s="62"/>
      <c r="B6" s="63"/>
      <c r="C6" s="64"/>
      <c r="D6" s="65"/>
      <c r="E6" s="66"/>
      <c r="F6" s="67"/>
      <c r="G6" s="68"/>
      <c r="H6" s="69"/>
      <c r="I6" s="70"/>
      <c r="J6" s="25"/>
      <c r="K6" s="70"/>
      <c r="L6" s="71"/>
      <c r="M6" s="72"/>
      <c r="N6" s="76"/>
    </row>
    <row r="7" spans="1:14" s="3" customFormat="1" ht="70" customHeight="1" x14ac:dyDescent="0.35">
      <c r="A7" s="17" t="s">
        <v>389</v>
      </c>
      <c r="B7" s="18" t="s">
        <v>390</v>
      </c>
      <c r="C7" s="19" t="s">
        <v>391</v>
      </c>
      <c r="D7" s="20" t="s">
        <v>392</v>
      </c>
      <c r="E7" s="21" t="s">
        <v>393</v>
      </c>
      <c r="F7" s="22">
        <v>30</v>
      </c>
      <c r="G7" s="23">
        <v>4</v>
      </c>
      <c r="H7" s="24">
        <v>4</v>
      </c>
      <c r="I7" s="25" t="s">
        <v>394</v>
      </c>
      <c r="J7" s="25" t="s">
        <v>27</v>
      </c>
      <c r="K7" s="25" t="s">
        <v>28</v>
      </c>
      <c r="L7" s="26">
        <v>4</v>
      </c>
      <c r="M7" s="40" t="s">
        <v>246</v>
      </c>
      <c r="N7" s="28">
        <v>46179</v>
      </c>
    </row>
    <row r="8" spans="1:14" s="3" customFormat="1" ht="70" customHeight="1" x14ac:dyDescent="0.35">
      <c r="A8" s="62"/>
      <c r="B8" s="63"/>
      <c r="C8" s="64"/>
      <c r="D8" s="65"/>
      <c r="E8" s="66"/>
      <c r="F8" s="67"/>
      <c r="G8" s="68"/>
      <c r="H8" s="69"/>
      <c r="I8" s="70"/>
      <c r="J8" s="25"/>
      <c r="K8" s="70"/>
      <c r="L8" s="71"/>
      <c r="M8" s="73"/>
      <c r="N8" s="76"/>
    </row>
    <row r="9" spans="1:14" s="3" customFormat="1" ht="70" customHeight="1" x14ac:dyDescent="0.35">
      <c r="A9" s="17" t="s">
        <v>395</v>
      </c>
      <c r="B9" s="18" t="s">
        <v>396</v>
      </c>
      <c r="C9" s="19" t="s">
        <v>181</v>
      </c>
      <c r="D9" s="20" t="s">
        <v>397</v>
      </c>
      <c r="E9" s="21" t="s">
        <v>398</v>
      </c>
      <c r="F9" s="22">
        <v>20</v>
      </c>
      <c r="G9" s="23">
        <v>3</v>
      </c>
      <c r="H9" s="24">
        <v>3</v>
      </c>
      <c r="I9" s="25" t="s">
        <v>394</v>
      </c>
      <c r="J9" s="25" t="s">
        <v>27</v>
      </c>
      <c r="K9" s="25" t="s">
        <v>28</v>
      </c>
      <c r="L9" s="26">
        <v>3</v>
      </c>
      <c r="M9" s="27" t="s">
        <v>246</v>
      </c>
      <c r="N9" s="28">
        <v>46179</v>
      </c>
    </row>
    <row r="10" spans="1:14" s="3" customFormat="1" ht="70" customHeight="1" x14ac:dyDescent="0.35">
      <c r="A10" s="62"/>
      <c r="B10" s="63"/>
      <c r="C10" s="64"/>
      <c r="D10" s="65"/>
      <c r="E10" s="66"/>
      <c r="F10" s="67"/>
      <c r="G10" s="68"/>
      <c r="H10" s="69"/>
      <c r="I10" s="70"/>
      <c r="J10" s="70"/>
      <c r="K10" s="70"/>
      <c r="L10" s="71"/>
      <c r="M10" s="72"/>
      <c r="N10" s="76"/>
    </row>
    <row r="11" spans="1:14" s="3" customFormat="1" ht="70" customHeight="1" x14ac:dyDescent="0.35">
      <c r="A11" s="17" t="s">
        <v>399</v>
      </c>
      <c r="B11" s="18" t="s">
        <v>400</v>
      </c>
      <c r="C11" s="19" t="s">
        <v>63</v>
      </c>
      <c r="D11" s="20" t="s">
        <v>401</v>
      </c>
      <c r="E11" s="21" t="s">
        <v>402</v>
      </c>
      <c r="F11" s="22">
        <v>30</v>
      </c>
      <c r="G11" s="23">
        <v>2</v>
      </c>
      <c r="H11" s="24">
        <v>2</v>
      </c>
      <c r="I11" s="25" t="s">
        <v>394</v>
      </c>
      <c r="J11" s="25" t="s">
        <v>27</v>
      </c>
      <c r="K11" s="25" t="s">
        <v>28</v>
      </c>
      <c r="L11" s="26">
        <v>3</v>
      </c>
      <c r="M11" s="27" t="s">
        <v>325</v>
      </c>
      <c r="N11" s="28">
        <v>46179</v>
      </c>
    </row>
    <row r="12" spans="1:14" s="3" customFormat="1" ht="70" customHeight="1" x14ac:dyDescent="0.35">
      <c r="A12" s="17" t="s">
        <v>403</v>
      </c>
      <c r="B12" s="18" t="s">
        <v>404</v>
      </c>
      <c r="C12" s="19" t="s">
        <v>63</v>
      </c>
      <c r="D12" s="20" t="s">
        <v>405</v>
      </c>
      <c r="E12" s="21" t="s">
        <v>406</v>
      </c>
      <c r="F12" s="22">
        <v>60</v>
      </c>
      <c r="G12" s="23">
        <v>1</v>
      </c>
      <c r="H12" s="24">
        <v>1</v>
      </c>
      <c r="I12" s="25" t="s">
        <v>57</v>
      </c>
      <c r="J12" s="25" t="s">
        <v>407</v>
      </c>
      <c r="K12" s="25" t="s">
        <v>67</v>
      </c>
      <c r="L12" s="26"/>
      <c r="M12" s="40"/>
      <c r="N12" s="28">
        <v>46179</v>
      </c>
    </row>
    <row r="13" spans="1:14" s="3" customFormat="1" ht="70" customHeight="1" x14ac:dyDescent="0.35">
      <c r="A13" s="62"/>
      <c r="B13" s="63"/>
      <c r="C13" s="64"/>
      <c r="D13" s="65"/>
      <c r="E13" s="66"/>
      <c r="F13" s="67"/>
      <c r="G13" s="68"/>
      <c r="H13" s="69"/>
      <c r="I13" s="70"/>
      <c r="J13" s="25"/>
      <c r="K13" s="70"/>
      <c r="L13" s="71"/>
      <c r="M13" s="73"/>
      <c r="N13" s="76"/>
    </row>
    <row r="14" spans="1:14" s="3" customFormat="1" ht="70" customHeight="1" x14ac:dyDescent="0.35">
      <c r="A14" s="17" t="s">
        <v>408</v>
      </c>
      <c r="B14" s="18" t="s">
        <v>409</v>
      </c>
      <c r="C14" s="19" t="s">
        <v>105</v>
      </c>
      <c r="D14" s="20" t="s">
        <v>410</v>
      </c>
      <c r="E14" s="21" t="s">
        <v>411</v>
      </c>
      <c r="F14" s="22">
        <v>30</v>
      </c>
      <c r="G14" s="23">
        <v>1</v>
      </c>
      <c r="H14" s="24">
        <v>1</v>
      </c>
      <c r="I14" s="25" t="s">
        <v>57</v>
      </c>
      <c r="J14" s="25" t="s">
        <v>407</v>
      </c>
      <c r="K14" s="25" t="s">
        <v>67</v>
      </c>
      <c r="L14" s="26">
        <v>1</v>
      </c>
      <c r="M14" s="27" t="s">
        <v>246</v>
      </c>
      <c r="N14" s="28">
        <v>46179</v>
      </c>
    </row>
    <row r="15" spans="1:14" s="3" customFormat="1" ht="70" customHeight="1" x14ac:dyDescent="0.35">
      <c r="A15" s="62"/>
      <c r="B15" s="63"/>
      <c r="C15" s="64"/>
      <c r="D15" s="65"/>
      <c r="E15" s="66"/>
      <c r="F15" s="67"/>
      <c r="G15" s="68"/>
      <c r="H15" s="69"/>
      <c r="I15" s="70"/>
      <c r="J15" s="25"/>
      <c r="K15" s="70"/>
      <c r="L15" s="71"/>
      <c r="M15" s="72"/>
      <c r="N15" s="76"/>
    </row>
    <row r="16" spans="1:14" s="3" customFormat="1" ht="70" customHeight="1" x14ac:dyDescent="0.35">
      <c r="A16" s="17" t="s">
        <v>412</v>
      </c>
      <c r="B16" s="18" t="s">
        <v>413</v>
      </c>
      <c r="C16" s="19" t="s">
        <v>98</v>
      </c>
      <c r="D16" s="20" t="s">
        <v>414</v>
      </c>
      <c r="E16" s="21" t="s">
        <v>415</v>
      </c>
      <c r="F16" s="22">
        <v>50</v>
      </c>
      <c r="G16" s="23">
        <v>1</v>
      </c>
      <c r="H16" s="24">
        <v>1</v>
      </c>
      <c r="I16" s="25" t="s">
        <v>57</v>
      </c>
      <c r="J16" s="25" t="s">
        <v>416</v>
      </c>
      <c r="K16" s="25" t="s">
        <v>67</v>
      </c>
      <c r="L16" s="26">
        <v>1</v>
      </c>
      <c r="M16" s="27" t="s">
        <v>246</v>
      </c>
      <c r="N16" s="28">
        <v>46179</v>
      </c>
    </row>
    <row r="17" spans="1:14" s="3" customFormat="1" ht="70" hidden="1" customHeight="1" x14ac:dyDescent="0.35">
      <c r="A17" s="17"/>
      <c r="B17" s="18" t="e">
        <f>VLOOKUP(A17,'[2]master plan'!A:C,3,0)</f>
        <v>#N/A</v>
      </c>
      <c r="C17" s="19" t="e">
        <f>VLOOKUP($A17,'[2]master plan'!$A:$N,5,0)</f>
        <v>#N/A</v>
      </c>
      <c r="D17" s="20" t="e">
        <f>VLOOKUP($A17,'[2]master plan'!$A:$N,6,0)</f>
        <v>#N/A</v>
      </c>
      <c r="E17" s="21" t="e">
        <f>VLOOKUP(A17,'[2]master plan'!A:G,7,0)</f>
        <v>#N/A</v>
      </c>
      <c r="F17" s="22" t="e">
        <f>VLOOKUP(A17,'[2]master plan'!A:H,8,0)</f>
        <v>#N/A</v>
      </c>
      <c r="G17" s="23" t="e">
        <f>VLOOKUP(A17,'[2]master plan'!A:W,23,0)</f>
        <v>#N/A</v>
      </c>
      <c r="H17" s="24" t="e">
        <f>VLOOKUP(A17,'[2]master plan'!A:W,23,0)</f>
        <v>#N/A</v>
      </c>
      <c r="I17" s="25" t="e">
        <f>VLOOKUP($A17,'[2]master plan'!$A:$N,12,0)</f>
        <v>#N/A</v>
      </c>
      <c r="J17" s="25" t="e">
        <f>VLOOKUP($A17,'[2]master plan'!$A:$N,13,0)</f>
        <v>#N/A</v>
      </c>
      <c r="K17" s="25" t="e">
        <f>VLOOKUP($A17,'[2]master plan'!$A:$N,14,0)</f>
        <v>#N/A</v>
      </c>
      <c r="L17" s="26"/>
      <c r="M17" s="27"/>
      <c r="N17" s="28" t="str">
        <f>_xlfn.IFNA(VLOOKUP(A17,'[2]master plan'!A:R,18,0),"")</f>
        <v/>
      </c>
    </row>
    <row r="18" spans="1:14" s="3" customFormat="1" ht="70" hidden="1" customHeight="1" x14ac:dyDescent="0.35">
      <c r="A18" s="17"/>
      <c r="B18" s="18" t="e">
        <f>VLOOKUP(A18,'[2]master plan'!A:C,3,0)</f>
        <v>#N/A</v>
      </c>
      <c r="C18" s="19" t="e">
        <f>VLOOKUP($A18,'[2]master plan'!$A:$N,5,0)</f>
        <v>#N/A</v>
      </c>
      <c r="D18" s="20" t="e">
        <f>VLOOKUP($A18,'[2]master plan'!$A:$N,6,0)</f>
        <v>#N/A</v>
      </c>
      <c r="E18" s="21" t="e">
        <f>VLOOKUP(A18,'[2]master plan'!A:G,7,0)</f>
        <v>#N/A</v>
      </c>
      <c r="F18" s="22" t="e">
        <f>VLOOKUP(A18,'[2]master plan'!A:H,8,0)</f>
        <v>#N/A</v>
      </c>
      <c r="G18" s="23" t="e">
        <f>VLOOKUP(A18,'[2]master plan'!A:W,23,0)</f>
        <v>#N/A</v>
      </c>
      <c r="H18" s="24" t="e">
        <f>VLOOKUP(A18,'[2]master plan'!A:W,23,0)</f>
        <v>#N/A</v>
      </c>
      <c r="I18" s="25" t="e">
        <f>VLOOKUP($A18,'[2]master plan'!$A:$N,12,0)</f>
        <v>#N/A</v>
      </c>
      <c r="J18" s="25" t="e">
        <f>VLOOKUP($A18,'[2]master plan'!$A:$N,13,0)</f>
        <v>#N/A</v>
      </c>
      <c r="K18" s="25" t="e">
        <f>VLOOKUP($A18,'[2]master plan'!$A:$N,14,0)</f>
        <v>#N/A</v>
      </c>
      <c r="L18" s="26"/>
      <c r="M18" s="40"/>
      <c r="N18" s="28" t="str">
        <f>_xlfn.IFNA(VLOOKUP(A18,'[2]master plan'!A:R,18,0),"")</f>
        <v/>
      </c>
    </row>
    <row r="19" spans="1:14" s="3" customFormat="1" ht="70" hidden="1" customHeight="1" x14ac:dyDescent="0.35">
      <c r="A19" s="17"/>
      <c r="B19" s="18" t="e">
        <f>VLOOKUP(A19,'[2]master plan'!A:C,3,0)</f>
        <v>#N/A</v>
      </c>
      <c r="C19" s="19" t="e">
        <f>VLOOKUP($A19,'[2]master plan'!$A:$N,5,0)</f>
        <v>#N/A</v>
      </c>
      <c r="D19" s="20" t="e">
        <f>VLOOKUP($A19,'[2]master plan'!$A:$N,6,0)</f>
        <v>#N/A</v>
      </c>
      <c r="E19" s="21" t="e">
        <f>VLOOKUP(A19,'[2]master plan'!A:G,7,0)</f>
        <v>#N/A</v>
      </c>
      <c r="F19" s="22" t="e">
        <f>VLOOKUP(A19,'[2]master plan'!A:H,8,0)</f>
        <v>#N/A</v>
      </c>
      <c r="G19" s="23" t="e">
        <f>VLOOKUP(A19,'[2]master plan'!A:W,23,0)</f>
        <v>#N/A</v>
      </c>
      <c r="H19" s="24" t="e">
        <f>VLOOKUP(A19,'[2]master plan'!A:W,23,0)</f>
        <v>#N/A</v>
      </c>
      <c r="I19" s="25" t="e">
        <f>VLOOKUP($A19,'[2]master plan'!$A:$N,12,0)</f>
        <v>#N/A</v>
      </c>
      <c r="J19" s="25" t="e">
        <f>VLOOKUP($A19,'[2]master plan'!$A:$N,13,0)</f>
        <v>#N/A</v>
      </c>
      <c r="K19" s="25" t="e">
        <f>VLOOKUP($A19,'[2]master plan'!$A:$N,14,0)</f>
        <v>#N/A</v>
      </c>
      <c r="L19" s="26"/>
      <c r="M19" s="40"/>
      <c r="N19" s="28" t="str">
        <f>_xlfn.IFNA(VLOOKUP(A19,'[2]master plan'!A:R,18,0),"")</f>
        <v/>
      </c>
    </row>
    <row r="20" spans="1:14" s="3" customFormat="1" ht="70" hidden="1" customHeight="1" x14ac:dyDescent="0.35">
      <c r="A20" s="17"/>
      <c r="B20" s="18" t="e">
        <f>VLOOKUP(A20,'[2]master plan'!A:C,3,0)</f>
        <v>#N/A</v>
      </c>
      <c r="C20" s="19" t="e">
        <f>VLOOKUP($A20,'[2]master plan'!$A:$N,5,0)</f>
        <v>#N/A</v>
      </c>
      <c r="D20" s="20" t="e">
        <f>VLOOKUP($A20,'[2]master plan'!$A:$N,6,0)</f>
        <v>#N/A</v>
      </c>
      <c r="E20" s="21" t="e">
        <f>VLOOKUP(A20,'[2]master plan'!A:G,7,0)</f>
        <v>#N/A</v>
      </c>
      <c r="F20" s="22" t="e">
        <f>VLOOKUP(A20,'[2]master plan'!A:H,8,0)</f>
        <v>#N/A</v>
      </c>
      <c r="G20" s="23" t="e">
        <f>VLOOKUP(A20,'[2]master plan'!A:W,23,0)</f>
        <v>#N/A</v>
      </c>
      <c r="H20" s="24" t="e">
        <f>VLOOKUP(A20,'[2]master plan'!A:W,23,0)</f>
        <v>#N/A</v>
      </c>
      <c r="I20" s="25" t="e">
        <f>VLOOKUP($A20,'[2]master plan'!$A:$N,12,0)</f>
        <v>#N/A</v>
      </c>
      <c r="J20" s="25" t="e">
        <f>VLOOKUP($A20,'[2]master plan'!$A:$N,13,0)</f>
        <v>#N/A</v>
      </c>
      <c r="K20" s="25" t="e">
        <f>VLOOKUP($A20,'[2]master plan'!$A:$N,14,0)</f>
        <v>#N/A</v>
      </c>
      <c r="L20" s="26"/>
      <c r="M20" s="27"/>
      <c r="N20" s="28" t="str">
        <f>_xlfn.IFNA(VLOOKUP(A20,'[2]master plan'!A:R,18,0),"")</f>
        <v/>
      </c>
    </row>
    <row r="21" spans="1:14" s="3" customFormat="1" ht="70" hidden="1" customHeight="1" x14ac:dyDescent="0.35">
      <c r="A21" s="17"/>
      <c r="B21" s="18" t="e">
        <f>VLOOKUP(A21,'[2]master plan'!A:C,3,0)</f>
        <v>#N/A</v>
      </c>
      <c r="C21" s="19" t="e">
        <f>VLOOKUP($A21,'[2]master plan'!$A:$N,5,0)</f>
        <v>#N/A</v>
      </c>
      <c r="D21" s="20" t="e">
        <f>VLOOKUP($A21,'[2]master plan'!$A:$N,6,0)</f>
        <v>#N/A</v>
      </c>
      <c r="E21" s="21" t="e">
        <f>VLOOKUP(A21,'[2]master plan'!A:G,7,0)</f>
        <v>#N/A</v>
      </c>
      <c r="F21" s="22" t="e">
        <f>VLOOKUP(A21,'[2]master plan'!A:H,8,0)</f>
        <v>#N/A</v>
      </c>
      <c r="G21" s="23" t="e">
        <f>VLOOKUP(A21,'[2]master plan'!A:W,23,0)</f>
        <v>#N/A</v>
      </c>
      <c r="H21" s="24" t="e">
        <f>VLOOKUP(A21,'[2]master plan'!A:W,23,0)</f>
        <v>#N/A</v>
      </c>
      <c r="I21" s="25" t="e">
        <f>VLOOKUP($A21,'[2]master plan'!$A:$N,12,0)</f>
        <v>#N/A</v>
      </c>
      <c r="J21" s="25" t="e">
        <f>VLOOKUP($A21,'[2]master plan'!$A:$N,13,0)</f>
        <v>#N/A</v>
      </c>
      <c r="K21" s="25" t="e">
        <f>VLOOKUP($A21,'[2]master plan'!$A:$N,14,0)</f>
        <v>#N/A</v>
      </c>
      <c r="L21" s="26"/>
      <c r="M21" s="40"/>
      <c r="N21" s="28" t="str">
        <f>_xlfn.IFNA(VLOOKUP(A21,'[2]master plan'!A:R,18,0),"")</f>
        <v/>
      </c>
    </row>
    <row r="22" spans="1:14" s="3" customFormat="1" ht="70" hidden="1" customHeight="1" x14ac:dyDescent="0.35">
      <c r="A22" s="17"/>
      <c r="B22" s="18" t="e">
        <f>VLOOKUP(A22,'[2]master plan'!A:C,3,0)</f>
        <v>#N/A</v>
      </c>
      <c r="C22" s="19" t="e">
        <f>VLOOKUP($A22,'[2]master plan'!$A:$N,5,0)</f>
        <v>#N/A</v>
      </c>
      <c r="D22" s="20" t="e">
        <f>VLOOKUP($A22,'[2]master plan'!$A:$N,6,0)</f>
        <v>#N/A</v>
      </c>
      <c r="E22" s="21" t="e">
        <f>VLOOKUP(A22,'[2]master plan'!A:G,7,0)</f>
        <v>#N/A</v>
      </c>
      <c r="F22" s="22" t="e">
        <f>VLOOKUP(A22,'[2]master plan'!A:H,8,0)</f>
        <v>#N/A</v>
      </c>
      <c r="G22" s="23" t="e">
        <f>VLOOKUP(A22,'[2]master plan'!A:W,23,0)</f>
        <v>#N/A</v>
      </c>
      <c r="H22" s="24" t="e">
        <f>VLOOKUP(A22,'[2]master plan'!A:W,23,0)</f>
        <v>#N/A</v>
      </c>
      <c r="I22" s="25" t="e">
        <f>VLOOKUP($A22,'[2]master plan'!$A:$N,12,0)</f>
        <v>#N/A</v>
      </c>
      <c r="J22" s="25" t="e">
        <f>VLOOKUP($A22,'[2]master plan'!$A:$N,13,0)</f>
        <v>#N/A</v>
      </c>
      <c r="K22" s="25" t="e">
        <f>VLOOKUP($A22,'[2]master plan'!$A:$N,14,0)</f>
        <v>#N/A</v>
      </c>
      <c r="L22" s="26"/>
      <c r="M22" s="40"/>
      <c r="N22" s="28" t="str">
        <f>_xlfn.IFNA(VLOOKUP(A22,'[2]master plan'!A:R,18,0),"")</f>
        <v/>
      </c>
    </row>
    <row r="23" spans="1:14" s="3" customFormat="1" ht="70" hidden="1" customHeight="1" x14ac:dyDescent="0.35">
      <c r="A23" s="17"/>
      <c r="B23" s="18" t="e">
        <f>VLOOKUP(A23,'[2]master plan'!A:C,3,0)</f>
        <v>#N/A</v>
      </c>
      <c r="C23" s="19" t="e">
        <f>VLOOKUP($A23,'[2]master plan'!$A:$N,5,0)</f>
        <v>#N/A</v>
      </c>
      <c r="D23" s="20" t="e">
        <f>VLOOKUP($A23,'[2]master plan'!$A:$N,6,0)</f>
        <v>#N/A</v>
      </c>
      <c r="E23" s="21" t="e">
        <f>VLOOKUP(A23,'[2]master plan'!A:G,7,0)</f>
        <v>#N/A</v>
      </c>
      <c r="F23" s="22" t="e">
        <f>VLOOKUP(A23,'[2]master plan'!A:H,8,0)</f>
        <v>#N/A</v>
      </c>
      <c r="G23" s="23" t="e">
        <f>VLOOKUP(A23,'[2]master plan'!A:W,23,0)</f>
        <v>#N/A</v>
      </c>
      <c r="H23" s="24" t="e">
        <f>VLOOKUP(A23,'[2]master plan'!A:W,23,0)</f>
        <v>#N/A</v>
      </c>
      <c r="I23" s="25" t="e">
        <f>VLOOKUP($A23,'[2]master plan'!$A:$N,12,0)</f>
        <v>#N/A</v>
      </c>
      <c r="J23" s="25" t="e">
        <f>VLOOKUP($A23,'[2]master plan'!$A:$N,13,0)</f>
        <v>#N/A</v>
      </c>
      <c r="K23" s="25" t="e">
        <f>VLOOKUP($A23,'[2]master plan'!$A:$N,14,0)</f>
        <v>#N/A</v>
      </c>
      <c r="L23" s="26"/>
      <c r="M23" s="40"/>
      <c r="N23" s="28" t="str">
        <f>_xlfn.IFNA(VLOOKUP(A23,'[2]master plan'!A:R,18,0),"")</f>
        <v/>
      </c>
    </row>
    <row r="24" spans="1:14" s="3" customFormat="1" ht="72" customHeight="1" x14ac:dyDescent="0.35">
      <c r="A24" s="41"/>
      <c r="B24" s="42"/>
      <c r="C24" s="43"/>
      <c r="D24" s="43"/>
      <c r="E24" s="44"/>
      <c r="F24" s="45"/>
      <c r="G24" s="45"/>
      <c r="H24" s="45"/>
      <c r="I24" s="46"/>
      <c r="J24" s="47"/>
      <c r="K24" s="48"/>
      <c r="L24" s="49"/>
      <c r="M24" s="50"/>
      <c r="N24" s="51"/>
    </row>
    <row r="25" spans="1:14" ht="74.25" customHeight="1" x14ac:dyDescent="0.35">
      <c r="L25" s="56"/>
    </row>
    <row r="26" spans="1:14" ht="74.25" customHeight="1" x14ac:dyDescent="0.35">
      <c r="L26" s="56"/>
    </row>
    <row r="27" spans="1:14" ht="74.25" customHeight="1" x14ac:dyDescent="0.35">
      <c r="L27" s="56"/>
    </row>
    <row r="28" spans="1:14" s="54" customFormat="1" ht="74.25" customHeight="1" x14ac:dyDescent="0.35">
      <c r="A28" s="2"/>
      <c r="B28" s="52"/>
      <c r="C28" s="2"/>
      <c r="D28" s="2"/>
      <c r="E28" s="59" t="s">
        <v>21</v>
      </c>
      <c r="G28" s="55"/>
      <c r="I28" s="53"/>
      <c r="J28" s="53"/>
      <c r="K28" s="53"/>
      <c r="L28" s="56"/>
      <c r="M28" s="57"/>
      <c r="N28" s="58"/>
    </row>
    <row r="29" spans="1:14" ht="74.25" customHeight="1" x14ac:dyDescent="0.35">
      <c r="L29" s="56"/>
    </row>
    <row r="30" spans="1:14" ht="74.25" customHeight="1" x14ac:dyDescent="0.35">
      <c r="L30" s="56"/>
    </row>
    <row r="31" spans="1:14" s="10" customFormat="1" ht="74.25" customHeight="1" x14ac:dyDescent="0.35">
      <c r="A31" s="2"/>
      <c r="B31" s="52"/>
      <c r="C31" s="2"/>
      <c r="D31" s="2"/>
      <c r="E31" s="53"/>
      <c r="F31" s="54"/>
      <c r="G31" s="54"/>
      <c r="H31" s="55"/>
      <c r="I31" s="53"/>
      <c r="J31" s="53"/>
      <c r="K31" s="53"/>
      <c r="L31" s="56"/>
      <c r="M31" s="57"/>
      <c r="N31" s="58"/>
    </row>
    <row r="32" spans="1:14" s="10" customFormat="1" ht="74.25" customHeight="1" x14ac:dyDescent="0.35">
      <c r="A32" s="2"/>
      <c r="B32" s="52"/>
      <c r="C32" s="2"/>
      <c r="D32" s="2"/>
      <c r="E32" s="53"/>
      <c r="F32" s="54"/>
      <c r="G32" s="54"/>
      <c r="H32" s="55"/>
      <c r="I32" s="53"/>
      <c r="J32" s="53"/>
      <c r="K32" s="53"/>
      <c r="L32" s="56"/>
      <c r="M32" s="57"/>
      <c r="N32" s="58"/>
    </row>
    <row r="33" spans="1:14" s="10" customFormat="1" ht="74.25" customHeight="1" x14ac:dyDescent="0.35">
      <c r="A33" s="2"/>
      <c r="B33" s="52"/>
      <c r="C33" s="2"/>
      <c r="D33" s="2"/>
      <c r="E33" s="53"/>
      <c r="F33" s="54"/>
      <c r="G33" s="54"/>
      <c r="H33" s="55"/>
      <c r="I33" s="53"/>
      <c r="J33" s="53"/>
      <c r="K33" s="53"/>
      <c r="L33" s="56"/>
      <c r="M33" s="57"/>
      <c r="N33" s="58"/>
    </row>
    <row r="34" spans="1:14" s="10" customFormat="1" ht="74.25" customHeight="1" x14ac:dyDescent="0.35">
      <c r="A34" s="2"/>
      <c r="B34" s="52"/>
      <c r="C34" s="2"/>
      <c r="D34" s="2"/>
      <c r="E34" s="53"/>
      <c r="F34" s="54"/>
      <c r="G34" s="54"/>
      <c r="H34" s="55"/>
      <c r="I34" s="53"/>
      <c r="J34" s="53"/>
      <c r="K34" s="53"/>
      <c r="L34" s="56"/>
      <c r="M34" s="57"/>
      <c r="N34" s="58"/>
    </row>
    <row r="35" spans="1:14" s="10" customFormat="1" ht="74.25" customHeight="1" x14ac:dyDescent="0.35">
      <c r="A35" s="2"/>
      <c r="B35" s="52"/>
      <c r="C35" s="2"/>
      <c r="D35" s="2"/>
      <c r="E35" s="53"/>
      <c r="F35" s="54"/>
      <c r="G35" s="54"/>
      <c r="H35" s="55"/>
      <c r="I35" s="53"/>
      <c r="J35" s="53"/>
      <c r="K35" s="53"/>
      <c r="L35" s="56"/>
      <c r="M35" s="57"/>
      <c r="N35" s="58"/>
    </row>
    <row r="36" spans="1:14" s="10" customFormat="1" ht="74.25" customHeight="1" x14ac:dyDescent="0.35">
      <c r="A36" s="2"/>
      <c r="B36" s="52"/>
      <c r="C36" s="2"/>
      <c r="D36" s="2"/>
      <c r="E36" s="53"/>
      <c r="F36" s="54"/>
      <c r="G36" s="54"/>
      <c r="H36" s="55"/>
      <c r="I36" s="53"/>
      <c r="J36" s="53"/>
      <c r="K36" s="53"/>
      <c r="L36" s="56"/>
      <c r="M36" s="57"/>
      <c r="N36" s="58"/>
    </row>
    <row r="37" spans="1:14" s="10" customFormat="1" ht="74.25" customHeight="1" x14ac:dyDescent="0.35">
      <c r="A37" s="2"/>
      <c r="B37" s="52"/>
      <c r="C37" s="2"/>
      <c r="D37" s="2"/>
      <c r="E37" s="53"/>
      <c r="F37" s="54"/>
      <c r="G37" s="54"/>
      <c r="H37" s="55"/>
      <c r="I37" s="53"/>
      <c r="J37" s="53"/>
      <c r="K37" s="53"/>
      <c r="L37" s="56"/>
      <c r="M37" s="57"/>
      <c r="N37" s="58"/>
    </row>
    <row r="38" spans="1:14" s="10" customFormat="1" ht="74.25" customHeight="1" x14ac:dyDescent="0.35">
      <c r="A38" s="2"/>
      <c r="B38" s="52"/>
      <c r="C38" s="2"/>
      <c r="D38" s="2"/>
      <c r="E38" s="53"/>
      <c r="F38" s="54"/>
      <c r="G38" s="54"/>
      <c r="H38" s="55"/>
      <c r="I38" s="53"/>
      <c r="J38" s="53"/>
      <c r="K38" s="53"/>
      <c r="L38" s="56"/>
      <c r="M38" s="57"/>
      <c r="N38" s="58"/>
    </row>
    <row r="39" spans="1:14" s="10" customFormat="1" ht="74.25" customHeight="1" x14ac:dyDescent="0.35">
      <c r="A39" s="2"/>
      <c r="B39" s="52"/>
      <c r="C39" s="2"/>
      <c r="D39" s="2"/>
      <c r="E39" s="53"/>
      <c r="F39" s="54"/>
      <c r="G39" s="54"/>
      <c r="H39" s="55"/>
      <c r="I39" s="53"/>
      <c r="J39" s="53"/>
      <c r="K39" s="53"/>
      <c r="L39" s="56"/>
      <c r="M39" s="57"/>
      <c r="N39" s="58"/>
    </row>
    <row r="40" spans="1:14" s="10" customFormat="1" ht="74.25" customHeight="1" x14ac:dyDescent="0.35">
      <c r="A40" s="2"/>
      <c r="B40" s="52"/>
      <c r="C40" s="2"/>
      <c r="D40" s="2"/>
      <c r="E40" s="53"/>
      <c r="F40" s="54"/>
      <c r="G40" s="54"/>
      <c r="H40" s="55"/>
      <c r="I40" s="53"/>
      <c r="J40" s="53"/>
      <c r="K40" s="53"/>
      <c r="L40" s="56"/>
      <c r="M40" s="57"/>
      <c r="N40" s="58"/>
    </row>
    <row r="41" spans="1:14" s="10" customFormat="1" ht="74.25" customHeight="1" x14ac:dyDescent="0.35">
      <c r="A41" s="2"/>
      <c r="B41" s="52"/>
      <c r="C41" s="2"/>
      <c r="D41" s="2"/>
      <c r="E41" s="53"/>
      <c r="F41" s="54"/>
      <c r="G41" s="54"/>
      <c r="H41" s="55"/>
      <c r="I41" s="53"/>
      <c r="J41" s="53"/>
      <c r="K41" s="53"/>
      <c r="L41" s="56"/>
      <c r="M41" s="57"/>
      <c r="N41" s="58"/>
    </row>
    <row r="42" spans="1:14" s="10" customFormat="1" ht="74.25" customHeight="1" x14ac:dyDescent="0.35">
      <c r="A42" s="2"/>
      <c r="B42" s="52"/>
      <c r="C42" s="2"/>
      <c r="D42" s="2"/>
      <c r="E42" s="53"/>
      <c r="F42" s="54"/>
      <c r="G42" s="54"/>
      <c r="H42" s="55"/>
      <c r="I42" s="53"/>
      <c r="J42" s="53"/>
      <c r="K42" s="53"/>
      <c r="L42" s="56"/>
      <c r="M42" s="57"/>
      <c r="N42" s="58"/>
    </row>
    <row r="43" spans="1:14" s="10" customFormat="1" ht="74.25" customHeight="1" x14ac:dyDescent="0.35">
      <c r="A43" s="2"/>
      <c r="B43" s="52"/>
      <c r="C43" s="2"/>
      <c r="D43" s="2"/>
      <c r="E43" s="53"/>
      <c r="F43" s="54"/>
      <c r="G43" s="54"/>
      <c r="H43" s="55"/>
      <c r="I43" s="53"/>
      <c r="J43" s="53"/>
      <c r="K43" s="53"/>
      <c r="L43" s="56"/>
      <c r="M43" s="57"/>
      <c r="N43" s="58"/>
    </row>
    <row r="44" spans="1:14" s="10" customFormat="1" ht="74.25" customHeight="1" x14ac:dyDescent="0.35">
      <c r="A44" s="2"/>
      <c r="B44" s="52"/>
      <c r="C44" s="2"/>
      <c r="D44" s="2"/>
      <c r="E44" s="53"/>
      <c r="F44" s="54"/>
      <c r="G44" s="54"/>
      <c r="H44" s="55"/>
      <c r="I44" s="53"/>
      <c r="J44" s="53"/>
      <c r="K44" s="53"/>
      <c r="L44" s="56"/>
      <c r="M44" s="57"/>
      <c r="N44" s="58"/>
    </row>
    <row r="45" spans="1:14" s="10" customFormat="1" ht="74.25" customHeight="1" x14ac:dyDescent="0.35">
      <c r="A45" s="2"/>
      <c r="B45" s="52"/>
      <c r="C45" s="2"/>
      <c r="D45" s="2"/>
      <c r="E45" s="53"/>
      <c r="F45" s="54"/>
      <c r="G45" s="54"/>
      <c r="H45" s="55"/>
      <c r="I45" s="53"/>
      <c r="J45" s="53"/>
      <c r="K45" s="53"/>
      <c r="L45" s="56"/>
      <c r="M45" s="57"/>
      <c r="N45" s="58"/>
    </row>
    <row r="46" spans="1:14" s="10" customFormat="1" ht="74.25" customHeight="1" x14ac:dyDescent="0.35">
      <c r="A46" s="2"/>
      <c r="B46" s="52"/>
      <c r="C46" s="2"/>
      <c r="D46" s="2"/>
      <c r="E46" s="53"/>
      <c r="F46" s="54"/>
      <c r="G46" s="54"/>
      <c r="H46" s="55"/>
      <c r="I46" s="53"/>
      <c r="J46" s="53"/>
      <c r="K46" s="53"/>
      <c r="L46" s="56"/>
      <c r="M46" s="57"/>
      <c r="N46" s="58"/>
    </row>
    <row r="47" spans="1:14" s="10" customFormat="1" ht="74.25" customHeight="1" x14ac:dyDescent="0.35">
      <c r="A47" s="2"/>
      <c r="B47" s="52"/>
      <c r="C47" s="2"/>
      <c r="D47" s="2"/>
      <c r="E47" s="53"/>
      <c r="F47" s="54"/>
      <c r="G47" s="54"/>
      <c r="H47" s="55"/>
      <c r="I47" s="53"/>
      <c r="J47" s="53"/>
      <c r="K47" s="53"/>
      <c r="L47" s="56"/>
      <c r="M47" s="57"/>
      <c r="N47" s="58"/>
    </row>
    <row r="48" spans="1:14" s="10" customFormat="1" ht="74.25" customHeight="1" x14ac:dyDescent="0.35">
      <c r="A48" s="2"/>
      <c r="B48" s="52"/>
      <c r="C48" s="2"/>
      <c r="D48" s="2"/>
      <c r="E48" s="53"/>
      <c r="F48" s="54"/>
      <c r="G48" s="54"/>
      <c r="H48" s="55"/>
      <c r="I48" s="53"/>
      <c r="J48" s="53"/>
      <c r="K48" s="53"/>
      <c r="L48" s="56"/>
      <c r="M48" s="57"/>
      <c r="N48" s="58"/>
    </row>
    <row r="49" spans="1:14" s="10" customFormat="1" ht="74.25" customHeight="1" x14ac:dyDescent="0.35">
      <c r="A49" s="2"/>
      <c r="B49" s="52"/>
      <c r="C49" s="2"/>
      <c r="D49" s="2"/>
      <c r="E49" s="53"/>
      <c r="F49" s="54"/>
      <c r="G49" s="54"/>
      <c r="H49" s="55"/>
      <c r="I49" s="53"/>
      <c r="J49" s="53"/>
      <c r="K49" s="53"/>
      <c r="L49" s="56"/>
      <c r="M49" s="57"/>
      <c r="N49" s="58"/>
    </row>
    <row r="50" spans="1:14" s="10" customFormat="1" ht="74.25" customHeight="1" x14ac:dyDescent="0.35">
      <c r="A50" s="2"/>
      <c r="B50" s="52"/>
      <c r="C50" s="2"/>
      <c r="D50" s="2"/>
      <c r="E50" s="53"/>
      <c r="F50" s="54"/>
      <c r="G50" s="54"/>
      <c r="H50" s="55"/>
      <c r="I50" s="53"/>
      <c r="J50" s="53"/>
      <c r="K50" s="53"/>
      <c r="L50" s="56"/>
      <c r="M50" s="57"/>
      <c r="N50" s="58"/>
    </row>
    <row r="51" spans="1:14" s="10" customFormat="1" ht="74.25" customHeight="1" x14ac:dyDescent="0.35">
      <c r="A51" s="2"/>
      <c r="B51" s="52"/>
      <c r="C51" s="2"/>
      <c r="D51" s="2"/>
      <c r="E51" s="53"/>
      <c r="F51" s="54"/>
      <c r="G51" s="54"/>
      <c r="H51" s="55"/>
      <c r="I51" s="53"/>
      <c r="J51" s="53"/>
      <c r="K51" s="53"/>
      <c r="L51" s="56"/>
      <c r="M51" s="57"/>
      <c r="N51" s="58"/>
    </row>
    <row r="52" spans="1:14" s="10" customFormat="1" ht="74.25" customHeight="1" x14ac:dyDescent="0.35">
      <c r="A52" s="2"/>
      <c r="B52" s="52"/>
      <c r="C52" s="2"/>
      <c r="D52" s="2"/>
      <c r="E52" s="53"/>
      <c r="F52" s="54"/>
      <c r="G52" s="54"/>
      <c r="H52" s="55"/>
      <c r="I52" s="53"/>
      <c r="J52" s="53"/>
      <c r="K52" s="53"/>
      <c r="L52" s="56"/>
      <c r="M52" s="57"/>
      <c r="N52" s="58"/>
    </row>
    <row r="53" spans="1:14" s="10" customFormat="1" ht="74.25" customHeight="1" x14ac:dyDescent="0.35">
      <c r="A53" s="2"/>
      <c r="B53" s="52"/>
      <c r="C53" s="2"/>
      <c r="D53" s="2"/>
      <c r="E53" s="53"/>
      <c r="F53" s="54"/>
      <c r="G53" s="54"/>
      <c r="H53" s="55"/>
      <c r="I53" s="53"/>
      <c r="J53" s="53"/>
      <c r="K53" s="53"/>
      <c r="L53" s="56"/>
      <c r="M53" s="57"/>
      <c r="N53" s="58"/>
    </row>
    <row r="54" spans="1:14" s="10" customFormat="1" ht="74.25" customHeight="1" x14ac:dyDescent="0.35">
      <c r="A54" s="2"/>
      <c r="B54" s="52"/>
      <c r="C54" s="2"/>
      <c r="D54" s="2"/>
      <c r="E54" s="53"/>
      <c r="F54" s="54"/>
      <c r="G54" s="54"/>
      <c r="H54" s="55"/>
      <c r="I54" s="53"/>
      <c r="J54" s="53"/>
      <c r="K54" s="53"/>
      <c r="L54" s="56"/>
      <c r="M54" s="57"/>
      <c r="N54" s="58"/>
    </row>
    <row r="55" spans="1:14" s="10" customFormat="1" ht="74.25" customHeight="1" x14ac:dyDescent="0.35">
      <c r="A55" s="2"/>
      <c r="B55" s="52"/>
      <c r="C55" s="2"/>
      <c r="D55" s="2"/>
      <c r="E55" s="53"/>
      <c r="F55" s="54"/>
      <c r="G55" s="54"/>
      <c r="H55" s="55"/>
      <c r="I55" s="53"/>
      <c r="J55" s="53"/>
      <c r="K55" s="53"/>
      <c r="L55" s="56"/>
      <c r="M55" s="57"/>
      <c r="N55" s="58"/>
    </row>
    <row r="56" spans="1:14" s="10" customFormat="1" ht="74.25" customHeight="1" x14ac:dyDescent="0.35">
      <c r="A56" s="2"/>
      <c r="B56" s="52"/>
      <c r="C56" s="2"/>
      <c r="D56" s="2"/>
      <c r="E56" s="53"/>
      <c r="F56" s="54"/>
      <c r="G56" s="54"/>
      <c r="H56" s="55"/>
      <c r="I56" s="53"/>
      <c r="J56" s="53"/>
      <c r="K56" s="53"/>
      <c r="L56" s="56"/>
      <c r="M56" s="57"/>
      <c r="N56" s="58"/>
    </row>
    <row r="57" spans="1:14" s="10" customFormat="1" ht="74.25" customHeight="1" x14ac:dyDescent="0.35">
      <c r="A57" s="2"/>
      <c r="B57" s="52"/>
      <c r="C57" s="2"/>
      <c r="D57" s="2"/>
      <c r="E57" s="53"/>
      <c r="F57" s="54"/>
      <c r="G57" s="54"/>
      <c r="H57" s="55"/>
      <c r="I57" s="53"/>
      <c r="J57" s="53"/>
      <c r="K57" s="53"/>
      <c r="L57" s="56"/>
      <c r="M57" s="57"/>
      <c r="N57" s="58"/>
    </row>
    <row r="58" spans="1:14" s="10" customFormat="1" ht="74.25" customHeight="1" x14ac:dyDescent="0.35">
      <c r="A58" s="2"/>
      <c r="B58" s="52"/>
      <c r="C58" s="2"/>
      <c r="D58" s="2"/>
      <c r="E58" s="53"/>
      <c r="F58" s="54"/>
      <c r="G58" s="54"/>
      <c r="H58" s="55"/>
      <c r="I58" s="53"/>
      <c r="J58" s="53"/>
      <c r="K58" s="53"/>
      <c r="L58" s="56"/>
      <c r="M58" s="57"/>
      <c r="N58" s="58"/>
    </row>
    <row r="667" spans="1:14" s="54" customFormat="1" ht="74.25" customHeight="1" x14ac:dyDescent="0.35">
      <c r="A667" s="2"/>
      <c r="B667" s="52"/>
      <c r="C667" s="2"/>
      <c r="D667" s="2"/>
      <c r="E667" s="60"/>
      <c r="H667" s="55"/>
      <c r="I667" s="53"/>
      <c r="J667" s="53"/>
      <c r="K667" s="53"/>
      <c r="L667" s="61"/>
      <c r="M667" s="57"/>
      <c r="N667" s="58"/>
    </row>
  </sheetData>
  <protectedRanges>
    <protectedRange algorithmName="SHA-512" hashValue="e1FOu1UlwA7reaiyQlEGzbU6dAFPyHPlKfgo6VzFBBobawyOfUsh2c/+wjC8bICpcXVPmRerMGA9+qKsw5p7Iw==" saltValue="UD2tVZrxqZTGI3vDzMBrHw==" spinCount="100000" sqref="E3:E23" name="Range1_1"/>
  </protectedRanges>
  <autoFilter ref="A2:N24" xr:uid="{E2BC4C4A-3703-4A99-A30B-53817C3A378F}">
    <filterColumn colId="1">
      <filters blank="1">
        <filter val="RPRO-260602-0720"/>
        <filter val="RPRO-260602-0721"/>
        <filter val="RPRO-260602-0722"/>
        <filter val="RPRO-260602-0723"/>
        <filter val="RPRO-260602-0724"/>
        <filter val="RPRO-260602-0725"/>
        <filter val="RPRO-260602-0726"/>
        <filter val="RPRO-260602-0727"/>
      </filters>
    </filterColumn>
  </autoFilter>
  <mergeCells count="1">
    <mergeCell ref="D1:F1"/>
  </mergeCells>
  <conditionalFormatting sqref="A2">
    <cfRule type="duplicateValues" dxfId="6" priority="5"/>
  </conditionalFormatting>
  <conditionalFormatting sqref="A3:A23">
    <cfRule type="duplicateValues" dxfId="5" priority="7"/>
  </conditionalFormatting>
  <conditionalFormatting sqref="A26:A1048576">
    <cfRule type="duplicateValues" dxfId="4" priority="6"/>
  </conditionalFormatting>
  <conditionalFormatting sqref="C1:C1048576">
    <cfRule type="duplicateValues" dxfId="3" priority="1"/>
    <cfRule type="duplicateValues" dxfId="2" priority="2"/>
  </conditionalFormatting>
  <conditionalFormatting sqref="I2:M2">
    <cfRule type="duplicateValues" dxfId="1" priority="4"/>
  </conditionalFormatting>
  <conditionalFormatting sqref="N1">
    <cfRule type="duplicateValues" dxfId="0" priority="3"/>
  </conditionalFormatting>
  <printOptions horizontalCentered="1"/>
  <pageMargins left="0.18" right="0.17" top="0.5" bottom="0" header="0.17" footer="0.17"/>
  <pageSetup paperSize="9" scale="30" fitToHeight="0" orientation="landscape" r:id="rId1"/>
  <headerFooter>
    <oddFooter>Page &amp;P of &amp;N</oddFooter>
  </headerFooter>
  <rowBreaks count="1" manualBreakCount="1">
    <brk id="2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13.5</vt:lpstr>
      <vt:lpstr>15.5</vt:lpstr>
      <vt:lpstr>18.5</vt:lpstr>
      <vt:lpstr>20.5</vt:lpstr>
      <vt:lpstr>21.5</vt:lpstr>
      <vt:lpstr>25.5</vt:lpstr>
      <vt:lpstr>27.5</vt:lpstr>
      <vt:lpstr>29.5 - L2</vt:lpstr>
      <vt:lpstr>1.6</vt:lpstr>
      <vt:lpstr>2.6</vt:lpstr>
      <vt:lpstr>'1.6'!Print_Area</vt:lpstr>
      <vt:lpstr>'13.5'!Print_Area</vt:lpstr>
      <vt:lpstr>'15.5'!Print_Area</vt:lpstr>
      <vt:lpstr>'18.5'!Print_Area</vt:lpstr>
      <vt:lpstr>'2.6'!Print_Area</vt:lpstr>
      <vt:lpstr>'20.5'!Print_Area</vt:lpstr>
      <vt:lpstr>'21.5'!Print_Area</vt:lpstr>
      <vt:lpstr>'25.5'!Print_Area</vt:lpstr>
      <vt:lpstr>'27.5'!Print_Area</vt:lpstr>
      <vt:lpstr>'29.5 - L2'!Print_Area</vt:lpstr>
      <vt:lpstr>'1.6'!Print_Titles</vt:lpstr>
      <vt:lpstr>'13.5'!Print_Titles</vt:lpstr>
      <vt:lpstr>'15.5'!Print_Titles</vt:lpstr>
      <vt:lpstr>'18.5'!Print_Titles</vt:lpstr>
      <vt:lpstr>'2.6'!Print_Titles</vt:lpstr>
      <vt:lpstr>'20.5'!Print_Titles</vt:lpstr>
      <vt:lpstr>'21.5'!Print_Titles</vt:lpstr>
      <vt:lpstr>'25.5'!Print_Titles</vt:lpstr>
      <vt:lpstr>'27.5'!Print_Titles</vt:lpstr>
      <vt:lpstr>'29.5 - L2'!Print_Titles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Diem Phan - Foaming</dc:creator>
  <cp:lastModifiedBy>Lam Duong - Foaming</cp:lastModifiedBy>
  <cp:lastPrinted>2026-05-26T02:00:50Z</cp:lastPrinted>
  <dcterms:created xsi:type="dcterms:W3CDTF">2026-05-13T09:21:12Z</dcterms:created>
  <dcterms:modified xsi:type="dcterms:W3CDTF">2026-06-03T05:30:51Z</dcterms:modified>
</cp:coreProperties>
</file>