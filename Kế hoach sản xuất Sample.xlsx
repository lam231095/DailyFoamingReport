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70" documentId="8_{C12FF075-160F-4BB4-977C-4D56BABB08BC}" xr6:coauthVersionLast="47" xr6:coauthVersionMax="47" xr10:uidLastSave="{D6109B55-5923-480D-A589-F66EFBCBDDE0}"/>
  <bookViews>
    <workbookView xWindow="-110" yWindow="-110" windowWidth="19420" windowHeight="11500" firstSheet="6" activeTab="17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  <sheet name="10.6" sheetId="17" r:id="rId17"/>
    <sheet name="12.6" sheetId="18" r:id="rId18"/>
  </sheets>
  <externalReferences>
    <externalReference r:id="rId19"/>
    <externalReference r:id="rId20"/>
    <externalReference r:id="rId21"/>
  </externalReferences>
  <definedNames>
    <definedName name="_xlnm._FilterDatabase" localSheetId="8" hidden="1">'1.6'!$A$2:$N$21</definedName>
    <definedName name="_xlnm._FilterDatabase" localSheetId="16" hidden="1">'10.6'!$A$2:$N$23</definedName>
    <definedName name="_xlnm._FilterDatabase" localSheetId="17" hidden="1">'12.6'!$A$2:$N$27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16">'[1]Molding-báo cáo BUn'!#REF!</definedName>
    <definedName name="AE" localSheetId="17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AE">'[1]Molding-báo cáo BUn'!#REF!</definedName>
    <definedName name="_xlnm.Print_Area" localSheetId="8">'1.6'!$A$1:$N$21</definedName>
    <definedName name="_xlnm.Print_Area" localSheetId="16">'10.6'!$A$1:$N$23</definedName>
    <definedName name="_xlnm.Print_Area" localSheetId="17">'12.6'!$A$1:$N$27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16">'10.6'!$1:$2</definedName>
    <definedName name="_xlnm.Print_Titles" localSheetId="17">'12.6'!$1:$2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16" hidden="1">'10.6'!$A$2:$N$2</definedName>
    <definedName name="Z_1811EAD5_BD80_4EFF_9596_8EF0EFF4AD2A_.wvu.FilterData" localSheetId="17" hidden="1">'12.6'!$A$2:$N$2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16" hidden="1">'10.6'!$1:$2</definedName>
    <definedName name="Z_1811EAD5_BD80_4EFF_9596_8EF0EFF4AD2A_.wvu.PrintTitles" localSheetId="17" hidden="1">'12.6'!$1:$2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16" hidden="1">'10.6'!$B$2:$M$2</definedName>
    <definedName name="Z_18A7E0A3_1642_489C_8130_3CC9FF80B04E_.wvu.FilterData" localSheetId="17" hidden="1">'12.6'!$B$2:$M$2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16" hidden="1">'10.6'!$A$2:$N$2</definedName>
    <definedName name="Z_2653C0F9_59B0_4DB3_BD8D_CACC833527F0_.wvu.FilterData" localSheetId="17" hidden="1">'12.6'!$A$2:$N$2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16" hidden="1">'10.6'!$A$2:$N$2</definedName>
    <definedName name="Z_289C1146_6484_4C42_9E78_5D7EBC42FBCC_.wvu.FilterData" localSheetId="17" hidden="1">'12.6'!$A$2:$N$2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16" hidden="1">'10.6'!$1:$2</definedName>
    <definedName name="Z_289C1146_6484_4C42_9E78_5D7EBC42FBCC_.wvu.PrintTitles" localSheetId="17" hidden="1">'12.6'!$1:$2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16" hidden="1">'10.6'!#REF!</definedName>
    <definedName name="Z_289C1146_6484_4C42_9E78_5D7EBC42FBCC_.wvu.Rows" localSheetId="17" hidden="1">'12.6'!#REF!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16" hidden="1">'10.6'!$B$2:$M$2</definedName>
    <definedName name="Z_314949E3_0D3B_4560_AE70_4D3C4970782A_.wvu.FilterData" localSheetId="17" hidden="1">'12.6'!$B$2:$M$2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16" hidden="1">'10.6'!$B$2:$N$2</definedName>
    <definedName name="Z_318C8B1E_0627_4DC9_8089_60901FDA475B_.wvu.FilterData" localSheetId="17" hidden="1">'12.6'!$B$2:$N$2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16" hidden="1">'10.6'!$1:$2</definedName>
    <definedName name="Z_318C8B1E_0627_4DC9_8089_60901FDA475B_.wvu.PrintTitles" localSheetId="17" hidden="1">'12.6'!$1:$2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16" hidden="1">'10.6'!$B$2:$M$2</definedName>
    <definedName name="Z_323B6797_06D8_47A1_B001_797373BE57F2_.wvu.FilterData" localSheetId="17" hidden="1">'12.6'!$B$2:$M$2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16" hidden="1">'10.6'!$B$2:$M$2</definedName>
    <definedName name="Z_6A9DC2EA_1959_4EB9_A839_907E58591C36_.wvu.FilterData" localSheetId="17" hidden="1">'12.6'!$B$2:$M$2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16" hidden="1">'10.6'!$B$2:$M$2</definedName>
    <definedName name="Z_866BE165_7CE2_41D4_AD4C_D79698D432B1_.wvu.FilterData" localSheetId="17" hidden="1">'12.6'!$B$2:$M$2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16" hidden="1">'10.6'!$B$2:$N$2</definedName>
    <definedName name="Z_866CB300_9BE2_4E49_BCB4_72634A7939D7_.wvu.FilterData" localSheetId="17" hidden="1">'12.6'!$B$2:$N$2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16" hidden="1">'10.6'!$A$2:$N$2</definedName>
    <definedName name="Z_8CF255E0_B8BB_4016_A366_4FCF106965CF_.wvu.FilterData" localSheetId="17" hidden="1">'12.6'!$A$2:$N$2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16" hidden="1">'10.6'!$A$2:$N$2</definedName>
    <definedName name="Z_A4A1FC39_A54C_43AC_9912_8824EB6833F5_.wvu.FilterData" localSheetId="17" hidden="1">'12.6'!$A$2:$N$2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16" hidden="1">'10.6'!$B$2:$N$2</definedName>
    <definedName name="Z_AF6B2EAC_2950_4809_A605_2107D254FC8D_.wvu.FilterData" localSheetId="17" hidden="1">'12.6'!$B$2:$N$2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16" hidden="1">'10.6'!$1:$2</definedName>
    <definedName name="Z_AF6B2EAC_2950_4809_A605_2107D254FC8D_.wvu.PrintTitles" localSheetId="17" hidden="1">'12.6'!$1:$2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16" hidden="1">'10.6'!$B$2:$M$2</definedName>
    <definedName name="Z_CA92E8A2_92C9_4575_A139_6FE5DA69269F_.wvu.FilterData" localSheetId="17" hidden="1">'12.6'!$B$2:$M$2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16" hidden="1">'10.6'!$A$2:$N$2</definedName>
    <definedName name="Z_DF644A2B_B913_48D6_B430_E57F3B482B79_.wvu.FilterData" localSheetId="17" hidden="1">'12.6'!$A$2:$N$2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16" hidden="1">'10.6'!$1:$2</definedName>
    <definedName name="Z_DF644A2B_B913_48D6_B430_E57F3B482B79_.wvu.PrintTitles" localSheetId="17" hidden="1">'12.6'!$1:$2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8" l="1"/>
  <c r="M7" i="18"/>
  <c r="M9" i="18"/>
  <c r="M11" i="18"/>
  <c r="M13" i="18"/>
  <c r="M15" i="18"/>
  <c r="M17" i="18"/>
  <c r="M19" i="18"/>
  <c r="M22" i="18"/>
  <c r="N26" i="18"/>
  <c r="K26" i="18"/>
  <c r="J26" i="18"/>
  <c r="I26" i="18"/>
  <c r="H26" i="18"/>
  <c r="G26" i="18"/>
  <c r="F26" i="18"/>
  <c r="E26" i="18"/>
  <c r="D26" i="18"/>
  <c r="C26" i="18"/>
  <c r="B26" i="18"/>
  <c r="N25" i="18"/>
  <c r="K25" i="18"/>
  <c r="J25" i="18"/>
  <c r="I25" i="18"/>
  <c r="H25" i="18"/>
  <c r="G25" i="18"/>
  <c r="F25" i="18"/>
  <c r="E25" i="18"/>
  <c r="D25" i="18"/>
  <c r="C25" i="18"/>
  <c r="B25" i="18"/>
  <c r="N24" i="18"/>
  <c r="K24" i="18"/>
  <c r="J24" i="18"/>
  <c r="I24" i="18"/>
  <c r="H24" i="18"/>
  <c r="G24" i="18"/>
  <c r="F24" i="18"/>
  <c r="E24" i="18"/>
  <c r="D24" i="18"/>
  <c r="C24" i="18"/>
  <c r="B24" i="18"/>
  <c r="N23" i="18"/>
  <c r="K23" i="18"/>
  <c r="J23" i="18"/>
  <c r="I23" i="18"/>
  <c r="H23" i="18"/>
  <c r="G23" i="18"/>
  <c r="F23" i="18"/>
  <c r="E23" i="18"/>
  <c r="D23" i="18"/>
  <c r="C23" i="18"/>
  <c r="B23" i="18"/>
  <c r="N21" i="18"/>
  <c r="K21" i="18"/>
  <c r="J21" i="18"/>
  <c r="I21" i="18"/>
  <c r="H21" i="18"/>
  <c r="G21" i="18"/>
  <c r="F21" i="18"/>
  <c r="E21" i="18"/>
  <c r="D21" i="18"/>
  <c r="C21" i="18"/>
  <c r="M21" i="18" s="1"/>
  <c r="B21" i="18"/>
  <c r="N20" i="18"/>
  <c r="K20" i="18"/>
  <c r="J20" i="18"/>
  <c r="I20" i="18"/>
  <c r="H20" i="18"/>
  <c r="G20" i="18"/>
  <c r="F20" i="18"/>
  <c r="E20" i="18"/>
  <c r="D20" i="18"/>
  <c r="C20" i="18"/>
  <c r="B20" i="18"/>
  <c r="N18" i="18"/>
  <c r="K18" i="18"/>
  <c r="J18" i="18"/>
  <c r="I18" i="18"/>
  <c r="H18" i="18"/>
  <c r="G18" i="18"/>
  <c r="F18" i="18"/>
  <c r="E18" i="18"/>
  <c r="D18" i="18"/>
  <c r="C18" i="18"/>
  <c r="B18" i="18"/>
  <c r="N16" i="18"/>
  <c r="K16" i="18"/>
  <c r="J16" i="18"/>
  <c r="I16" i="18"/>
  <c r="H16" i="18"/>
  <c r="G16" i="18"/>
  <c r="F16" i="18"/>
  <c r="E16" i="18"/>
  <c r="D16" i="18"/>
  <c r="C16" i="18"/>
  <c r="B16" i="18"/>
  <c r="N14" i="18"/>
  <c r="K14" i="18"/>
  <c r="J14" i="18"/>
  <c r="I14" i="18"/>
  <c r="H14" i="18"/>
  <c r="G14" i="18"/>
  <c r="F14" i="18"/>
  <c r="E14" i="18"/>
  <c r="D14" i="18"/>
  <c r="C14" i="18"/>
  <c r="B14" i="18"/>
  <c r="N12" i="18"/>
  <c r="K12" i="18"/>
  <c r="J12" i="18"/>
  <c r="I12" i="18"/>
  <c r="H12" i="18"/>
  <c r="G12" i="18"/>
  <c r="F12" i="18"/>
  <c r="E12" i="18"/>
  <c r="D12" i="18"/>
  <c r="C12" i="18"/>
  <c r="B12" i="18"/>
  <c r="N10" i="18"/>
  <c r="K10" i="18"/>
  <c r="J10" i="18"/>
  <c r="I10" i="18"/>
  <c r="H10" i="18"/>
  <c r="G10" i="18"/>
  <c r="F10" i="18"/>
  <c r="E10" i="18"/>
  <c r="D10" i="18"/>
  <c r="C10" i="18"/>
  <c r="B10" i="18"/>
  <c r="N8" i="18"/>
  <c r="K8" i="18"/>
  <c r="J8" i="18"/>
  <c r="I8" i="18"/>
  <c r="H8" i="18"/>
  <c r="G8" i="18"/>
  <c r="F8" i="18"/>
  <c r="E8" i="18"/>
  <c r="D8" i="18"/>
  <c r="C8" i="18"/>
  <c r="B8" i="18"/>
  <c r="N6" i="18"/>
  <c r="K6" i="18"/>
  <c r="J6" i="18"/>
  <c r="I6" i="18"/>
  <c r="H6" i="18"/>
  <c r="G6" i="18"/>
  <c r="F6" i="18"/>
  <c r="E6" i="18"/>
  <c r="D6" i="18"/>
  <c r="C6" i="18"/>
  <c r="M6" i="18" s="1"/>
  <c r="B6" i="18"/>
  <c r="N5" i="18"/>
  <c r="K5" i="18"/>
  <c r="J5" i="18"/>
  <c r="I5" i="18"/>
  <c r="H5" i="18"/>
  <c r="G5" i="18"/>
  <c r="F5" i="18"/>
  <c r="E5" i="18"/>
  <c r="D5" i="18"/>
  <c r="C5" i="18"/>
  <c r="M5" i="18" s="1"/>
  <c r="B5" i="18"/>
  <c r="N3" i="18"/>
  <c r="K3" i="18"/>
  <c r="J3" i="18"/>
  <c r="I3" i="18"/>
  <c r="H3" i="18"/>
  <c r="G3" i="18"/>
  <c r="F3" i="18"/>
  <c r="E3" i="18"/>
  <c r="D3" i="18"/>
  <c r="C3" i="18"/>
  <c r="B3" i="18"/>
  <c r="L1" i="18"/>
  <c r="B1" i="18"/>
  <c r="N22" i="17"/>
  <c r="K22" i="17"/>
  <c r="J22" i="17"/>
  <c r="I22" i="17"/>
  <c r="H22" i="17"/>
  <c r="G22" i="17"/>
  <c r="F22" i="17"/>
  <c r="E22" i="17"/>
  <c r="D22" i="17"/>
  <c r="C22" i="17"/>
  <c r="B22" i="17"/>
  <c r="N21" i="17"/>
  <c r="K21" i="17"/>
  <c r="J21" i="17"/>
  <c r="I21" i="17"/>
  <c r="H21" i="17"/>
  <c r="G21" i="17"/>
  <c r="F21" i="17"/>
  <c r="E21" i="17"/>
  <c r="D21" i="17"/>
  <c r="C21" i="17"/>
  <c r="B21" i="17"/>
  <c r="N20" i="17"/>
  <c r="K20" i="17"/>
  <c r="J20" i="17"/>
  <c r="I20" i="17"/>
  <c r="H20" i="17"/>
  <c r="G20" i="17"/>
  <c r="F20" i="17"/>
  <c r="E20" i="17"/>
  <c r="D20" i="17"/>
  <c r="C20" i="17"/>
  <c r="B20" i="17"/>
  <c r="N19" i="17"/>
  <c r="K19" i="17"/>
  <c r="J19" i="17"/>
  <c r="I19" i="17"/>
  <c r="H19" i="17"/>
  <c r="G19" i="17"/>
  <c r="F19" i="17"/>
  <c r="E19" i="17"/>
  <c r="D19" i="17"/>
  <c r="C19" i="17"/>
  <c r="B19" i="17"/>
  <c r="N18" i="17"/>
  <c r="K18" i="17"/>
  <c r="J18" i="17"/>
  <c r="I18" i="17"/>
  <c r="H18" i="17"/>
  <c r="G18" i="17"/>
  <c r="F18" i="17"/>
  <c r="E18" i="17"/>
  <c r="D18" i="17"/>
  <c r="C18" i="17"/>
  <c r="B18" i="17"/>
  <c r="N17" i="17"/>
  <c r="K17" i="17"/>
  <c r="J17" i="17"/>
  <c r="I17" i="17"/>
  <c r="H17" i="17"/>
  <c r="G17" i="17"/>
  <c r="F17" i="17"/>
  <c r="E17" i="17"/>
  <c r="D17" i="17"/>
  <c r="C17" i="17"/>
  <c r="B17" i="17"/>
  <c r="N16" i="17"/>
  <c r="K16" i="17"/>
  <c r="J16" i="17"/>
  <c r="I16" i="17"/>
  <c r="H16" i="17"/>
  <c r="G16" i="17"/>
  <c r="F16" i="17"/>
  <c r="E16" i="17"/>
  <c r="D16" i="17"/>
  <c r="C16" i="17"/>
  <c r="B16" i="17"/>
  <c r="N15" i="17"/>
  <c r="K15" i="17"/>
  <c r="J15" i="17"/>
  <c r="I15" i="17"/>
  <c r="H15" i="17"/>
  <c r="G15" i="17"/>
  <c r="F15" i="17"/>
  <c r="E15" i="17"/>
  <c r="D15" i="17"/>
  <c r="C15" i="17"/>
  <c r="B15" i="17"/>
  <c r="N14" i="17"/>
  <c r="K14" i="17"/>
  <c r="J14" i="17"/>
  <c r="I14" i="17"/>
  <c r="H14" i="17"/>
  <c r="G14" i="17"/>
  <c r="F14" i="17"/>
  <c r="E14" i="17"/>
  <c r="D14" i="17"/>
  <c r="C14" i="17"/>
  <c r="B14" i="17"/>
  <c r="N13" i="17"/>
  <c r="K13" i="17"/>
  <c r="J13" i="17"/>
  <c r="I13" i="17"/>
  <c r="H13" i="17"/>
  <c r="G13" i="17"/>
  <c r="F13" i="17"/>
  <c r="E13" i="17"/>
  <c r="D13" i="17"/>
  <c r="C13" i="17"/>
  <c r="B13" i="17"/>
  <c r="N11" i="17"/>
  <c r="K11" i="17"/>
  <c r="J11" i="17"/>
  <c r="I11" i="17"/>
  <c r="H11" i="17"/>
  <c r="G11" i="17"/>
  <c r="F11" i="17"/>
  <c r="E11" i="17"/>
  <c r="D11" i="17"/>
  <c r="C11" i="17"/>
  <c r="B11" i="17"/>
  <c r="N9" i="17"/>
  <c r="K9" i="17"/>
  <c r="J9" i="17"/>
  <c r="I9" i="17"/>
  <c r="H9" i="17"/>
  <c r="G9" i="17"/>
  <c r="F9" i="17"/>
  <c r="E9" i="17"/>
  <c r="D9" i="17"/>
  <c r="C9" i="17"/>
  <c r="B9" i="17"/>
  <c r="N7" i="17"/>
  <c r="K7" i="17"/>
  <c r="J7" i="17"/>
  <c r="I7" i="17"/>
  <c r="H7" i="17"/>
  <c r="G7" i="17"/>
  <c r="F7" i="17"/>
  <c r="E7" i="17"/>
  <c r="D7" i="17"/>
  <c r="C7" i="17"/>
  <c r="B7" i="17"/>
  <c r="N5" i="17"/>
  <c r="K5" i="17"/>
  <c r="J5" i="17"/>
  <c r="I5" i="17"/>
  <c r="H5" i="17"/>
  <c r="G5" i="17"/>
  <c r="F5" i="17"/>
  <c r="E5" i="17"/>
  <c r="D5" i="17"/>
  <c r="C5" i="17"/>
  <c r="B5" i="17"/>
  <c r="N3" i="17"/>
  <c r="K3" i="17"/>
  <c r="J3" i="17"/>
  <c r="I3" i="17"/>
  <c r="H3" i="17"/>
  <c r="G3" i="17"/>
  <c r="F3" i="17"/>
  <c r="E3" i="17"/>
  <c r="D3" i="17"/>
  <c r="C3" i="17"/>
  <c r="B3" i="17"/>
  <c r="L1" i="17"/>
  <c r="B1" i="17"/>
  <c r="C5" i="16"/>
  <c r="C6" i="16"/>
  <c r="N23" i="16" l="1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<sst xmlns="http://schemas.openxmlformats.org/spreadsheetml/2006/main" count="1252" uniqueCount="565">
  <si>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</si>
  <si>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</si>
  <si>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</si>
  <si>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</si>
  <si>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</si>
  <si>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</si>
  <si>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</si>
  <si>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</si>
  <si>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</si>
  <si>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</si>
  <si>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</si>
  <si>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</si>
  <si>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</si>
  <si>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</si>
  <si>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</si>
  <si>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</si>
  <si>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</si>
  <si>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</si>
  <si>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</si>
  <si>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</si>
  <si>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</si>
  <si>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</si>
  <si>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</si>
  <si>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</si>
  <si>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</si>
  <si>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</si>
  <si>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</si>
  <si>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</si>
  <si>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</si>
  <si>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</si>
  <si>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</si>
  <si>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</si>
  <si>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</si>
  <si>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</si>
  <si>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</si>
  <si>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</si>
  <si>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</si>
  <si>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</si>
  <si>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</si>
  <si>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</si>
  <si>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</si>
  <si>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</si>
  <si>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</si>
  <si>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</si>
  <si>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</si>
  <si>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</si>
  <si>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</si>
  <si>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</si>
  <si>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</si>
  <si>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</si>
  <si>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</si>
  <si>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</si>
  <si>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</si>
  <si>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</si>
  <si>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</si>
  <si>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</si>
  <si>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</si>
  <si>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</si>
  <si>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</si>
  <si>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</si>
  <si>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</si>
  <si>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</si>
  <si>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</si>
  <si>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</si>
  <si>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</si>
  <si>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</si>
  <si>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</si>
  <si>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</si>
  <si>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</si>
  <si>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</si>
  <si>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</si>
  <si>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</si>
  <si>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</si>
  <si>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</si>
  <si>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</si>
  <si>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</si>
  <si>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</si>
  <si>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</si>
  <si>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</si>
  <si>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</si>
  <si>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</si>
  <si>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</si>
  <si>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</si>
  <si>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</si>
  <si>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</si>
  <si>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</si>
  <si>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</si>
  <si>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</si>
  <si>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</si>
  <si>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</si>
  <si>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</si>
  <si>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</si>
  <si>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</si>
  <si>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</si>
  <si>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</si>
  <si>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</si>
  <si>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</si>
  <si>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</si>
  <si>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</si>
  <si>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</si>
  <si>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</si>
  <si>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</si>
  <si>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</si>
  <si>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</si>
  <si>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</si>
  <si>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</si>
  <si>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</si>
  <si>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</si>
  <si>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</si>
  <si>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</si>
  <si>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</si>
  <si>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</si>
  <si>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</si>
  <si>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</si>
  <si>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</si>
  <si>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</si>
  <si>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</si>
  <si>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</si>
  <si>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</si>
  <si>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</si>
  <si>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</si>
  <si>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</si>
  <si>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</si>
  <si>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</si>
  <si>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</si>
  <si>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</si>
  <si>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</si>
  <si>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</si>
  <si>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</si>
  <si>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</si>
  <si>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</si>
  <si>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</si>
  <si>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</si>
  <si>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</si>
  <si>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</si>
  <si>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</si>
  <si>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</si>
  <si>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</si>
  <si>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</si>
  <si>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</si>
  <si>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</si>
  <si>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</si>
  <si>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</si>
  <si>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</si>
  <si>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</si>
  <si>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</si>
  <si>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</si>
  <si>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</si>
  <si>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</si>
  <si>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</si>
  <si>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</si>
  <si>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</si>
  <si>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</si>
  <si>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</si>
  <si>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</si>
  <si>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</si>
  <si>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</si>
  <si>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</si>
  <si>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</si>
  <si>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</si>
  <si>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</si>
  <si>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</si>
  <si>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</si>
  <si>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</si>
  <si>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</si>
  <si>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</si>
  <si>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</si>
  <si>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</si>
  <si>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</si>
  <si>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</si>
  <si>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</si>
  <si>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</si>
  <si>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</si>
  <si>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</si>
  <si>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</si>
  <si>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</si>
  <si>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</si>
  <si>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</si>
  <si>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</si>
  <si>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</si>
  <si>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</si>
  <si>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</si>
  <si>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</si>
  <si>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</si>
  <si>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</si>
  <si>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</si>
  <si>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</si>
  <si>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</si>
  <si>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</si>
  <si>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</si>
  <si>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</si>
  <si>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</si>
  <si>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</si>
  <si>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</si>
  <si>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</si>
  <si>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</si>
  <si>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</si>
  <si>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</si>
  <si>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</si>
  <si>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</si>
  <si>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</si>
  <si>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</si>
  <si>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</si>
  <si>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</si>
  <si>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</si>
  <si>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</si>
  <si>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</si>
  <si>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</si>
  <si>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</si>
  <si>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</si>
  <si>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</si>
  <si>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</si>
  <si>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</si>
  <si>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</si>
  <si>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</si>
  <si>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</si>
  <si>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</si>
  <si>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</si>
  <si>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</si>
  <si>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</si>
  <si>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</si>
  <si>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</si>
  <si>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</si>
  <si>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</si>
  <si>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</si>
  <si>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</si>
  <si>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</si>
  <si>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</si>
  <si>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</si>
  <si>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</si>
  <si>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</si>
  <si>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</si>
  <si>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</si>
  <si>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</si>
  <si>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</si>
  <si>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</si>
  <si>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</si>
  <si>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</si>
  <si>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</si>
  <si>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</si>
  <si>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</si>
  <si>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</si>
  <si>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</si>
  <si>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</si>
  <si>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</si>
  <si>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</si>
  <si>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</si>
  <si>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</si>
  <si>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</si>
  <si>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</si>
  <si>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</si>
  <si>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</si>
  <si>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</si>
  <si>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</si>
  <si>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</si>
  <si>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</si>
  <si>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</si>
  <si>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</si>
  <si>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</si>
  <si>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</si>
  <si>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</si>
  <si>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</si>
  <si>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</si>
  <si>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</si>
  <si>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</si>
  <si>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</si>
  <si>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</si>
  <si>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</si>
  <si>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</si>
  <si>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</si>
  <si>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</si>
  <si>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</si>
  <si>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</si>
  <si>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</si>
  <si>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</si>
  <si>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</si>
  <si>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</si>
  <si>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</si>
  <si>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</si>
  <si>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</si>
  <si>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</si>
  <si>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</si>
  <si>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</si>
  <si>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</si>
  <si>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</si>
  <si>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</si>
  <si>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</si>
  <si>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</si>
  <si>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</si>
  <si>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</si>
  <si>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</si>
  <si>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</si>
  <si>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</si>
  <si>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</si>
  <si>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</si>
  <si>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</si>
  <si>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</si>
  <si>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</si>
  <si>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</si>
  <si>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</si>
  <si>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</si>
  <si>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</si>
  <si>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</si>
  <si>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</si>
  <si>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</si>
  <si>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</si>
  <si>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</si>
  <si>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</si>
  <si>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</si>
  <si>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</si>
  <si>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</si>
  <si>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</si>
  <si>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</si>
  <si>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</si>
  <si>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</si>
  <si>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</si>
  <si>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</si>
  <si>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</si>
  <si>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</si>
  <si>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</si>
  <si>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</si>
  <si>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</si>
  <si>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</si>
  <si>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</si>
  <si>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</si>
  <si>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</si>
  <si>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</si>
  <si>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</si>
  <si>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</si>
  <si>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</si>
  <si>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</si>
  <si>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</si>
  <si>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</si>
  <si>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</si>
  <si>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</si>
  <si>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</si>
  <si>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</si>
  <si>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</si>
  <si>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</si>
  <si>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</si>
  <si>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</si>
  <si>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</si>
  <si>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</si>
  <si>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</si>
  <si>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</si>
  <si>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</si>
  <si>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</si>
  <si>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</si>
  <si>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</si>
  <si>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</si>
  <si>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</si>
  <si>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</si>
  <si>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</si>
  <si>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</si>
  <si>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</si>
  <si>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</si>
  <si>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</si>
  <si>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</si>
  <si>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</si>
  <si>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</si>
  <si>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</si>
  <si>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</si>
  <si>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</si>
  <si>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</si>
  <si>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</si>
  <si>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</si>
  <si>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</si>
  <si>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</si>
  <si>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</si>
  <si>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</si>
  <si>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</si>
  <si>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</si>
  <si>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</si>
  <si>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</si>
  <si>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</si>
  <si>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</si>
  <si>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</si>
  <si>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</si>
  <si>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</si>
  <si>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</si>
  <si>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</si>
  <si>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</si>
  <si>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</si>
  <si>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</si>
  <si>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</si>
  <si>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</si>
  <si>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</si>
  <si>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</si>
  <si>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</si>
  <si>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</si>
  <si>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</si>
  <si>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</si>
  <si>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</si>
  <si>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</si>
  <si>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</si>
  <si>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</si>
  <si>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</si>
  <si>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</si>
  <si>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</si>
  <si>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</si>
  <si>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</si>
  <si>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</si>
  <si>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</si>
  <si>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</si>
  <si>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</si>
  <si>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</si>
  <si>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</si>
  <si>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</si>
  <si>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</si>
  <si>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</si>
  <si>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</si>
  <si>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</si>
  <si>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</si>
  <si>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</si>
  <si>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</si>
  <si>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</si>
  <si>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</si>
  <si>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</si>
  <si>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</si>
  <si>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</si>
  <si>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</si>
  <si>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</si>
  <si>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</si>
  <si>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</si>
  <si>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</si>
  <si>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</si>
  <si>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</si>
  <si>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</si>
  <si>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</si>
  <si>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</si>
  <si>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</si>
  <si>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</si>
  <si>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</si>
  <si>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</si>
  <si>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</si>
  <si>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</si>
  <si>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</si>
  <si>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</si>
  <si>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</si>
  <si>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</si>
  <si>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</si>
  <si>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</si>
  <si>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</si>
  <si>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</si>
  <si>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</si>
  <si>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</si>
  <si>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</si>
  <si>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</si>
  <si>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</si>
  <si>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</si>
  <si>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</si>
  <si>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</si>
  <si>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</si>
  <si>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</si>
  <si>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</si>
  <si>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</si>
  <si>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</si>
  <si>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</si>
  <si>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</si>
  <si>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</si>
  <si>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</si>
  <si>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</si>
  <si>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</si>
  <si>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</si>
  <si>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</si>
  <si>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</si>
  <si>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</si>
  <si>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</si>
  <si>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</si>
  <si>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</si>
  <si>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</si>
  <si>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</si>
  <si>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</si>
  <si>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</si>
  <si>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</si>
  <si>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</si>
  <si>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</si>
  <si>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</si>
  <si>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</si>
  <si>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</si>
  <si>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</si>
  <si>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</si>
  <si>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</si>
  <si>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</si>
  <si>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</si>
  <si>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</si>
  <si>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</si>
  <si>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</si>
  <si>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</si>
  <si>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</si>
  <si>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</si>
  <si>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</si>
  <si>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</si>
  <si>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</si>
  <si>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</si>
  <si>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</si>
  <si>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</si>
  <si>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</si>
  <si>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</si>
  <si>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</si>
  <si>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</si>
  <si>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</si>
  <si>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</si>
  <si>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</si>
  <si>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</si>
  <si>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</si>
  <si>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</si>
  <si>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</si>
  <si>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</si>
  <si>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</si>
  <si>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</si>
  <si>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</si>
  <si>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</si>
  <si>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</si>
  <si>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</si>
  <si>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</si>
  <si>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</si>
  <si>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</si>
  <si>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</si>
  <si>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</si>
  <si>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</si>
  <si>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</si>
  <si>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</si>
  <si>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</si>
  <si>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</si>
  <si>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</si>
  <si>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</si>
  <si>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</si>
  <si>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</si>
  <si>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</si>
  <si>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</si>
  <si>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</si>
  <si>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</si>
  <si>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</si>
  <si>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</si>
  <si>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</si>
  <si>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</si>
  <si>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</si>
  <si>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</si>
  <si>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</si>
  <si>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</si>
  <si>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</si>
  <si>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</si>
  <si>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S-2026-06-43</t>
  </si>
  <si>
    <t>S-2026-06-47</t>
  </si>
  <si>
    <t>S-2026-06-42</t>
  </si>
  <si>
    <t>S-2026-06-44</t>
  </si>
  <si>
    <t>S-2026-06-45</t>
  </si>
  <si>
    <t>S-2026-06-46</t>
  </si>
  <si>
    <t>S-2026-06-49</t>
  </si>
  <si>
    <t>S-2026-06-50</t>
  </si>
  <si>
    <t>S-2026-06-51</t>
  </si>
  <si>
    <t>S-2026-06-56</t>
  </si>
  <si>
    <t>S-2026-06-57</t>
  </si>
  <si>
    <t>S-2026-06-58</t>
  </si>
  <si>
    <t>S-2026-06-59</t>
  </si>
  <si>
    <t>S-2026-06-48</t>
  </si>
  <si>
    <t>S-2026-06-52</t>
  </si>
  <si>
    <t>S-2026-06-53</t>
  </si>
  <si>
    <t>S-2026-06-55</t>
  </si>
  <si>
    <t>S-2026-06-54</t>
  </si>
  <si>
    <t>tồn</t>
  </si>
  <si>
    <t>12/6/2026</t>
  </si>
  <si>
    <t>13/6/2026</t>
  </si>
  <si>
    <t>TỒN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</si>
</sst>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164" fontId="24" fillId="0" borderId="5" xfId="1" quotePrefix="1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m.dv2\AppData\Local\Temp\Zalo%20Temp\TempDownloads\kiemton%2012.6.xlsx" TargetMode="External"/><Relationship Id="rId1" Type="http://schemas.openxmlformats.org/officeDocument/2006/relationships/externalLinkPath" Target="file:///C:\Users\lam.dv2\AppData\Local\Temp\Zalo%20Temp\TempDownloads\kiemton%2012.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change status 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8.6"/>
      <sheetName val="9.6"/>
      <sheetName val="10.6"/>
      <sheetName val="BCN 10.6"/>
      <sheetName val="BCN 12.6"/>
      <sheetName val="12.6"/>
      <sheetName val="form 2 (26)"/>
      <sheetName val="In đơn"/>
      <sheetName val="Production BOM"/>
      <sheetName val="Items"/>
      <sheetName val="mm Pu"/>
      <sheetName val="master plan (2)"/>
      <sheetName val="form 2 (25)"/>
      <sheetName val="form 2 (23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1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</sheetNames>
    <sheetDataSet>
      <sheetData sheetId="0"/>
      <sheetData sheetId="1"/>
      <sheetData sheetId="2"/>
      <sheetData sheetId="3"/>
      <sheetData sheetId="4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120</v>
          </cell>
          <cell r="I2">
            <v>120</v>
          </cell>
          <cell r="J2">
            <v>0</v>
          </cell>
          <cell r="K2">
            <v>120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5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40</v>
          </cell>
          <cell r="K460">
            <v>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30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20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30</v>
          </cell>
          <cell r="K484">
            <v>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20</v>
          </cell>
          <cell r="K485">
            <v>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30</v>
          </cell>
          <cell r="K486">
            <v>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30</v>
          </cell>
          <cell r="K487">
            <v>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60</v>
          </cell>
          <cell r="K488">
            <v>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50</v>
          </cell>
          <cell r="K489">
            <v>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20</v>
          </cell>
          <cell r="K490">
            <v>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50</v>
          </cell>
          <cell r="K491">
            <v>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25</v>
          </cell>
          <cell r="K492">
            <v>0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25</v>
          </cell>
          <cell r="K493">
            <v>0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5</v>
          </cell>
          <cell r="K496">
            <v>0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4</v>
          </cell>
          <cell r="K497">
            <v>0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5</v>
          </cell>
          <cell r="K498">
            <v>0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5</v>
          </cell>
          <cell r="K500">
            <v>0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4</v>
          </cell>
          <cell r="K501">
            <v>0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2</v>
          </cell>
          <cell r="K502">
            <v>0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70</v>
          </cell>
          <cell r="K503">
            <v>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 t="str">
            <v>dời ETD</v>
          </cell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46190</v>
          </cell>
          <cell r="R513">
            <v>46187</v>
          </cell>
          <cell r="S513">
            <v>6</v>
          </cell>
          <cell r="T513">
            <v>9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 t="str">
            <v>dời ETD</v>
          </cell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46190</v>
          </cell>
          <cell r="R516">
            <v>46187</v>
          </cell>
          <cell r="S516">
            <v>6</v>
          </cell>
          <cell r="T516">
            <v>9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 t="str">
            <v>dời ETD</v>
          </cell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46191</v>
          </cell>
          <cell r="R517">
            <v>46188</v>
          </cell>
          <cell r="S517">
            <v>6</v>
          </cell>
          <cell r="T517">
            <v>10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>
            <v>4</v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 t="str">
            <v>dời ETD</v>
          </cell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46190</v>
          </cell>
          <cell r="R523">
            <v>46187</v>
          </cell>
          <cell r="S523">
            <v>6</v>
          </cell>
          <cell r="T523">
            <v>8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 t="str">
            <v>dời ETD</v>
          </cell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46192</v>
          </cell>
          <cell r="R524">
            <v>46189</v>
          </cell>
          <cell r="S524">
            <v>6</v>
          </cell>
          <cell r="T524">
            <v>10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 t="str">
            <v>S-2026-06-42</v>
          </cell>
          <cell r="B529" t="str">
            <v>dời ETD</v>
          </cell>
          <cell r="C529" t="str">
            <v>RPRO-260610-0503</v>
          </cell>
          <cell r="D529" t="str">
            <v>PUR2600601000001S</v>
          </cell>
          <cell r="E529" t="str">
            <v>BDB-000331</v>
          </cell>
          <cell r="F529" t="str">
            <v>PVN-004446</v>
          </cell>
          <cell r="G529" t="str">
            <v>OrthoLite X-35-Nike FOSSIL/17-0909TPX 0.145D 25+/-4 Asker C 1.1M 2M 4.5mm</v>
          </cell>
          <cell r="H529">
            <v>20</v>
          </cell>
          <cell r="I529">
            <v>20</v>
          </cell>
          <cell r="J529">
            <v>0</v>
          </cell>
          <cell r="K529">
            <v>20</v>
          </cell>
          <cell r="L529" t="str">
            <v>NIKE</v>
          </cell>
          <cell r="M529" t="str">
            <v>Sample</v>
          </cell>
          <cell r="N529" t="str">
            <v>MOLDED</v>
          </cell>
          <cell r="O529" t="str">
            <v>Sample</v>
          </cell>
          <cell r="P529">
            <v>46183</v>
          </cell>
          <cell r="Q529">
            <v>46195</v>
          </cell>
          <cell r="R529">
            <v>46192</v>
          </cell>
          <cell r="S529">
            <v>6</v>
          </cell>
          <cell r="T529">
            <v>12</v>
          </cell>
          <cell r="U529">
            <v>4.5</v>
          </cell>
          <cell r="V529">
            <v>3.125E-2</v>
          </cell>
          <cell r="W529">
            <v>1</v>
          </cell>
        </row>
        <row r="530">
          <cell r="A530" t="str">
            <v>S-2026-06-43</v>
          </cell>
          <cell r="B530"/>
          <cell r="C530" t="str">
            <v>RPRO-260610-0504</v>
          </cell>
          <cell r="D530" t="str">
            <v xml:space="preserve">PUR2606100002S  </v>
          </cell>
          <cell r="E530" t="str">
            <v>BDB-000123</v>
          </cell>
          <cell r="F530" t="str">
            <v>PVN-003299</v>
          </cell>
          <cell r="G530" t="str">
            <v>OrthoLite Ultra-Hybrid SEEDPEARL/12-0703TPX Hybrid Flat Sheet 0.085D 25+/-4 Asker C 1.1M 2M 3mm</v>
          </cell>
          <cell r="H530">
            <v>250</v>
          </cell>
          <cell r="I530">
            <v>250</v>
          </cell>
          <cell r="J530">
            <v>0</v>
          </cell>
          <cell r="K530">
            <v>250</v>
          </cell>
          <cell r="L530" t="str">
            <v>ADIDAS</v>
          </cell>
          <cell r="M530" t="str">
            <v>SSO-2606-00410/00419 - URGENT (6-14)</v>
          </cell>
          <cell r="N530" t="str">
            <v>Flat sheet</v>
          </cell>
          <cell r="O530" t="str">
            <v>Sample</v>
          </cell>
          <cell r="P530">
            <v>46183</v>
          </cell>
          <cell r="Q530">
            <v>46190</v>
          </cell>
          <cell r="R530">
            <v>46187</v>
          </cell>
          <cell r="S530">
            <v>6</v>
          </cell>
          <cell r="T530">
            <v>7</v>
          </cell>
          <cell r="U530">
            <v>3</v>
          </cell>
          <cell r="V530">
            <v>2.1739999999999999E-2</v>
          </cell>
          <cell r="W530">
            <v>6</v>
          </cell>
        </row>
        <row r="531">
          <cell r="A531" t="str">
            <v>S-2026-06-44</v>
          </cell>
          <cell r="B531" t="str">
            <v>dời ETD</v>
          </cell>
          <cell r="C531" t="str">
            <v>RPRO-260610-0505</v>
          </cell>
          <cell r="D531" t="str">
            <v xml:space="preserve">PUR2606100002S  </v>
          </cell>
          <cell r="E531" t="str">
            <v>BDB-000055</v>
          </cell>
          <cell r="F531" t="str">
            <v>PVN-004155</v>
          </cell>
          <cell r="G531" t="str">
            <v>OrthoLite X-40 TRUE BLUE/19-4057TPX Flat Sheet 0.16D 35+/-4 Asker C 1.1M 1.7M 3.2mm</v>
          </cell>
          <cell r="H531">
            <v>10</v>
          </cell>
          <cell r="I531">
            <v>10</v>
          </cell>
          <cell r="J531">
            <v>0</v>
          </cell>
          <cell r="K531">
            <v>10</v>
          </cell>
          <cell r="L531" t="str">
            <v>ADIDAS</v>
          </cell>
          <cell r="M531" t="str">
            <v>Sample</v>
          </cell>
          <cell r="N531" t="str">
            <v>Molded</v>
          </cell>
          <cell r="O531" t="str">
            <v>Sample</v>
          </cell>
          <cell r="P531">
            <v>46183</v>
          </cell>
          <cell r="Q531">
            <v>46195</v>
          </cell>
          <cell r="R531">
            <v>46192</v>
          </cell>
          <cell r="S531">
            <v>6</v>
          </cell>
          <cell r="T531">
            <v>12</v>
          </cell>
          <cell r="U531">
            <v>3.2</v>
          </cell>
          <cell r="V531">
            <v>2.3259999999999999E-2</v>
          </cell>
          <cell r="W531">
            <v>1</v>
          </cell>
        </row>
        <row r="532">
          <cell r="A532" t="str">
            <v>S-2026-06-45</v>
          </cell>
          <cell r="B532" t="str">
            <v>dời ETD</v>
          </cell>
          <cell r="C532" t="str">
            <v>RPRO-260610-0506</v>
          </cell>
          <cell r="D532" t="str">
            <v>PUR2606100004S</v>
          </cell>
          <cell r="E532" t="str">
            <v>BDB-000209</v>
          </cell>
          <cell r="F532" t="str">
            <v>PVN-003537</v>
          </cell>
          <cell r="G532" t="str">
            <v>OrthoLite HybridPlus-Recycled MINT GREEN/11-4805TPX Hybrid 0.12D 25+/-4 Asker C 1.1M 2M 4.5mm</v>
          </cell>
          <cell r="H532">
            <v>30</v>
          </cell>
          <cell r="I532">
            <v>30</v>
          </cell>
          <cell r="J532">
            <v>0</v>
          </cell>
          <cell r="K532">
            <v>30</v>
          </cell>
          <cell r="L532" t="str">
            <v>AKU</v>
          </cell>
          <cell r="M532" t="str">
            <v>SSO-2606-00451</v>
          </cell>
          <cell r="N532" t="str">
            <v>OE-0111A</v>
          </cell>
          <cell r="O532" t="str">
            <v>Sample</v>
          </cell>
          <cell r="P532">
            <v>46183</v>
          </cell>
          <cell r="Q532">
            <v>46195</v>
          </cell>
          <cell r="R532">
            <v>46192</v>
          </cell>
          <cell r="S532">
            <v>6</v>
          </cell>
          <cell r="T532">
            <v>12</v>
          </cell>
          <cell r="U532">
            <v>4.5</v>
          </cell>
          <cell r="V532">
            <v>3.2259999999999997E-2</v>
          </cell>
          <cell r="W532">
            <v>1</v>
          </cell>
        </row>
        <row r="533">
          <cell r="A533" t="str">
            <v>S-2026-06-46</v>
          </cell>
          <cell r="B533"/>
          <cell r="C533" t="str">
            <v>RPRO-260610-0507</v>
          </cell>
          <cell r="D533" t="str">
            <v>PUR2606100005S</v>
          </cell>
          <cell r="E533" t="str">
            <v>BDB-000083</v>
          </cell>
          <cell r="F533" t="str">
            <v>PVN-000935</v>
          </cell>
          <cell r="G533" t="str">
            <v>OrthoLite Eco LT 300C(ADIDAS BLUEBIRD) Flat Sheet 0.11D 25+/-4 Asker C 1.1M 2M 4mm</v>
          </cell>
          <cell r="H533">
            <v>200</v>
          </cell>
          <cell r="I533">
            <v>200</v>
          </cell>
          <cell r="J533">
            <v>0</v>
          </cell>
          <cell r="K533">
            <v>200</v>
          </cell>
          <cell r="L533" t="str">
            <v>ADIDAS</v>
          </cell>
          <cell r="M533" t="str">
            <v>SSO-2606-00449 - URGENT (6-20)</v>
          </cell>
          <cell r="N533" t="str">
            <v>Flat sheet</v>
          </cell>
          <cell r="O533" t="str">
            <v>Sample</v>
          </cell>
          <cell r="P533">
            <v>46183</v>
          </cell>
          <cell r="Q533">
            <v>46192</v>
          </cell>
          <cell r="R533">
            <v>46189</v>
          </cell>
          <cell r="S533">
            <v>6</v>
          </cell>
          <cell r="T533">
            <v>9</v>
          </cell>
          <cell r="U533">
            <v>4</v>
          </cell>
          <cell r="V533">
            <v>2.8570000000000002E-2</v>
          </cell>
          <cell r="W533">
            <v>6</v>
          </cell>
        </row>
        <row r="534">
          <cell r="A534" t="str">
            <v>S-2026-06-47</v>
          </cell>
          <cell r="B534"/>
          <cell r="C534" t="str">
            <v>RPRO-260610-0508</v>
          </cell>
          <cell r="D534" t="str">
            <v>PUR2606100005S</v>
          </cell>
          <cell r="E534" t="str">
            <v>BDB-000058</v>
          </cell>
          <cell r="F534" t="str">
            <v>PVN-001277</v>
          </cell>
          <cell r="G534" t="str">
            <v>OrthoLite Ultra GREEN/16-5932TPX Flat Sheet 0.085D 25+/-4 Asker C 1.1M 2M 4mm</v>
          </cell>
          <cell r="H534">
            <v>30</v>
          </cell>
          <cell r="I534">
            <v>30</v>
          </cell>
          <cell r="J534">
            <v>0</v>
          </cell>
          <cell r="K534">
            <v>30</v>
          </cell>
          <cell r="L534" t="str">
            <v>ADIDAS</v>
          </cell>
          <cell r="M534" t="str">
            <v>SSO-2606-00356 - URGENT (6-14)</v>
          </cell>
          <cell r="N534" t="str">
            <v>Flat sheet</v>
          </cell>
          <cell r="O534" t="str">
            <v>Sample</v>
          </cell>
          <cell r="P534">
            <v>46183</v>
          </cell>
          <cell r="Q534">
            <v>46191</v>
          </cell>
          <cell r="R534">
            <v>46188</v>
          </cell>
          <cell r="S534">
            <v>6</v>
          </cell>
          <cell r="T534">
            <v>8</v>
          </cell>
          <cell r="U534">
            <v>4</v>
          </cell>
          <cell r="V534">
            <v>2.8570000000000002E-2</v>
          </cell>
          <cell r="W534">
            <v>1</v>
          </cell>
        </row>
        <row r="535">
          <cell r="A535" t="str">
            <v>S-2026-06-48</v>
          </cell>
          <cell r="B535"/>
          <cell r="C535" t="str">
            <v>RPRO-260612-0058</v>
          </cell>
          <cell r="D535" t="str">
            <v>SSO-2606-00494  - MILLET</v>
          </cell>
          <cell r="E535" t="str">
            <v>BDB-000212</v>
          </cell>
          <cell r="F535" t="str">
            <v>PVN-004055</v>
          </cell>
          <cell r="G535" t="str">
            <v>OrthoLite X-25-Hybrid SEEDPEARL/12-0703TPX Hybrid Flat Sheet 0.12D 20+/-4 Asker C 1.1M 2M 9mm</v>
          </cell>
          <cell r="H535">
            <v>20</v>
          </cell>
          <cell r="I535">
            <v>20</v>
          </cell>
          <cell r="J535">
            <v>0</v>
          </cell>
          <cell r="K535">
            <v>20</v>
          </cell>
          <cell r="L535" t="str">
            <v>MILLET</v>
          </cell>
          <cell r="M535" t="str">
            <v>SSO-2606-00494</v>
          </cell>
          <cell r="N535" t="str">
            <v>OE-0111A</v>
          </cell>
          <cell r="O535" t="str">
            <v>Sample</v>
          </cell>
          <cell r="P535">
            <v>46184</v>
          </cell>
          <cell r="Q535">
            <v>46196</v>
          </cell>
          <cell r="R535">
            <v>46193</v>
          </cell>
          <cell r="S535">
            <v>6</v>
          </cell>
          <cell r="T535">
            <v>12</v>
          </cell>
          <cell r="U535">
            <v>9</v>
          </cell>
          <cell r="V535">
            <v>6.6669999999999993E-2</v>
          </cell>
          <cell r="W535">
            <v>2</v>
          </cell>
        </row>
        <row r="536">
          <cell r="A536" t="str">
            <v>S-2026-06-49</v>
          </cell>
          <cell r="B536"/>
          <cell r="C536" t="str">
            <v>RPRO-260612-0059</v>
          </cell>
          <cell r="D536" t="str">
            <v>PUR2600601100001S</v>
          </cell>
          <cell r="E536" t="str">
            <v>BDB-000375</v>
          </cell>
          <cell r="F536" t="str">
            <v>PVN-004319</v>
          </cell>
          <cell r="G536" t="str">
            <v>OrthoLite X-25-Nike SEEDPEARL/12-0703TPX Flat Sheet 0.12D 20+/-4 Asker C 1.1M 2M 4mm</v>
          </cell>
          <cell r="H536">
            <v>30</v>
          </cell>
          <cell r="I536">
            <v>30</v>
          </cell>
          <cell r="J536">
            <v>0</v>
          </cell>
          <cell r="K536">
            <v>30</v>
          </cell>
          <cell r="L536" t="str">
            <v>NIKE</v>
          </cell>
          <cell r="M536" t="str">
            <v>Sample</v>
          </cell>
          <cell r="N536" t="str">
            <v>DIE CUT</v>
          </cell>
          <cell r="O536" t="str">
            <v>Sample</v>
          </cell>
          <cell r="P536">
            <v>46184</v>
          </cell>
          <cell r="Q536">
            <v>46195</v>
          </cell>
          <cell r="R536">
            <v>46192</v>
          </cell>
          <cell r="S536">
            <v>6</v>
          </cell>
          <cell r="T536">
            <v>11</v>
          </cell>
          <cell r="U536">
            <v>4</v>
          </cell>
          <cell r="V536">
            <v>2.7779999999999999E-2</v>
          </cell>
          <cell r="W536">
            <v>1</v>
          </cell>
        </row>
        <row r="537">
          <cell r="A537" t="str">
            <v>S-2026-06-50</v>
          </cell>
          <cell r="B537"/>
          <cell r="C537" t="str">
            <v>RPRO-260612-0060</v>
          </cell>
          <cell r="D537" t="str">
            <v>PUR2606110002S</v>
          </cell>
          <cell r="E537" t="str">
            <v>BDB-000348</v>
          </cell>
          <cell r="F537" t="str">
            <v>PVN-004405</v>
          </cell>
          <cell r="G537" t="str">
            <v>OrthoLite IMPERIAL SEEDPEARL/12-0703TPX Flat Sheet 0.22D 25+/-4 Asker C 1.1M 1.47M 6mm</v>
          </cell>
          <cell r="H537">
            <v>30</v>
          </cell>
          <cell r="I537">
            <v>30</v>
          </cell>
          <cell r="J537">
            <v>0</v>
          </cell>
          <cell r="K537">
            <v>30</v>
          </cell>
          <cell r="L537" t="str">
            <v>ADIDAS</v>
          </cell>
          <cell r="M537" t="str">
            <v>SSO-2606-00379 - URGENT (6-18)</v>
          </cell>
          <cell r="N537" t="str">
            <v>Flat sheet</v>
          </cell>
          <cell r="O537" t="str">
            <v>Sample</v>
          </cell>
          <cell r="P537">
            <v>46184</v>
          </cell>
          <cell r="Q537">
            <v>46195</v>
          </cell>
          <cell r="R537">
            <v>46192</v>
          </cell>
          <cell r="S537">
            <v>6</v>
          </cell>
          <cell r="T537">
            <v>11</v>
          </cell>
          <cell r="U537">
            <v>6</v>
          </cell>
          <cell r="V537">
            <v>4.1669999999999999E-2</v>
          </cell>
          <cell r="W537">
            <v>2</v>
          </cell>
        </row>
        <row r="538">
          <cell r="A538" t="str">
            <v>S-2026-06-51</v>
          </cell>
          <cell r="B538"/>
          <cell r="C538" t="str">
            <v>RPRO-260612-0061</v>
          </cell>
          <cell r="D538" t="str">
            <v>PUR2606110002S</v>
          </cell>
          <cell r="E538" t="str">
            <v>BDB-000348</v>
          </cell>
          <cell r="F538" t="str">
            <v>PVN-004195</v>
          </cell>
          <cell r="G538" t="str">
            <v>OrthoLite IMPERIAL SEEDPEARL/12-0703TPX Flat Sheet 0.22D 25+/-4 Asker C 1.1M 1.47M 4mm</v>
          </cell>
          <cell r="H538">
            <v>100</v>
          </cell>
          <cell r="I538">
            <v>100</v>
          </cell>
          <cell r="J538">
            <v>0</v>
          </cell>
          <cell r="K538">
            <v>100</v>
          </cell>
          <cell r="L538" t="str">
            <v>ADIDAS</v>
          </cell>
          <cell r="M538" t="str">
            <v>SSO-2606-00491 - URGENT (6-18)</v>
          </cell>
          <cell r="N538" t="str">
            <v>Flat sheet</v>
          </cell>
          <cell r="O538" t="str">
            <v>Sample</v>
          </cell>
          <cell r="P538">
            <v>46184</v>
          </cell>
          <cell r="Q538">
            <v>46195</v>
          </cell>
          <cell r="R538">
            <v>46192</v>
          </cell>
          <cell r="S538">
            <v>6</v>
          </cell>
          <cell r="T538">
            <v>11</v>
          </cell>
          <cell r="U538">
            <v>4</v>
          </cell>
          <cell r="V538">
            <v>2.8570000000000002E-2</v>
          </cell>
          <cell r="W538">
            <v>3</v>
          </cell>
        </row>
        <row r="539">
          <cell r="A539" t="str">
            <v>S-2026-06-52</v>
          </cell>
          <cell r="B539"/>
          <cell r="C539" t="str">
            <v>RPRO-260612-0062</v>
          </cell>
          <cell r="D539" t="str">
            <v>PUR-202606110003S</v>
          </cell>
          <cell r="E539" t="str">
            <v>BDB-000011</v>
          </cell>
          <cell r="F539" t="str">
            <v>PVN-000128</v>
          </cell>
          <cell r="G539" t="str">
            <v>OrthoLite Regular AIR BLUE/16-4134TPX 0.13D 35+/-4 Asker C 1.1M 2M 6mm</v>
          </cell>
          <cell r="H539">
            <v>40</v>
          </cell>
          <cell r="I539">
            <v>40</v>
          </cell>
          <cell r="J539">
            <v>0</v>
          </cell>
          <cell r="K539">
            <v>40</v>
          </cell>
          <cell r="L539" t="str">
            <v>ASICS</v>
          </cell>
          <cell r="M539" t="str">
            <v>Sample</v>
          </cell>
          <cell r="N539" t="str">
            <v>MOLDED</v>
          </cell>
          <cell r="O539" t="str">
            <v>Sample</v>
          </cell>
          <cell r="P539">
            <v>46184</v>
          </cell>
          <cell r="Q539">
            <v>46196</v>
          </cell>
          <cell r="R539">
            <v>46193</v>
          </cell>
          <cell r="S539">
            <v>6</v>
          </cell>
          <cell r="T539">
            <v>12</v>
          </cell>
          <cell r="U539">
            <v>6</v>
          </cell>
          <cell r="V539">
            <v>4.3479999999999998E-2</v>
          </cell>
          <cell r="W539">
            <v>2</v>
          </cell>
        </row>
        <row r="540">
          <cell r="A540" t="str">
            <v>S-2026-06-53</v>
          </cell>
          <cell r="B540"/>
          <cell r="C540" t="str">
            <v>RPRO-260612-0063</v>
          </cell>
          <cell r="D540" t="str">
            <v>PUR-202606110003S</v>
          </cell>
          <cell r="E540" t="str">
            <v>BDB-000113</v>
          </cell>
          <cell r="F540" t="str">
            <v>PVN-002688</v>
          </cell>
          <cell r="G540" t="str">
            <v>OrthoLite Regular-Hybrid SEEDPEARL/12-0703TPX Hybrid 0.11D 25+/-4 Asker C 1.1M 2M 6mm</v>
          </cell>
          <cell r="H540">
            <v>80</v>
          </cell>
          <cell r="I540">
            <v>80</v>
          </cell>
          <cell r="J540">
            <v>0</v>
          </cell>
          <cell r="K540">
            <v>80</v>
          </cell>
          <cell r="L540" t="str">
            <v>ASICS</v>
          </cell>
          <cell r="M540" t="str">
            <v>Sample</v>
          </cell>
          <cell r="N540" t="str">
            <v>MOLDED</v>
          </cell>
          <cell r="O540" t="str">
            <v>Sample</v>
          </cell>
          <cell r="P540">
            <v>46184</v>
          </cell>
          <cell r="Q540">
            <v>46196</v>
          </cell>
          <cell r="R540">
            <v>46193</v>
          </cell>
          <cell r="S540">
            <v>6</v>
          </cell>
          <cell r="T540">
            <v>12</v>
          </cell>
          <cell r="U540">
            <v>6</v>
          </cell>
          <cell r="V540">
            <v>4.3479999999999998E-2</v>
          </cell>
          <cell r="W540">
            <v>4</v>
          </cell>
        </row>
        <row r="541">
          <cell r="A541" t="str">
            <v>S-2026-06-54</v>
          </cell>
          <cell r="B541"/>
          <cell r="C541" t="str">
            <v>RPRO-260612-0064</v>
          </cell>
          <cell r="D541" t="str">
            <v>PUR-202606110003S</v>
          </cell>
          <cell r="E541" t="str">
            <v>BDB-000008</v>
          </cell>
          <cell r="F541" t="str">
            <v>PVN-000457</v>
          </cell>
          <cell r="G541" t="str">
            <v>OrthoLite Regular LIME GREEN/14-0452TPX 0.11D 25+/-4 Asker C 1.1M 2M 6mm</v>
          </cell>
          <cell r="H541">
            <v>30</v>
          </cell>
          <cell r="I541">
            <v>30</v>
          </cell>
          <cell r="J541">
            <v>0</v>
          </cell>
          <cell r="K541">
            <v>30</v>
          </cell>
          <cell r="L541" t="str">
            <v>ASICS</v>
          </cell>
          <cell r="M541" t="str">
            <v>Sample</v>
          </cell>
          <cell r="N541" t="str">
            <v>MOLDED</v>
          </cell>
          <cell r="O541" t="str">
            <v>Sample</v>
          </cell>
          <cell r="P541">
            <v>46184</v>
          </cell>
          <cell r="Q541">
            <v>46196</v>
          </cell>
          <cell r="R541">
            <v>46193</v>
          </cell>
          <cell r="S541">
            <v>6</v>
          </cell>
          <cell r="T541">
            <v>12</v>
          </cell>
          <cell r="U541">
            <v>6</v>
          </cell>
          <cell r="V541">
            <v>4.3479999999999998E-2</v>
          </cell>
          <cell r="W541">
            <v>2</v>
          </cell>
        </row>
        <row r="542">
          <cell r="A542" t="str">
            <v>S-2026-06-55</v>
          </cell>
          <cell r="B542"/>
          <cell r="C542" t="str">
            <v>RPRO-260612-0065</v>
          </cell>
          <cell r="D542" t="str">
            <v>PUR-202606110003S</v>
          </cell>
          <cell r="E542" t="str">
            <v>BDB-000113</v>
          </cell>
          <cell r="F542" t="str">
            <v>PVN-002501</v>
          </cell>
          <cell r="G542" t="str">
            <v>OrthoLite Regular-Hybrid SEEDPEARL/12-0703TPX Hybrid Flat Sheet 0.11D 25+/-4 Asker C 1.1M 2M 2mm</v>
          </cell>
          <cell r="H542">
            <v>20</v>
          </cell>
          <cell r="I542">
            <v>20</v>
          </cell>
          <cell r="J542">
            <v>0</v>
          </cell>
          <cell r="K542">
            <v>20</v>
          </cell>
          <cell r="L542" t="str">
            <v>ASICS</v>
          </cell>
          <cell r="M542" t="str">
            <v>Sample</v>
          </cell>
          <cell r="N542" t="str">
            <v>FL SHEET</v>
          </cell>
          <cell r="O542" t="str">
            <v>Sample</v>
          </cell>
          <cell r="P542">
            <v>46184</v>
          </cell>
          <cell r="Q542">
            <v>46196</v>
          </cell>
          <cell r="R542">
            <v>46193</v>
          </cell>
          <cell r="S542">
            <v>6</v>
          </cell>
          <cell r="T542">
            <v>12</v>
          </cell>
          <cell r="U542">
            <v>2</v>
          </cell>
          <cell r="V542">
            <v>1.4290000000000001E-2</v>
          </cell>
          <cell r="W542">
            <v>1</v>
          </cell>
        </row>
        <row r="543">
          <cell r="A543" t="str">
            <v>S-2026-06-56</v>
          </cell>
          <cell r="B543"/>
          <cell r="C543" t="str">
            <v>RPRO-260612-0066</v>
          </cell>
          <cell r="D543" t="str">
            <v>PUR2606110004S</v>
          </cell>
          <cell r="E543" t="str">
            <v>BDB-000033</v>
          </cell>
          <cell r="F543" t="str">
            <v>PVN-003858</v>
          </cell>
          <cell r="G543" t="str">
            <v>OrthoLite Regular SEEDPEARL/12-0703TPX Flat Sheet 0.13D 35+/-4 Asker C 1.1M 2M 5mm</v>
          </cell>
          <cell r="H543">
            <v>10</v>
          </cell>
          <cell r="I543">
            <v>10</v>
          </cell>
          <cell r="J543">
            <v>0</v>
          </cell>
          <cell r="K543">
            <v>10</v>
          </cell>
          <cell r="L543" t="str">
            <v>ADIDAS</v>
          </cell>
          <cell r="M543" t="str">
            <v>SSO-2606-00519 - URGENT (6-22)</v>
          </cell>
          <cell r="N543" t="str">
            <v>Flat sheet</v>
          </cell>
          <cell r="O543" t="str">
            <v>Sample</v>
          </cell>
          <cell r="P543">
            <v>46184</v>
          </cell>
          <cell r="Q543">
            <v>46195</v>
          </cell>
          <cell r="R543">
            <v>46192</v>
          </cell>
          <cell r="S543">
            <v>6</v>
          </cell>
          <cell r="T543">
            <v>11</v>
          </cell>
          <cell r="U543">
            <v>5</v>
          </cell>
          <cell r="V543">
            <v>3.5709999999999999E-2</v>
          </cell>
          <cell r="W543">
            <v>1</v>
          </cell>
        </row>
        <row r="544">
          <cell r="A544" t="str">
            <v>S-2026-06-57</v>
          </cell>
          <cell r="B544"/>
          <cell r="C544" t="str">
            <v>RPRO-260612-0067</v>
          </cell>
          <cell r="D544" t="str">
            <v>cloudsurfer max 3</v>
          </cell>
          <cell r="E544" t="str">
            <v>BDB-000209</v>
          </cell>
          <cell r="F544" t="str">
            <v>PVN-003550</v>
          </cell>
          <cell r="G544" t="str">
            <v>OrthoLite HybridPlus-Recycled MINT GREEN/11-4805TPX Hybrid Flat Sheet 0.12D 25+/-4 Asker C 1.1M 2M 6mm</v>
          </cell>
          <cell r="H544">
            <v>2</v>
          </cell>
          <cell r="I544">
            <v>2</v>
          </cell>
          <cell r="J544">
            <v>0</v>
          </cell>
          <cell r="K544">
            <v>2</v>
          </cell>
          <cell r="L544" t="str">
            <v>ON RUNNING</v>
          </cell>
          <cell r="M544"/>
          <cell r="N544" t="str">
            <v>INSOLE/ MOLDED</v>
          </cell>
          <cell r="O544" t="str">
            <v>Sample</v>
          </cell>
          <cell r="P544">
            <v>46184</v>
          </cell>
          <cell r="Q544">
            <v>46195</v>
          </cell>
          <cell r="R544">
            <v>46192</v>
          </cell>
          <cell r="S544">
            <v>6</v>
          </cell>
          <cell r="T544">
            <v>11</v>
          </cell>
          <cell r="U544">
            <v>6</v>
          </cell>
          <cell r="V544">
            <v>4.3479999999999998E-2</v>
          </cell>
          <cell r="W544">
            <v>1</v>
          </cell>
        </row>
        <row r="545">
          <cell r="A545" t="str">
            <v>S-2026-06-58</v>
          </cell>
          <cell r="B545"/>
          <cell r="C545" t="str">
            <v>RPRO-260612-0068</v>
          </cell>
          <cell r="D545" t="str">
            <v>cloudsurfer max 3</v>
          </cell>
          <cell r="E545" t="str">
            <v>BDB-000123</v>
          </cell>
          <cell r="F545" t="str">
            <v>PVN-003815</v>
          </cell>
          <cell r="G545" t="str">
            <v>OrthoLite Ultra-Hybrid SEEDPEARL/12-0703TPX Hybrid Flat Sheet 0.085D 25+/-4 Asker C 1.1M 2M 6mm</v>
          </cell>
          <cell r="H545">
            <v>2</v>
          </cell>
          <cell r="I545">
            <v>2</v>
          </cell>
          <cell r="J545">
            <v>0</v>
          </cell>
          <cell r="K545">
            <v>2</v>
          </cell>
          <cell r="L545" t="str">
            <v>ON RUNNING</v>
          </cell>
          <cell r="M545"/>
          <cell r="N545" t="str">
            <v>INSOLE/ MOLDED</v>
          </cell>
          <cell r="O545" t="str">
            <v>Sample</v>
          </cell>
          <cell r="P545">
            <v>46184</v>
          </cell>
          <cell r="Q545">
            <v>46195</v>
          </cell>
          <cell r="R545">
            <v>46192</v>
          </cell>
          <cell r="S545">
            <v>6</v>
          </cell>
          <cell r="T545">
            <v>11</v>
          </cell>
          <cell r="U545">
            <v>6</v>
          </cell>
          <cell r="V545">
            <v>4.3479999999999998E-2</v>
          </cell>
          <cell r="W545">
            <v>1</v>
          </cell>
        </row>
        <row r="546">
          <cell r="A546" t="str">
            <v>S-2026-06-59</v>
          </cell>
          <cell r="B546"/>
          <cell r="C546" t="str">
            <v>RPRO-260612-0069</v>
          </cell>
          <cell r="D546" t="str">
            <v>cloudsurfer max 3</v>
          </cell>
          <cell r="E546" t="str">
            <v>BDB-000229</v>
          </cell>
          <cell r="F546" t="str">
            <v>PVN-004448</v>
          </cell>
          <cell r="G546" t="str">
            <v>OrthoLite Ultra-Hybrid SEEDPEARL/12-0703TPX Hybrid Flat Sheet 0.095D 33+/-4 Asker C 1.1M 2M 6mm</v>
          </cell>
          <cell r="H546">
            <v>2</v>
          </cell>
          <cell r="I546">
            <v>2</v>
          </cell>
          <cell r="J546">
            <v>0</v>
          </cell>
          <cell r="K546">
            <v>2</v>
          </cell>
          <cell r="L546" t="str">
            <v>ON RUNNING</v>
          </cell>
          <cell r="M546"/>
          <cell r="N546" t="str">
            <v>INSOLE/ MOLDED</v>
          </cell>
          <cell r="O546" t="str">
            <v>Sample</v>
          </cell>
          <cell r="P546">
            <v>46184</v>
          </cell>
          <cell r="Q546">
            <v>46195</v>
          </cell>
          <cell r="R546">
            <v>46192</v>
          </cell>
          <cell r="S546">
            <v>6</v>
          </cell>
          <cell r="T546">
            <v>11</v>
          </cell>
          <cell r="U546" t="str">
            <v/>
          </cell>
          <cell r="V546">
            <v>4.3479999999999998E-2</v>
          </cell>
          <cell r="W546">
            <v>1</v>
          </cell>
        </row>
        <row r="547">
          <cell r="A547" t="str">
            <v>S-2026-06-60</v>
          </cell>
          <cell r="B547" t="str">
            <v>Chưa rl</v>
          </cell>
          <cell r="C547"/>
          <cell r="D547" t="str">
            <v>PUR-202606120001S</v>
          </cell>
          <cell r="E547" t="str">
            <v>BDB-000011</v>
          </cell>
          <cell r="F547" t="str">
            <v>PVN-000258</v>
          </cell>
          <cell r="G547" t="str">
            <v>OrthoLite Regular AIR BLUE/16-4134TPX Flat Sheet 0.13D 35+/-4 Asker C 1.1M 2M 2.5mm</v>
          </cell>
          <cell r="H547">
            <v>20</v>
          </cell>
          <cell r="I547">
            <v>20</v>
          </cell>
          <cell r="J547">
            <v>0</v>
          </cell>
          <cell r="K547">
            <v>20</v>
          </cell>
          <cell r="L547" t="str">
            <v>ASICS</v>
          </cell>
          <cell r="M547" t="str">
            <v>Sample</v>
          </cell>
          <cell r="N547" t="str">
            <v>FL SHEET</v>
          </cell>
          <cell r="O547" t="str">
            <v>Sample</v>
          </cell>
          <cell r="P547">
            <v>46185</v>
          </cell>
          <cell r="Q547">
            <v>46197</v>
          </cell>
          <cell r="R547">
            <v>46194</v>
          </cell>
          <cell r="S547">
            <v>6</v>
          </cell>
          <cell r="T547">
            <v>12</v>
          </cell>
          <cell r="U547">
            <v>2.5</v>
          </cell>
          <cell r="V547">
            <v>1.7860000000000001E-2</v>
          </cell>
          <cell r="W547">
            <v>1</v>
          </cell>
        </row>
        <row r="548">
          <cell r="A548" t="str">
            <v>S-2026-06-61</v>
          </cell>
          <cell r="B548" t="str">
            <v>Chưa rl</v>
          </cell>
          <cell r="C548"/>
          <cell r="D548" t="str">
            <v>PUR-202606120001S</v>
          </cell>
          <cell r="E548" t="str">
            <v>BDB-000011</v>
          </cell>
          <cell r="F548" t="str">
            <v>PVN-000127</v>
          </cell>
          <cell r="G548" t="str">
            <v>OrthoLite Regular AIR BLUE/16-4134TPX 0.13D 35+/-4 Asker C 1.1M 2M 5mm</v>
          </cell>
          <cell r="H548">
            <v>20</v>
          </cell>
          <cell r="I548">
            <v>20</v>
          </cell>
          <cell r="J548">
            <v>0</v>
          </cell>
          <cell r="K548">
            <v>20</v>
          </cell>
          <cell r="L548" t="str">
            <v>ASICS</v>
          </cell>
          <cell r="M548" t="str">
            <v>Sample</v>
          </cell>
          <cell r="N548" t="str">
            <v>FL SHEET</v>
          </cell>
          <cell r="O548" t="str">
            <v>Sample</v>
          </cell>
          <cell r="P548">
            <v>46185</v>
          </cell>
          <cell r="Q548">
            <v>46197</v>
          </cell>
          <cell r="R548">
            <v>46194</v>
          </cell>
          <cell r="S548">
            <v>6</v>
          </cell>
          <cell r="T548">
            <v>12</v>
          </cell>
          <cell r="U548">
            <v>5</v>
          </cell>
          <cell r="V548">
            <v>3.5709999999999999E-2</v>
          </cell>
          <cell r="W548">
            <v>1</v>
          </cell>
        </row>
        <row r="549">
          <cell r="A549" t="str">
            <v>S-2026-06-62</v>
          </cell>
          <cell r="B549" t="str">
            <v>Chưa rl</v>
          </cell>
          <cell r="C549"/>
          <cell r="D549" t="str">
            <v>PUR-202606120001S</v>
          </cell>
          <cell r="E549" t="str">
            <v>BDB-000057</v>
          </cell>
          <cell r="F549" t="str">
            <v>PVN-000925</v>
          </cell>
          <cell r="G549" t="str">
            <v>OrthoLite Ultra YELLOW/13-0858TPX 0.085D 25+/-4 Asker C 1.1M 2M 5mm</v>
          </cell>
          <cell r="H549">
            <v>40</v>
          </cell>
          <cell r="I549">
            <v>40</v>
          </cell>
          <cell r="J549">
            <v>0</v>
          </cell>
          <cell r="K549">
            <v>40</v>
          </cell>
          <cell r="L549" t="str">
            <v>ASICS</v>
          </cell>
          <cell r="M549" t="str">
            <v>Sample</v>
          </cell>
          <cell r="N549" t="str">
            <v>FL SHEET</v>
          </cell>
          <cell r="O549" t="str">
            <v>Sample</v>
          </cell>
          <cell r="P549">
            <v>46185</v>
          </cell>
          <cell r="Q549">
            <v>46197</v>
          </cell>
          <cell r="R549">
            <v>46194</v>
          </cell>
          <cell r="S549">
            <v>6</v>
          </cell>
          <cell r="T549">
            <v>12</v>
          </cell>
          <cell r="U549">
            <v>5</v>
          </cell>
          <cell r="V549">
            <v>3.5709999999999999E-2</v>
          </cell>
          <cell r="W549">
            <v>2</v>
          </cell>
        </row>
        <row r="550">
          <cell r="A550" t="str">
            <v>S-2026-06-63</v>
          </cell>
          <cell r="B550" t="str">
            <v>Chưa rl</v>
          </cell>
          <cell r="C550"/>
          <cell r="D550" t="str">
            <v>PUR-202606120001S</v>
          </cell>
          <cell r="E550" t="str">
            <v>BDB-000324</v>
          </cell>
          <cell r="F550" t="str">
            <v>PVN-004426</v>
          </cell>
          <cell r="G550" t="str">
            <v>OrthoLite X-40 TRUE BLUE/19-4057TPX Flat Sheet 0.16D 25+/-4 Asker C 1.1M 2M 12mm</v>
          </cell>
          <cell r="H550">
            <v>20</v>
          </cell>
          <cell r="I550">
            <v>20</v>
          </cell>
          <cell r="J550">
            <v>0</v>
          </cell>
          <cell r="K550">
            <v>20</v>
          </cell>
          <cell r="L550" t="str">
            <v>ASICS</v>
          </cell>
          <cell r="M550" t="str">
            <v>Sample</v>
          </cell>
          <cell r="N550" t="str">
            <v>MOLDED</v>
          </cell>
          <cell r="O550" t="str">
            <v>Sample</v>
          </cell>
          <cell r="P550">
            <v>46185</v>
          </cell>
          <cell r="Q550">
            <v>46197</v>
          </cell>
          <cell r="R550">
            <v>46194</v>
          </cell>
          <cell r="S550">
            <v>6</v>
          </cell>
          <cell r="T550">
            <v>12</v>
          </cell>
          <cell r="U550">
            <v>12</v>
          </cell>
          <cell r="V550">
            <v>9.0909999999999991E-2</v>
          </cell>
          <cell r="W550">
            <v>2</v>
          </cell>
        </row>
        <row r="551">
          <cell r="A551" t="str">
            <v>S-2026-06-64</v>
          </cell>
          <cell r="B551" t="str">
            <v>Chưa rl</v>
          </cell>
          <cell r="C551"/>
          <cell r="D551" t="str">
            <v>PUR-202606120001S</v>
          </cell>
          <cell r="E551" t="str">
            <v>BDB-000113</v>
          </cell>
          <cell r="F551" t="str">
            <v>PVN-002465</v>
          </cell>
          <cell r="G551" t="str">
            <v>OrthoLite Regular-Hybrid SEEDPEARL/12-0703TPX Hybrid Flat Sheet 0.11D 25+/-4 Asker C 1.1M 2M 5mm</v>
          </cell>
          <cell r="H551">
            <v>50</v>
          </cell>
          <cell r="I551">
            <v>50</v>
          </cell>
          <cell r="J551">
            <v>0</v>
          </cell>
          <cell r="K551">
            <v>50</v>
          </cell>
          <cell r="L551" t="str">
            <v>ASICS</v>
          </cell>
          <cell r="M551" t="str">
            <v>Sample</v>
          </cell>
          <cell r="N551" t="str">
            <v>DIE-CUT</v>
          </cell>
          <cell r="O551" t="str">
            <v>Sample</v>
          </cell>
          <cell r="P551">
            <v>46185</v>
          </cell>
          <cell r="Q551">
            <v>46197</v>
          </cell>
          <cell r="R551">
            <v>46194</v>
          </cell>
          <cell r="S551">
            <v>6</v>
          </cell>
          <cell r="T551">
            <v>12</v>
          </cell>
          <cell r="U551">
            <v>5</v>
          </cell>
          <cell r="V551">
            <v>3.5709999999999999E-2</v>
          </cell>
          <cell r="W551">
            <v>2</v>
          </cell>
        </row>
        <row r="552">
          <cell r="A552" t="str">
            <v>S-2026-06-65</v>
          </cell>
          <cell r="B552" t="str">
            <v>Chưa rl</v>
          </cell>
          <cell r="C552"/>
          <cell r="D552" t="str">
            <v>PUR2600601200002S</v>
          </cell>
          <cell r="E552" t="str">
            <v>BDB-000348</v>
          </cell>
          <cell r="F552" t="str">
            <v>PVN-004195</v>
          </cell>
          <cell r="G552" t="str">
            <v>OrthoLite IMPERIAL SEEDPEARL/12-0703TPX Flat Sheet 0.22D 25+/-4 Asker C 1.1M 1.47M 4mm</v>
          </cell>
          <cell r="H552">
            <v>150</v>
          </cell>
          <cell r="I552">
            <v>150</v>
          </cell>
          <cell r="J552">
            <v>0</v>
          </cell>
          <cell r="K552">
            <v>150</v>
          </cell>
          <cell r="L552" t="str">
            <v>ADIDAS</v>
          </cell>
          <cell r="M552" t="str">
            <v>SSO-2606-00559/ URGENT</v>
          </cell>
          <cell r="N552" t="str">
            <v>SHEET</v>
          </cell>
          <cell r="O552" t="str">
            <v>Sample</v>
          </cell>
          <cell r="P552">
            <v>46185</v>
          </cell>
          <cell r="Q552">
            <v>46197</v>
          </cell>
          <cell r="R552">
            <v>46194</v>
          </cell>
          <cell r="S552">
            <v>6</v>
          </cell>
          <cell r="T552">
            <v>12</v>
          </cell>
          <cell r="U552">
            <v>4</v>
          </cell>
          <cell r="V552">
            <v>2.8570000000000002E-2</v>
          </cell>
          <cell r="W552">
            <v>5</v>
          </cell>
        </row>
        <row r="553">
          <cell r="A553" t="str">
            <v>S-2026-06-66</v>
          </cell>
          <cell r="B553" t="str">
            <v>Chưa rl</v>
          </cell>
          <cell r="C553"/>
          <cell r="D553" t="str">
            <v>PUR2600601200003S</v>
          </cell>
          <cell r="E553" t="str">
            <v>BDB-000123</v>
          </cell>
          <cell r="F553" t="str">
            <v>PVN-003298</v>
          </cell>
          <cell r="G553" t="str">
            <v>OrthoLite Ultra-Hybrid SEEDPEARL/12-0703TPX Hybrid Flat Sheet 0.085D 25+/-4 Asker C 1.1M 2M 4mm</v>
          </cell>
          <cell r="H553">
            <v>150</v>
          </cell>
          <cell r="I553">
            <v>150</v>
          </cell>
          <cell r="J553">
            <v>0</v>
          </cell>
          <cell r="K553">
            <v>150</v>
          </cell>
          <cell r="L553" t="str">
            <v>ADIDAS</v>
          </cell>
          <cell r="M553" t="str">
            <v>SSO-2606-00557</v>
          </cell>
          <cell r="N553" t="str">
            <v>SHEET</v>
          </cell>
          <cell r="O553" t="str">
            <v>Sample</v>
          </cell>
          <cell r="P553">
            <v>46185</v>
          </cell>
          <cell r="Q553">
            <v>46198</v>
          </cell>
          <cell r="R553">
            <v>46195</v>
          </cell>
          <cell r="S553">
            <v>6</v>
          </cell>
          <cell r="T553">
            <v>13</v>
          </cell>
          <cell r="U553">
            <v>4</v>
          </cell>
          <cell r="V553">
            <v>2.8570000000000002E-2</v>
          </cell>
          <cell r="W553">
            <v>5</v>
          </cell>
        </row>
        <row r="554">
          <cell r="A554" t="str">
            <v>S-2026-06-67</v>
          </cell>
          <cell r="B554" t="str">
            <v>Chưa rl</v>
          </cell>
          <cell r="C554"/>
          <cell r="D554" t="str">
            <v>PUR2600601200003S</v>
          </cell>
          <cell r="E554" t="str">
            <v>BDB-000123</v>
          </cell>
          <cell r="F554" t="str">
            <v>PVN-003300</v>
          </cell>
          <cell r="G554" t="str">
            <v>OrthoLite Ultra-Hybrid SEEDPEARL/12-0703TPX Hybrid Flat Sheet 0.085D 25+/-4 Asker C 1.1M 2M 2mm</v>
          </cell>
          <cell r="H554">
            <v>50</v>
          </cell>
          <cell r="I554">
            <v>50</v>
          </cell>
          <cell r="J554">
            <v>0</v>
          </cell>
          <cell r="K554">
            <v>50</v>
          </cell>
          <cell r="L554" t="str">
            <v>ADIDAS</v>
          </cell>
          <cell r="M554" t="str">
            <v>SSO-2606-00573/ 00574</v>
          </cell>
          <cell r="N554" t="str">
            <v>SHEET</v>
          </cell>
          <cell r="O554" t="str">
            <v>Sample</v>
          </cell>
          <cell r="P554">
            <v>46185</v>
          </cell>
          <cell r="Q554">
            <v>46198</v>
          </cell>
          <cell r="R554">
            <v>46195</v>
          </cell>
          <cell r="S554">
            <v>6</v>
          </cell>
          <cell r="T554">
            <v>13</v>
          </cell>
          <cell r="U554">
            <v>2</v>
          </cell>
          <cell r="V554">
            <v>1.4290000000000001E-2</v>
          </cell>
          <cell r="W554">
            <v>1</v>
          </cell>
        </row>
        <row r="555">
          <cell r="A555" t="str">
            <v>S-2026-06-68</v>
          </cell>
          <cell r="B555" t="str">
            <v>Chưa rl</v>
          </cell>
          <cell r="C555"/>
          <cell r="D555" t="str">
            <v>PUR2600601200003S</v>
          </cell>
          <cell r="E555" t="str">
            <v>BDB-000123</v>
          </cell>
          <cell r="F555" t="str">
            <v>PVN-002539</v>
          </cell>
          <cell r="G555" t="str">
            <v>OrthoLite Ultra-Hybrid SEEDPEARL/12-0703TPX Hybrid Flat Sheet 0.085D 25+/-4 Asker C 1.1M 2M 5mm</v>
          </cell>
          <cell r="H555">
            <v>70</v>
          </cell>
          <cell r="I555">
            <v>70</v>
          </cell>
          <cell r="J555">
            <v>0</v>
          </cell>
          <cell r="K555">
            <v>70</v>
          </cell>
          <cell r="L555" t="str">
            <v>ADIDAS</v>
          </cell>
          <cell r="M555" t="str">
            <v>SSO-2606-00559/ urgent</v>
          </cell>
          <cell r="N555" t="str">
            <v>SHEET</v>
          </cell>
          <cell r="O555" t="str">
            <v>Sample</v>
          </cell>
          <cell r="P555">
            <v>46185</v>
          </cell>
          <cell r="Q555">
            <v>46198</v>
          </cell>
          <cell r="R555">
            <v>46195</v>
          </cell>
          <cell r="S555">
            <v>6</v>
          </cell>
          <cell r="T555">
            <v>13</v>
          </cell>
          <cell r="U555">
            <v>5</v>
          </cell>
          <cell r="V555">
            <v>3.5709999999999999E-2</v>
          </cell>
          <cell r="W555">
            <v>3</v>
          </cell>
        </row>
        <row r="556">
          <cell r="A556" t="str">
            <v>S-2026-06-69</v>
          </cell>
          <cell r="B556" t="str">
            <v>Chưa rl</v>
          </cell>
          <cell r="C556"/>
          <cell r="D556" t="str">
            <v>PUR2606120004S</v>
          </cell>
          <cell r="E556" t="str">
            <v/>
          </cell>
          <cell r="F556" t="str">
            <v>PVN-004451</v>
          </cell>
          <cell r="G556" t="str">
            <v>Ortholite HybridPlus-Recycled-ON LUCENT/063-98-46 Hybrid Flat Sheet 0.12D 25+/-4 Asker C 1.1M 2M 6mm</v>
          </cell>
          <cell r="H556">
            <v>50</v>
          </cell>
          <cell r="I556">
            <v>50</v>
          </cell>
          <cell r="J556">
            <v>0</v>
          </cell>
          <cell r="K556">
            <v>50</v>
          </cell>
          <cell r="L556" t="str">
            <v>ON RUNNING</v>
          </cell>
          <cell r="M556" t="str">
            <v>SSO-2605-00765</v>
          </cell>
          <cell r="N556" t="str">
            <v>OV-0408
TOP URGENT</v>
          </cell>
          <cell r="O556" t="str">
            <v>Sample</v>
          </cell>
          <cell r="P556">
            <v>46185</v>
          </cell>
          <cell r="Q556">
            <v>46198</v>
          </cell>
          <cell r="R556">
            <v>46195</v>
          </cell>
          <cell r="S556">
            <v>6</v>
          </cell>
          <cell r="T556">
            <v>13</v>
          </cell>
          <cell r="U556" t="str">
            <v/>
          </cell>
          <cell r="V556" t="e">
            <v>#N/A</v>
          </cell>
          <cell r="W556" t="str">
            <v/>
          </cell>
        </row>
        <row r="557">
          <cell r="A557"/>
          <cell r="B557"/>
          <cell r="C557"/>
          <cell r="D557"/>
          <cell r="E557" t="str">
            <v/>
          </cell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</row>
        <row r="558">
          <cell r="A558"/>
          <cell r="B558"/>
          <cell r="C558"/>
          <cell r="D558"/>
          <cell r="E558" t="str">
            <v/>
          </cell>
          <cell r="F558"/>
          <cell r="G558"/>
          <cell r="H558"/>
          <cell r="I558"/>
          <cell r="J558"/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</row>
        <row r="559">
          <cell r="A559"/>
          <cell r="B559"/>
          <cell r="C559"/>
          <cell r="D559"/>
          <cell r="E559" t="str">
            <v/>
          </cell>
          <cell r="F559"/>
          <cell r="G559"/>
          <cell r="H559"/>
          <cell r="I559"/>
          <cell r="J559"/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</row>
        <row r="560">
          <cell r="A560"/>
          <cell r="B560"/>
          <cell r="C560"/>
          <cell r="D560"/>
          <cell r="E560" t="str">
            <v/>
          </cell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</row>
        <row r="561">
          <cell r="A561"/>
          <cell r="B561"/>
          <cell r="C561"/>
          <cell r="D561"/>
          <cell r="E561" t="str">
            <v/>
          </cell>
          <cell r="F561"/>
          <cell r="G561"/>
          <cell r="H561"/>
          <cell r="I561"/>
          <cell r="J561"/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</row>
        <row r="562">
          <cell r="A562"/>
          <cell r="B562"/>
          <cell r="C562"/>
          <cell r="D562"/>
          <cell r="E562" t="str">
            <v/>
          </cell>
          <cell r="F562"/>
          <cell r="G562"/>
          <cell r="H562"/>
          <cell r="I562"/>
          <cell r="J562"/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</row>
        <row r="563">
          <cell r="A563"/>
          <cell r="B563"/>
          <cell r="C563"/>
          <cell r="D563"/>
          <cell r="E563" t="str">
            <v/>
          </cell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</row>
        <row r="564">
          <cell r="A564"/>
          <cell r="B564"/>
          <cell r="C564"/>
          <cell r="D564"/>
          <cell r="E564" t="str">
            <v/>
          </cell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</row>
        <row r="565">
          <cell r="A565"/>
          <cell r="B565"/>
          <cell r="C565"/>
          <cell r="D565"/>
          <cell r="E565" t="str">
            <v/>
          </cell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</row>
        <row r="566">
          <cell r="A566"/>
          <cell r="B566"/>
          <cell r="C566"/>
          <cell r="D566"/>
          <cell r="E566" t="str">
            <v/>
          </cell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</row>
        <row r="567">
          <cell r="A567"/>
          <cell r="B567"/>
          <cell r="C567"/>
          <cell r="D567"/>
          <cell r="E567" t="str">
            <v/>
          </cell>
          <cell r="F567"/>
          <cell r="G567"/>
          <cell r="H567"/>
          <cell r="I567"/>
          <cell r="J567"/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</row>
        <row r="568">
          <cell r="A568"/>
          <cell r="B568"/>
          <cell r="C568"/>
          <cell r="D568"/>
          <cell r="E568" t="str">
            <v/>
          </cell>
          <cell r="F568"/>
          <cell r="G568"/>
          <cell r="H568"/>
          <cell r="I568"/>
          <cell r="J568"/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</row>
        <row r="569">
          <cell r="A569"/>
          <cell r="B569"/>
          <cell r="C569"/>
          <cell r="D569"/>
          <cell r="E569" t="str">
            <v/>
          </cell>
          <cell r="F569"/>
          <cell r="G569"/>
          <cell r="H569"/>
          <cell r="I569"/>
          <cell r="J569"/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</row>
        <row r="570">
          <cell r="A570"/>
          <cell r="B570"/>
          <cell r="C570"/>
          <cell r="D570"/>
          <cell r="E570" t="str">
            <v/>
          </cell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</row>
        <row r="571">
          <cell r="A571"/>
          <cell r="B571"/>
          <cell r="C571"/>
          <cell r="D571"/>
          <cell r="E571" t="str">
            <v/>
          </cell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</row>
        <row r="572">
          <cell r="A572"/>
          <cell r="B572"/>
          <cell r="C572"/>
          <cell r="D572"/>
          <cell r="E572" t="str">
            <v/>
          </cell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</row>
        <row r="573">
          <cell r="A573"/>
          <cell r="B573"/>
          <cell r="C573"/>
          <cell r="D573"/>
          <cell r="E573" t="str">
            <v/>
          </cell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</row>
        <row r="574">
          <cell r="A574"/>
          <cell r="B574"/>
          <cell r="C574"/>
          <cell r="D574"/>
          <cell r="E574" t="str">
            <v/>
          </cell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</row>
        <row r="575">
          <cell r="A575"/>
          <cell r="B575"/>
          <cell r="C575"/>
          <cell r="D575"/>
          <cell r="E575" t="str">
            <v/>
          </cell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</row>
        <row r="576">
          <cell r="A576"/>
          <cell r="B576"/>
          <cell r="C576"/>
          <cell r="D576"/>
          <cell r="E576" t="str">
            <v/>
          </cell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</row>
        <row r="577">
          <cell r="A577"/>
          <cell r="B577"/>
          <cell r="C577"/>
          <cell r="D577"/>
          <cell r="E577" t="str">
            <v/>
          </cell>
          <cell r="F577"/>
          <cell r="G577"/>
          <cell r="H577"/>
          <cell r="I577"/>
          <cell r="J577"/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</row>
        <row r="578">
          <cell r="A578"/>
          <cell r="B578"/>
          <cell r="C578"/>
          <cell r="D578"/>
          <cell r="E578" t="str">
            <v/>
          </cell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</row>
        <row r="579">
          <cell r="A579"/>
          <cell r="B579"/>
          <cell r="C579"/>
          <cell r="D579"/>
          <cell r="E579" t="str">
            <v/>
          </cell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</row>
        <row r="580">
          <cell r="A580"/>
          <cell r="B580"/>
          <cell r="C580"/>
          <cell r="D580"/>
          <cell r="E580" t="str">
            <v/>
          </cell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</row>
        <row r="581">
          <cell r="A581"/>
          <cell r="B581"/>
          <cell r="C581"/>
          <cell r="D581"/>
          <cell r="E581" t="str">
            <v/>
          </cell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</row>
        <row r="582">
          <cell r="A582"/>
          <cell r="B582"/>
          <cell r="C582"/>
          <cell r="D582"/>
          <cell r="E582" t="str">
            <v/>
          </cell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</row>
        <row r="583">
          <cell r="A583"/>
          <cell r="B583"/>
          <cell r="C583"/>
          <cell r="D583"/>
          <cell r="E583" t="str">
            <v/>
          </cell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</row>
        <row r="584">
          <cell r="A584"/>
          <cell r="B584"/>
          <cell r="C584"/>
          <cell r="D584"/>
          <cell r="E584" t="str">
            <v/>
          </cell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</row>
        <row r="585">
          <cell r="A585"/>
          <cell r="B585"/>
          <cell r="C585"/>
          <cell r="D585"/>
          <cell r="E585" t="str">
            <v/>
          </cell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</row>
        <row r="586">
          <cell r="A586"/>
          <cell r="B586"/>
          <cell r="C586"/>
          <cell r="D586"/>
          <cell r="E586" t="str">
            <v/>
          </cell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</row>
        <row r="587">
          <cell r="A587"/>
          <cell r="B587"/>
          <cell r="C587"/>
          <cell r="D587"/>
          <cell r="E587" t="str">
            <v/>
          </cell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</row>
        <row r="588">
          <cell r="A588"/>
          <cell r="B588"/>
          <cell r="C588"/>
          <cell r="D588"/>
          <cell r="E588" t="str">
            <v/>
          </cell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</row>
        <row r="589">
          <cell r="A589"/>
          <cell r="B589"/>
          <cell r="C589"/>
          <cell r="D589"/>
          <cell r="E589" t="str">
            <v/>
          </cell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</row>
        <row r="590">
          <cell r="A590"/>
          <cell r="B590"/>
          <cell r="C590"/>
          <cell r="D590"/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</row>
        <row r="591">
          <cell r="A591"/>
          <cell r="B591"/>
          <cell r="C591"/>
          <cell r="D591"/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</row>
        <row r="592">
          <cell r="A592"/>
          <cell r="B592"/>
          <cell r="C592"/>
          <cell r="D592"/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</row>
        <row r="593">
          <cell r="A593"/>
          <cell r="B593"/>
          <cell r="C593"/>
          <cell r="D593"/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</row>
        <row r="594">
          <cell r="A594"/>
          <cell r="B594"/>
          <cell r="C594"/>
          <cell r="D594"/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</row>
        <row r="595">
          <cell r="A595"/>
          <cell r="B595"/>
          <cell r="C595"/>
          <cell r="D595"/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</row>
        <row r="596">
          <cell r="A596"/>
          <cell r="B596"/>
          <cell r="C596"/>
          <cell r="D596"/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</row>
        <row r="597">
          <cell r="A597"/>
          <cell r="B597"/>
          <cell r="C597"/>
          <cell r="D597"/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</row>
        <row r="598">
          <cell r="A598"/>
          <cell r="B598"/>
          <cell r="C598"/>
          <cell r="D598"/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</row>
        <row r="599">
          <cell r="A599"/>
          <cell r="B599"/>
          <cell r="C599"/>
          <cell r="D599"/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.6"/>
    </sheetNames>
    <sheetDataSet>
      <sheetData sheetId="0">
        <row r="2">
          <cell r="D2">
            <v>374</v>
          </cell>
          <cell r="E2">
            <v>2329</v>
          </cell>
          <cell r="F2">
            <v>2080</v>
          </cell>
          <cell r="G2">
            <v>623</v>
          </cell>
        </row>
        <row r="4">
          <cell r="A4" t="str">
            <v xml:space="preserve">                                 </v>
          </cell>
          <cell r="B4" t="str">
            <v>Full Name</v>
          </cell>
          <cell r="C4" t="str">
            <v>MÀU</v>
          </cell>
          <cell r="D4" t="str">
            <v>End</v>
          </cell>
          <cell r="E4" t="str">
            <v>IN</v>
          </cell>
          <cell r="F4" t="str">
            <v>OUT</v>
          </cell>
          <cell r="G4" t="str">
            <v>End</v>
          </cell>
        </row>
        <row r="5">
          <cell r="A5" t="str">
            <v>BDB-000001</v>
          </cell>
          <cell r="B5" t="str">
            <v>Ortholite Regular BURNT SIENNA/17-1544TPX BUN(REG) 0.11D 15+/-4 Asker C 1.1M 2M 160mm</v>
          </cell>
          <cell r="C5" t="str">
            <v>BURNT SIENNA</v>
          </cell>
          <cell r="E5">
            <v>0</v>
          </cell>
          <cell r="F5">
            <v>0</v>
          </cell>
          <cell r="G5">
            <v>0</v>
          </cell>
        </row>
        <row r="6">
          <cell r="A6" t="str">
            <v>BDB-000002</v>
          </cell>
          <cell r="B6" t="str">
            <v>Ortholite Regular YELLOW/13-0858TPX BUN(REG) 0.11D 15+/-4 Asker C 1.1M 2M 160mm</v>
          </cell>
          <cell r="C6" t="str">
            <v>YELLOW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BDB-000003</v>
          </cell>
          <cell r="B7" t="str">
            <v>Ortholite Regular YELLOW/13-0858TPX BUN(REG) 0.11D 25+/-4 Asker C 1.1M 2M 160mm</v>
          </cell>
          <cell r="C7" t="str">
            <v>YELLOW</v>
          </cell>
          <cell r="E7">
            <v>0</v>
          </cell>
          <cell r="F7">
            <v>0</v>
          </cell>
          <cell r="G7">
            <v>0</v>
          </cell>
        </row>
        <row r="8">
          <cell r="A8" t="str">
            <v>BDB-000004</v>
          </cell>
          <cell r="B8" t="str">
            <v>Ortholite Regular GREY/17-1501TPX BUN(REG) 0.11D 25+/-4 Asker C 1.1M 2M 160mm</v>
          </cell>
          <cell r="C8" t="str">
            <v>GREY</v>
          </cell>
          <cell r="D8">
            <v>1</v>
          </cell>
          <cell r="E8">
            <v>0</v>
          </cell>
          <cell r="F8">
            <v>0</v>
          </cell>
          <cell r="G8">
            <v>1</v>
          </cell>
        </row>
        <row r="9">
          <cell r="A9" t="str">
            <v>BDB-000005</v>
          </cell>
          <cell r="B9" t="str">
            <v>Ortholite Regular GREY/17-1501TPX BUN(REG) 0.13D 35+/-4 Asker C 1.1M 2M 160mm</v>
          </cell>
          <cell r="C9" t="str">
            <v>GREY</v>
          </cell>
          <cell r="E9">
            <v>0</v>
          </cell>
          <cell r="F9">
            <v>0</v>
          </cell>
          <cell r="G9">
            <v>0</v>
          </cell>
        </row>
        <row r="10">
          <cell r="A10" t="str">
            <v>BDB-000006</v>
          </cell>
          <cell r="B10" t="str">
            <v>Ortholite Regular GREY/17-1501TPX BUN(REG) 0.11D 25+/-4 Asker C 1.1M 1.47M 160mm</v>
          </cell>
          <cell r="C10" t="str">
            <v>GREY</v>
          </cell>
          <cell r="E10">
            <v>0</v>
          </cell>
          <cell r="F10">
            <v>0</v>
          </cell>
          <cell r="G10">
            <v>0</v>
          </cell>
        </row>
        <row r="11">
          <cell r="A11" t="str">
            <v>BDB-000007</v>
          </cell>
          <cell r="B11" t="str">
            <v>Ortholite Regular AMAZON/18-6024TPX BUN(REG) 0.11D 25+/-4 Asker C 1.1M 2M 160mm</v>
          </cell>
          <cell r="C11" t="str">
            <v>AMAZON</v>
          </cell>
          <cell r="E11">
            <v>0</v>
          </cell>
          <cell r="F11">
            <v>0</v>
          </cell>
          <cell r="G11">
            <v>0</v>
          </cell>
        </row>
        <row r="12">
          <cell r="A12" t="str">
            <v>BDB-000008</v>
          </cell>
          <cell r="B12" t="str">
            <v>Ortholite Regular LIME GREEN/14-0452TPX BUN(REG) 0.11D 25+/-4 Asker C 1.1M 2M 160mm</v>
          </cell>
          <cell r="C12" t="str">
            <v>LIME GREEN</v>
          </cell>
          <cell r="D12">
            <v>3</v>
          </cell>
          <cell r="E12">
            <v>0</v>
          </cell>
          <cell r="F12">
            <v>0</v>
          </cell>
          <cell r="G12">
            <v>3</v>
          </cell>
        </row>
        <row r="13">
          <cell r="A13" t="str">
            <v>BDB-000009</v>
          </cell>
          <cell r="B13" t="str">
            <v>Ortholite Regular AIR BLUE/16-4134TPX BUN(REG) 0.11D 15+/-4 Asker C 1.1M 2M 160mm</v>
          </cell>
          <cell r="C13" t="str">
            <v>AIR BLUE</v>
          </cell>
          <cell r="D13">
            <v>6</v>
          </cell>
          <cell r="E13">
            <v>0</v>
          </cell>
          <cell r="F13">
            <v>0</v>
          </cell>
          <cell r="G13">
            <v>6</v>
          </cell>
        </row>
        <row r="14">
          <cell r="A14" t="str">
            <v>BDB-000010</v>
          </cell>
          <cell r="B14" t="str">
            <v>Ortholite Regular AIR BLUE/16-4134TPX BUN(REG) 0.11D 25+/-4 Asker C 1.1M 2M 160mm</v>
          </cell>
          <cell r="C14" t="str">
            <v>AIR BLUE</v>
          </cell>
          <cell r="E14">
            <v>10</v>
          </cell>
          <cell r="F14">
            <v>10</v>
          </cell>
          <cell r="G14">
            <v>0</v>
          </cell>
        </row>
        <row r="15">
          <cell r="A15" t="str">
            <v>BDB-000011</v>
          </cell>
          <cell r="B15" t="str">
            <v>Ortholite Regular AIR BLUE/16-4134TPX BUN(REG) 0.13D 35+/-4 Asker C 1.1M 2M 160mm</v>
          </cell>
          <cell r="C15" t="str">
            <v>AIR BLUE</v>
          </cell>
          <cell r="E15">
            <v>242</v>
          </cell>
          <cell r="F15">
            <v>146</v>
          </cell>
          <cell r="G15">
            <v>96</v>
          </cell>
        </row>
        <row r="16">
          <cell r="A16" t="str">
            <v>BDB-000012</v>
          </cell>
          <cell r="B16" t="str">
            <v>Ortholite Regular SEEDPEARL/12-0703TPX BUN(REG) 0.13D 25+/-4 Asker C 1.1M 2M 160mm</v>
          </cell>
          <cell r="C16" t="str">
            <v>SEEDPEARL</v>
          </cell>
          <cell r="E16">
            <v>0</v>
          </cell>
          <cell r="F16">
            <v>0</v>
          </cell>
          <cell r="G16">
            <v>0</v>
          </cell>
        </row>
        <row r="17">
          <cell r="A17" t="str">
            <v>BDB-000013</v>
          </cell>
          <cell r="B17" t="str">
            <v>Ortholite Regular AIR BLUE/16-4134TPX BUN(REG) 0.13D 35+/-4 Asker C 1.1M 1.47M 160mm</v>
          </cell>
          <cell r="C17" t="str">
            <v>AIR BLUE</v>
          </cell>
          <cell r="E17">
            <v>0</v>
          </cell>
          <cell r="F17">
            <v>0</v>
          </cell>
          <cell r="G17">
            <v>0</v>
          </cell>
        </row>
        <row r="18">
          <cell r="A18" t="str">
            <v>BDB-000014</v>
          </cell>
          <cell r="B18" t="str">
            <v>Ortholite Regular AIR BLUE/16-4134TPX BUN(REG) 0.11D 25+/-4 Asker C 1.1M 1.47M 160mm</v>
          </cell>
          <cell r="C18" t="str">
            <v>AIR BLUE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BDB-000015</v>
          </cell>
          <cell r="B19" t="str">
            <v>Ortholite Regular AIR BLUE/16-4134TPX BUN(REG) 0.13D 25+/-4 Asker C 1.1M 2M 160mm</v>
          </cell>
          <cell r="C19" t="str">
            <v>AIR BLUE</v>
          </cell>
          <cell r="E19">
            <v>0</v>
          </cell>
          <cell r="F19">
            <v>0</v>
          </cell>
          <cell r="G19">
            <v>0</v>
          </cell>
        </row>
        <row r="20">
          <cell r="A20" t="str">
            <v>BDB-000016</v>
          </cell>
          <cell r="B20" t="str">
            <v>Ortholite Regular GREEN/16-5932TPX BUN(REG) 0.13D 35+/-4 Asker C 1.1M 2M 160mm</v>
          </cell>
          <cell r="C20" t="str">
            <v>GREEN</v>
          </cell>
          <cell r="D20">
            <v>11</v>
          </cell>
          <cell r="E20">
            <v>0</v>
          </cell>
          <cell r="F20">
            <v>9</v>
          </cell>
          <cell r="G20">
            <v>2</v>
          </cell>
        </row>
        <row r="21">
          <cell r="A21" t="str">
            <v>BDB-000017</v>
          </cell>
          <cell r="B21" t="str">
            <v>Ortholite Regular YELLOW/13-0858TPX BUN(REG) 0.11D 15+/-4 Asker C 1.1M 1.7M 160mm</v>
          </cell>
          <cell r="C21" t="str">
            <v>YELLOW</v>
          </cell>
          <cell r="E21">
            <v>0</v>
          </cell>
          <cell r="F21">
            <v>0</v>
          </cell>
          <cell r="G21">
            <v>0</v>
          </cell>
        </row>
        <row r="22">
          <cell r="A22" t="str">
            <v>BDB-000018</v>
          </cell>
          <cell r="B22" t="str">
            <v>Ortholite Regular YELLOW/13-0858TPX BUN(REG) 0.13D 25+/-4 Asker C 1.1M 2M 160mm</v>
          </cell>
          <cell r="C22" t="str">
            <v>YELLOW</v>
          </cell>
          <cell r="E22">
            <v>0</v>
          </cell>
          <cell r="F22">
            <v>0</v>
          </cell>
          <cell r="G22">
            <v>0</v>
          </cell>
        </row>
        <row r="23">
          <cell r="A23" t="str">
            <v>BDB-000019</v>
          </cell>
          <cell r="B23" t="str">
            <v>Ortholite Regular RED/19-1764TPX BUN(REG) 0.11D 25+/-4 Asker C 1.1M 2M 160mm</v>
          </cell>
          <cell r="C23" t="str">
            <v>RED</v>
          </cell>
          <cell r="E23">
            <v>0</v>
          </cell>
          <cell r="F23">
            <v>0</v>
          </cell>
          <cell r="G23">
            <v>0</v>
          </cell>
        </row>
        <row r="24">
          <cell r="A24" t="str">
            <v>BDB-000020</v>
          </cell>
          <cell r="B24" t="str">
            <v>Ortholite Regular RED/19-1764TPX BUN(REG) 0.13D 35+/-4 Asker C 1.1M 2M 160mm</v>
          </cell>
          <cell r="C24" t="str">
            <v>RED</v>
          </cell>
          <cell r="D24">
            <v>4</v>
          </cell>
          <cell r="E24">
            <v>0</v>
          </cell>
          <cell r="F24">
            <v>0</v>
          </cell>
          <cell r="G24">
            <v>4</v>
          </cell>
        </row>
        <row r="25">
          <cell r="A25" t="str">
            <v>BDB-000021</v>
          </cell>
          <cell r="B25" t="str">
            <v>Ortholite Regular GREY/17-1501TPX BUN(REG) 0.13D 25+/-4 Asker C 1.1M 2M 160mm</v>
          </cell>
          <cell r="C25" t="str">
            <v>GREY</v>
          </cell>
          <cell r="E25">
            <v>0</v>
          </cell>
          <cell r="F25">
            <v>0</v>
          </cell>
          <cell r="G25">
            <v>0</v>
          </cell>
        </row>
        <row r="26">
          <cell r="A26" t="str">
            <v>BDB-000022</v>
          </cell>
          <cell r="B26" t="str">
            <v>Ortholite Regular GREEN/16-5932TPX BUN(REG) 0.11D 15+/-4 Asker C 1.1M 2M 160mm</v>
          </cell>
          <cell r="C26" t="str">
            <v>GREEN</v>
          </cell>
          <cell r="E26">
            <v>0</v>
          </cell>
          <cell r="F26">
            <v>0</v>
          </cell>
          <cell r="G26">
            <v>0</v>
          </cell>
        </row>
        <row r="27">
          <cell r="A27" t="str">
            <v>BDB-000023</v>
          </cell>
          <cell r="B27" t="str">
            <v>Ortholite Regular AIR BLUE/16-4134TPX BUN(REG) 0.11D 25+/-4 Asker C 1.1M 1.7M 160mm</v>
          </cell>
          <cell r="C27" t="str">
            <v>AIR BLUE</v>
          </cell>
          <cell r="E27">
            <v>0</v>
          </cell>
          <cell r="F27">
            <v>0</v>
          </cell>
          <cell r="G27">
            <v>0</v>
          </cell>
        </row>
        <row r="28">
          <cell r="A28" t="str">
            <v>BDB-000024</v>
          </cell>
          <cell r="B28" t="str">
            <v>Ortholite Regular GREY/17-1501TPX BUN(REG) 0.11D 25+/-4 Asker C 1.1M 1.7M 160mm</v>
          </cell>
          <cell r="C28" t="str">
            <v>GREY</v>
          </cell>
          <cell r="E28">
            <v>0</v>
          </cell>
          <cell r="F28">
            <v>0</v>
          </cell>
          <cell r="G28">
            <v>0</v>
          </cell>
        </row>
        <row r="29">
          <cell r="A29" t="str">
            <v>BDB-000025</v>
          </cell>
          <cell r="B29" t="str">
            <v>Ortholite Regular GREEN/16-5932TPX BUN(REG) 0.11D 25+/-4 Asker C 1.1M 2M 160mm</v>
          </cell>
          <cell r="C29" t="str">
            <v>GREEN</v>
          </cell>
          <cell r="E29">
            <v>0</v>
          </cell>
          <cell r="F29">
            <v>0</v>
          </cell>
          <cell r="G29">
            <v>0</v>
          </cell>
        </row>
        <row r="30">
          <cell r="A30" t="str">
            <v>BDB-000026</v>
          </cell>
          <cell r="B30" t="str">
            <v>Ortholite Regular YELLOW/13-0858TPX BUN(REG) 0.13D 35+/-4 Asker C 1.1M 2M 160mm</v>
          </cell>
          <cell r="C30" t="str">
            <v>YELLOW</v>
          </cell>
          <cell r="E30">
            <v>0</v>
          </cell>
          <cell r="F30">
            <v>0</v>
          </cell>
          <cell r="G30">
            <v>0</v>
          </cell>
        </row>
        <row r="31">
          <cell r="A31" t="str">
            <v>BDB-000027</v>
          </cell>
          <cell r="B31" t="str">
            <v>Ortholite Regular LIME GREEN/14-0452TPX BUN(REG) 0.11D 15+/-4 Asker C 1.1M 2M 160mm</v>
          </cell>
          <cell r="C31" t="str">
            <v>LIME GREEN</v>
          </cell>
          <cell r="E31">
            <v>0</v>
          </cell>
          <cell r="F31">
            <v>0</v>
          </cell>
          <cell r="G31">
            <v>0</v>
          </cell>
        </row>
        <row r="32">
          <cell r="A32" t="str">
            <v>BDB-000028</v>
          </cell>
          <cell r="B32" t="str">
            <v>Ortholite Regular LIME GREEN/14-0452TPX BUN(REG) 0.13D 35+/-4 Asker C 1.1M 2M 160mm</v>
          </cell>
          <cell r="C32" t="str">
            <v>LIME GREEN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</row>
        <row r="33">
          <cell r="A33" t="str">
            <v>BDB-000029</v>
          </cell>
          <cell r="B33" t="str">
            <v>Ortholite Regular AIR BLUE/16-4134TPX BUN(REG) 0.13D 25+/-4 Asker C 1.1M 1.47M 160mm</v>
          </cell>
          <cell r="C33" t="str">
            <v>AIR BLUE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BDB-000030</v>
          </cell>
          <cell r="B34" t="str">
            <v>Ortholite Regular RED/19-1764TPX BUN(REG) 0.11D 25+/-4 Asker C 1.1M 1.47M 160mm</v>
          </cell>
          <cell r="C34" t="str">
            <v>RED</v>
          </cell>
          <cell r="E34">
            <v>0</v>
          </cell>
          <cell r="F34">
            <v>0</v>
          </cell>
          <cell r="G34">
            <v>0</v>
          </cell>
        </row>
        <row r="35">
          <cell r="A35" t="str">
            <v>BDB-000031</v>
          </cell>
          <cell r="B35" t="str">
            <v>Ortholite Regular BURNT SIENNA/17-1544TPX BUN(REG) 0.11D 25+/-4 Asker C 1.1M 2M 160mm</v>
          </cell>
          <cell r="C35" t="str">
            <v>BURNT SIENNA</v>
          </cell>
          <cell r="E35">
            <v>0</v>
          </cell>
          <cell r="F35">
            <v>0</v>
          </cell>
          <cell r="G35">
            <v>0</v>
          </cell>
        </row>
        <row r="36">
          <cell r="A36" t="str">
            <v>BDB-000032</v>
          </cell>
          <cell r="B36" t="str">
            <v>Ortholite Regular SEEDPEARL/12-0703TPX BUN(REG) 0.11D 25+/-4 Asker C 1.1M 2M 160mm</v>
          </cell>
          <cell r="C36" t="str">
            <v>SEEDPEARL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BDB-000033</v>
          </cell>
          <cell r="B37" t="str">
            <v>Ortholite Regular SEEDPEARL/12-0703TPX BUN(REG) 0.13D 35+/-4 Asker C 1.1M 2M 160mm</v>
          </cell>
          <cell r="C37" t="str">
            <v>SEEDPEARL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BDB-000034</v>
          </cell>
          <cell r="B38" t="str">
            <v>Ortholite Regular GREEN/16-5932TPX BUN(REG) 0.13D 15+/-4 Asker C 1.1M 2M 160mm</v>
          </cell>
          <cell r="C38" t="str">
            <v>GREEN</v>
          </cell>
          <cell r="E38">
            <v>0</v>
          </cell>
          <cell r="F38">
            <v>0</v>
          </cell>
          <cell r="G38">
            <v>0</v>
          </cell>
        </row>
        <row r="39">
          <cell r="A39" t="str">
            <v>BDB-000035</v>
          </cell>
          <cell r="B39" t="str">
            <v>Ortholite Regular GREEN/16-5932TPX BUN(REG) 0.13D 25+/-4 Asker C 1.1M 2M 160mm</v>
          </cell>
          <cell r="C39" t="str">
            <v>GREEN</v>
          </cell>
          <cell r="E39">
            <v>0</v>
          </cell>
          <cell r="F39">
            <v>0</v>
          </cell>
          <cell r="G39">
            <v>0</v>
          </cell>
        </row>
        <row r="40">
          <cell r="A40" t="str">
            <v>BDB-000036</v>
          </cell>
          <cell r="B40" t="str">
            <v>Ortholite Regular AIR BLUE/16-4134TPX BUN(REG) 0.11D 15+/-4 Asker C 1.1M 1.7M 160mm</v>
          </cell>
          <cell r="C40" t="str">
            <v>AIR BLUE</v>
          </cell>
          <cell r="E40">
            <v>0</v>
          </cell>
          <cell r="F40">
            <v>0</v>
          </cell>
          <cell r="G40">
            <v>0</v>
          </cell>
        </row>
        <row r="41">
          <cell r="A41" t="str">
            <v>BDB-000037</v>
          </cell>
          <cell r="B41" t="str">
            <v>Ortholite Regular BURNT SIENNA/17-1544TPX BUN(REG) 0.13D 25+/-4 Asker C 1.1M 2M 160mm</v>
          </cell>
          <cell r="C41" t="str">
            <v>BURNT SIENNA</v>
          </cell>
          <cell r="E41">
            <v>0</v>
          </cell>
          <cell r="F41">
            <v>0</v>
          </cell>
          <cell r="G41">
            <v>0</v>
          </cell>
        </row>
        <row r="42">
          <cell r="A42" t="str">
            <v>BDB-000038</v>
          </cell>
          <cell r="B42" t="str">
            <v>Ortholite Regular YELLOW/13-0858TPX BUN(REG) 0.11D 25+/-4 Asker C 1.1M 1.7M 160mm</v>
          </cell>
          <cell r="C42" t="str">
            <v>YELLOW</v>
          </cell>
          <cell r="E42">
            <v>0</v>
          </cell>
          <cell r="F42">
            <v>0</v>
          </cell>
          <cell r="G42">
            <v>0</v>
          </cell>
        </row>
        <row r="43">
          <cell r="A43" t="str">
            <v>BDB-000039</v>
          </cell>
          <cell r="B43" t="str">
            <v>Ortholite Regular NEUTRAL GRAY/17-4402TPX BUN(REG) 0.11D 25+/-4 Asker C 1.1M 2M 160mm</v>
          </cell>
          <cell r="C43" t="str">
            <v>NEUTRAL GRAY</v>
          </cell>
          <cell r="E43">
            <v>0</v>
          </cell>
          <cell r="F43">
            <v>0</v>
          </cell>
          <cell r="G43">
            <v>0</v>
          </cell>
        </row>
        <row r="44">
          <cell r="A44" t="str">
            <v>BDB-000040</v>
          </cell>
          <cell r="B44" t="str">
            <v>Ortholite Regular AIR BLUE/16-4134TPX BUN(REG) 0.13D 35+/-4 Asker C 1.1M 1.7M 160mm</v>
          </cell>
          <cell r="C44" t="str">
            <v>AIR BLUE</v>
          </cell>
          <cell r="E44">
            <v>0</v>
          </cell>
          <cell r="F44">
            <v>0</v>
          </cell>
          <cell r="G44">
            <v>0</v>
          </cell>
        </row>
        <row r="45">
          <cell r="A45" t="str">
            <v>BDB-000041</v>
          </cell>
          <cell r="B45" t="str">
            <v>Ortholite Regular GREEN/16-5932TPX BUN(REG) 0.13D 35+/-4 Asker C 1.1M 1.7M 160mm</v>
          </cell>
          <cell r="C45" t="str">
            <v>GREEN</v>
          </cell>
          <cell r="E45">
            <v>0</v>
          </cell>
          <cell r="F45">
            <v>0</v>
          </cell>
          <cell r="G45">
            <v>0</v>
          </cell>
        </row>
        <row r="46">
          <cell r="A46" t="str">
            <v>BDB-000042</v>
          </cell>
          <cell r="B46" t="str">
            <v>Ortholite Regular LIME GREEN/14-0452TPX BUN(REG) 0.13D 25+/-4 Asker C 1.1M 2M 160mm</v>
          </cell>
          <cell r="C46" t="str">
            <v>LIME GREEN</v>
          </cell>
          <cell r="E46">
            <v>0</v>
          </cell>
          <cell r="F46">
            <v>0</v>
          </cell>
          <cell r="G46">
            <v>0</v>
          </cell>
        </row>
        <row r="47">
          <cell r="A47" t="str">
            <v>BDB-000043</v>
          </cell>
          <cell r="B47" t="str">
            <v>Ortholite Regular FOSSIL/17-0909TPX BUN(REG) 0.13D 25+/-4 Asker C 1.1M 2M 160mm</v>
          </cell>
          <cell r="C47" t="str">
            <v>FOSSIL</v>
          </cell>
          <cell r="E47">
            <v>0</v>
          </cell>
          <cell r="F47">
            <v>0</v>
          </cell>
          <cell r="G47">
            <v>0</v>
          </cell>
        </row>
        <row r="48">
          <cell r="A48" t="str">
            <v>BDB-000044</v>
          </cell>
          <cell r="B48" t="str">
            <v>Ortholite Regular FOSSIL/17-0909TPX BUN(REG) 0.13D 35+/-4 Asker C 1.1M 2M 160mm</v>
          </cell>
          <cell r="C48" t="str">
            <v>FOSSIL</v>
          </cell>
          <cell r="E48">
            <v>0</v>
          </cell>
          <cell r="F48">
            <v>0</v>
          </cell>
          <cell r="G48">
            <v>0</v>
          </cell>
        </row>
        <row r="49">
          <cell r="A49" t="str">
            <v>BDB-000045</v>
          </cell>
          <cell r="B49" t="str">
            <v>Ortholite Regular GREEN/16-5932TPX BUN(REG) 0.11D 25+/-4 Asker C 1.1M 1.7M 160mm</v>
          </cell>
          <cell r="C49" t="str">
            <v>GREEN</v>
          </cell>
          <cell r="E49">
            <v>0</v>
          </cell>
          <cell r="F49">
            <v>0</v>
          </cell>
          <cell r="G49">
            <v>0</v>
          </cell>
        </row>
        <row r="50">
          <cell r="A50" t="str">
            <v>BDB-000046</v>
          </cell>
          <cell r="B50" t="str">
            <v>Ortholite Regular RED/19-1764TPX BUN(REG) 0.13D 35+/-4 Asker C 1.1M 1.47M 160mm</v>
          </cell>
          <cell r="C50" t="str">
            <v>RED</v>
          </cell>
          <cell r="E50">
            <v>0</v>
          </cell>
          <cell r="F50">
            <v>0</v>
          </cell>
          <cell r="G50">
            <v>0</v>
          </cell>
        </row>
        <row r="51">
          <cell r="A51" t="str">
            <v>BDB-000047</v>
          </cell>
          <cell r="B51" t="str">
            <v>Ortholite Regular AIR BLUE/16-4134TPX BUN(REG) 0.13D 25+/-4 Asker C 1.1M 1.7M 160mm</v>
          </cell>
          <cell r="C51" t="str">
            <v>AIR BLUE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BDB-000048</v>
          </cell>
          <cell r="B52" t="str">
            <v>Ortholite Regular 7417C(ROCKPORT) BUN(REG) 0.15D 45+/-4 Asker C 1.1M 1.7M 160mm</v>
          </cell>
          <cell r="C52" t="str">
            <v>(ROCKPORT)</v>
          </cell>
          <cell r="E52">
            <v>0</v>
          </cell>
          <cell r="F52">
            <v>0</v>
          </cell>
          <cell r="G52">
            <v>0</v>
          </cell>
        </row>
        <row r="53">
          <cell r="A53" t="str">
            <v>BDB-000049</v>
          </cell>
          <cell r="B53" t="str">
            <v>Ortholite Regular TRUE BLUE/19-4057TPX_x000D_ BUN(REG) 0.11D 15+/-4 Asker C 1.1M 2M 160mm</v>
          </cell>
          <cell r="C53" t="str">
            <v>TRUE BLUE</v>
          </cell>
          <cell r="E53">
            <v>0</v>
          </cell>
          <cell r="F53">
            <v>0</v>
          </cell>
          <cell r="G53">
            <v>0</v>
          </cell>
        </row>
        <row r="54">
          <cell r="A54" t="str">
            <v>BDB-000050</v>
          </cell>
          <cell r="B54" t="str">
            <v>Ortholite Regular NEUTRAL GRAY/17-4402TPX BUN(REG) 0.11D 25+/-4 Asker C 1.1M 1.7M 160mm</v>
          </cell>
          <cell r="C54" t="str">
            <v>NEUTRAL GRAY</v>
          </cell>
          <cell r="E54">
            <v>0</v>
          </cell>
          <cell r="F54">
            <v>0</v>
          </cell>
          <cell r="G54">
            <v>0</v>
          </cell>
        </row>
        <row r="55">
          <cell r="A55" t="str">
            <v>BDB-000051</v>
          </cell>
          <cell r="B55" t="str">
            <v>Ortholite X-40 TRUE BLUE/19-4057TPX_x000D_ BUN(X40) 0.16D 25+/-4 Asker C 1.1M 1.7M 160mm</v>
          </cell>
          <cell r="C55" t="str">
            <v>TRUE BLUE</v>
          </cell>
          <cell r="E55">
            <v>24</v>
          </cell>
          <cell r="F55">
            <v>14</v>
          </cell>
          <cell r="G55">
            <v>10</v>
          </cell>
        </row>
        <row r="56">
          <cell r="A56" t="str">
            <v>BDB-000052</v>
          </cell>
          <cell r="B56" t="str">
            <v>Ortholite X-40 TRUE BLUE/19-4057TPX_x000D_ BUN(X40) 0.16D 25+/-4 Asker C 1.1M 1.47M 160mm</v>
          </cell>
          <cell r="C56" t="str">
            <v>TRUE BLUE</v>
          </cell>
          <cell r="E56">
            <v>82</v>
          </cell>
          <cell r="F56">
            <v>123</v>
          </cell>
          <cell r="G56">
            <v>-41</v>
          </cell>
        </row>
        <row r="57">
          <cell r="A57" t="str">
            <v>BDB-000053</v>
          </cell>
          <cell r="B57" t="str">
            <v>Ortholite X-40 BILLIARD/16-5427TPX BUN(X40) 0.16D 35+/-4 Asker C 1.1M 1.7M 160mm</v>
          </cell>
          <cell r="C57" t="str">
            <v>BILLIARD</v>
          </cell>
          <cell r="E57">
            <v>0</v>
          </cell>
          <cell r="F57">
            <v>0</v>
          </cell>
          <cell r="G57">
            <v>0</v>
          </cell>
        </row>
        <row r="58">
          <cell r="A58" t="str">
            <v>BDB-000054</v>
          </cell>
          <cell r="B58" t="str">
            <v>Ortholite X-40 RED/19-1764TPX BUN(X40) 0.16D 25+/-4 Asker C 1.1M 1.7M 160mm</v>
          </cell>
          <cell r="C58" t="str">
            <v>RED</v>
          </cell>
          <cell r="E58">
            <v>0</v>
          </cell>
          <cell r="F58">
            <v>0</v>
          </cell>
          <cell r="G58">
            <v>0</v>
          </cell>
        </row>
        <row r="59">
          <cell r="A59" t="str">
            <v>BDB-000055</v>
          </cell>
          <cell r="B59" t="str">
            <v>Ortholite X-40 TRUE BLUE/19-4057TPX_x000D_ BUN(X40) 0.16D 35+/-4 Asker C 1.1M 1.7M 160mm</v>
          </cell>
          <cell r="C59" t="str">
            <v>TRUE BLUE</v>
          </cell>
          <cell r="E59">
            <v>0</v>
          </cell>
          <cell r="F59">
            <v>1</v>
          </cell>
          <cell r="G59">
            <v>-1</v>
          </cell>
        </row>
        <row r="60">
          <cell r="A60" t="str">
            <v>BDB-000056</v>
          </cell>
          <cell r="B60" t="str">
            <v>Ortholite X-40 SEEDPEARL/12-0703TPX BUN(X40) 0.16D 25+/-4 Asker C 1.1M 1.7M 160mm</v>
          </cell>
          <cell r="C60" t="str">
            <v>SEEDPEARL</v>
          </cell>
          <cell r="E60">
            <v>175</v>
          </cell>
          <cell r="F60">
            <v>175</v>
          </cell>
          <cell r="G60">
            <v>0</v>
          </cell>
        </row>
        <row r="61">
          <cell r="A61" t="str">
            <v>BDB-000057</v>
          </cell>
          <cell r="B61" t="str">
            <v>OrthoLite Ultra YELLOW/13-0858TPX BUN(ULITE) 0.085D 25+/-4 Asker C 1.1M 2M 160mm</v>
          </cell>
          <cell r="C61" t="str">
            <v>YELLOW</v>
          </cell>
          <cell r="D61">
            <v>2</v>
          </cell>
          <cell r="E61">
            <v>46</v>
          </cell>
          <cell r="F61">
            <v>30</v>
          </cell>
          <cell r="G61">
            <v>18</v>
          </cell>
        </row>
        <row r="62">
          <cell r="A62" t="str">
            <v>BDB-000058</v>
          </cell>
          <cell r="B62" t="str">
            <v>OrthoLite Ultra GREEN/16-5932TPX BUN(ULITE) 0.085D 25+/-4 Asker C 1.1M 2M 160mm</v>
          </cell>
          <cell r="C62" t="str">
            <v>GREEN</v>
          </cell>
          <cell r="E62">
            <v>13</v>
          </cell>
          <cell r="F62">
            <v>0</v>
          </cell>
          <cell r="G62">
            <v>13</v>
          </cell>
        </row>
        <row r="63">
          <cell r="A63" t="str">
            <v>BDB-000059</v>
          </cell>
          <cell r="B63" t="str">
            <v>OrthoLite Ultra RED/19-1764TPX BUN(ULITE) 0.085D 25+/-4 Asker C 1.1M 2M 160mm</v>
          </cell>
          <cell r="C63" t="str">
            <v>RED</v>
          </cell>
          <cell r="E63">
            <v>0</v>
          </cell>
          <cell r="F63">
            <v>0</v>
          </cell>
          <cell r="G63">
            <v>0</v>
          </cell>
        </row>
        <row r="64">
          <cell r="A64" t="str">
            <v>BDB-000060</v>
          </cell>
          <cell r="B64" t="str">
            <v>OrthoLite Ultra BURNT SIENNA/17-1544TPX BUN(ULITE) 0.085D 25+/-4 Asker C 1.1M 2M 160mm</v>
          </cell>
          <cell r="C64" t="str">
            <v>BURNT SIENNA</v>
          </cell>
          <cell r="E64">
            <v>0</v>
          </cell>
          <cell r="F64">
            <v>0</v>
          </cell>
          <cell r="G64">
            <v>0</v>
          </cell>
        </row>
        <row r="65">
          <cell r="A65" t="str">
            <v>BDB-000061</v>
          </cell>
          <cell r="B65" t="str">
            <v>OrthoLite Ultra SEEDPEARL/12-0703TPX BUN(ULITE) 0.085D 25+/-4 Asker C 1.1M 1.47M 160mm</v>
          </cell>
          <cell r="C65" t="str">
            <v>SEEDPEARL</v>
          </cell>
          <cell r="E65">
            <v>0</v>
          </cell>
          <cell r="F65">
            <v>0</v>
          </cell>
          <cell r="G65">
            <v>0</v>
          </cell>
        </row>
        <row r="66">
          <cell r="A66" t="str">
            <v>BDB-000062</v>
          </cell>
          <cell r="B66" t="str">
            <v>OrthoLite Ultra LIME GREEN/14-0452TPX BUN(ULITE) 0.085D 25+/-4 Asker C 1.1M 2M 160mm</v>
          </cell>
          <cell r="C66" t="str">
            <v>LIME GREEN</v>
          </cell>
          <cell r="E66">
            <v>0</v>
          </cell>
          <cell r="F66">
            <v>0</v>
          </cell>
          <cell r="G66">
            <v>0</v>
          </cell>
        </row>
        <row r="67">
          <cell r="A67" t="str">
            <v>BDB-000063</v>
          </cell>
          <cell r="B67" t="str">
            <v>OrthoLite Ultra YELLOW/13-0858TPX BUN(ULITE) 0.085D 15+/-4 Asker C 1.1M 2M 160mm</v>
          </cell>
          <cell r="C67" t="str">
            <v>YELLOW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BDB-000064</v>
          </cell>
          <cell r="B68" t="str">
            <v>OrthoLite Ultra GREEN/16-5932TPX BUN(ULITE) 0.085D 25+/-4 Asker C 1.1M 1.47M 160mm</v>
          </cell>
          <cell r="C68" t="str">
            <v>GREEN</v>
          </cell>
          <cell r="E68">
            <v>0</v>
          </cell>
          <cell r="F68">
            <v>0</v>
          </cell>
          <cell r="G68">
            <v>0</v>
          </cell>
        </row>
        <row r="69">
          <cell r="A69" t="str">
            <v>BDB-000065</v>
          </cell>
          <cell r="B69" t="str">
            <v>OrthoLite Ultra FOSSIL/17-0909TPX BUN(ULITE) 0.085D 25+/-4 Asker C 1.1M 2M 160mm</v>
          </cell>
          <cell r="C69" t="str">
            <v>FOSSIL</v>
          </cell>
          <cell r="E69">
            <v>0</v>
          </cell>
          <cell r="F69">
            <v>0</v>
          </cell>
          <cell r="G69">
            <v>0</v>
          </cell>
        </row>
        <row r="70">
          <cell r="A70" t="str">
            <v>BDB-000066</v>
          </cell>
          <cell r="B70" t="str">
            <v>OrthoLite Ultra GREY/17-1501TPX BUN(ULITE) 0.085D 25+/-4 Asker C 1.1M 2M 160mm</v>
          </cell>
          <cell r="C70" t="str">
            <v>GREY</v>
          </cell>
          <cell r="D70">
            <v>5</v>
          </cell>
          <cell r="E70">
            <v>0</v>
          </cell>
          <cell r="F70">
            <v>0</v>
          </cell>
          <cell r="G70">
            <v>5</v>
          </cell>
        </row>
        <row r="71">
          <cell r="A71" t="str">
            <v>BDB-000067</v>
          </cell>
          <cell r="B71" t="str">
            <v>OrthoLite Ultra SEEDPEARL/12-0703TPX BUN(ULITE) 0.085D 25+/-4 Asker C 1.1M 2M 160mm</v>
          </cell>
          <cell r="C71" t="str">
            <v>SEEDPEARL</v>
          </cell>
          <cell r="E71">
            <v>2</v>
          </cell>
          <cell r="F71">
            <v>2</v>
          </cell>
          <cell r="G71">
            <v>0</v>
          </cell>
        </row>
        <row r="72">
          <cell r="A72" t="str">
            <v>BDB-000068</v>
          </cell>
          <cell r="B72" t="str">
            <v>OrthoLite Ultra GREY/17-1501TPX BUN(ULITE) 0.085D 25+/-4 Asker C 1.1M 1.47M 160mm</v>
          </cell>
          <cell r="C72" t="str">
            <v>GREY</v>
          </cell>
          <cell r="E72">
            <v>0</v>
          </cell>
          <cell r="F72">
            <v>0</v>
          </cell>
          <cell r="G72">
            <v>0</v>
          </cell>
        </row>
        <row r="73">
          <cell r="A73" t="str">
            <v>BDB-000069</v>
          </cell>
          <cell r="B73" t="str">
            <v>OrthoLite Ultra RED/19-1764TPX BUN(ULITE) 0.085D 25+/-4 Asker C 1.1M 1.47M 160mm</v>
          </cell>
          <cell r="C73" t="str">
            <v>RED</v>
          </cell>
          <cell r="E73">
            <v>0</v>
          </cell>
          <cell r="F73">
            <v>0</v>
          </cell>
          <cell r="G73">
            <v>0</v>
          </cell>
        </row>
        <row r="74">
          <cell r="A74" t="str">
            <v>BDB-000070</v>
          </cell>
          <cell r="B74" t="str">
            <v>OrthoLite Ultra RED/19-1764TPX BUN(ULITE) 0.085D 25+/-4 Asker C 1.1M 1.7M 160mm</v>
          </cell>
          <cell r="C74" t="str">
            <v>RED</v>
          </cell>
          <cell r="E74">
            <v>0</v>
          </cell>
          <cell r="F74">
            <v>0</v>
          </cell>
          <cell r="G74">
            <v>0</v>
          </cell>
        </row>
        <row r="75">
          <cell r="A75" t="str">
            <v>BDB-000071</v>
          </cell>
          <cell r="B75" t="str">
            <v>OrthoLite Ultra AIR BLUE/16-4134TPX BUN(ULITE) 0.085D 25+/-4 Asker C 1.1M 2M 160mm</v>
          </cell>
          <cell r="C75" t="str">
            <v>AIR BLUE</v>
          </cell>
          <cell r="E75">
            <v>0</v>
          </cell>
          <cell r="F75">
            <v>0</v>
          </cell>
          <cell r="G75">
            <v>0</v>
          </cell>
        </row>
        <row r="76">
          <cell r="A76" t="str">
            <v>BDB-000072</v>
          </cell>
          <cell r="B76" t="str">
            <v>OrthoLite Ultra SEEDPEARL/12-0703TPX BUN(ULITE) 0.085D 15+/-4 Asker C 1.1M 2M 160mm</v>
          </cell>
          <cell r="C76" t="str">
            <v>SEEDPEARL</v>
          </cell>
          <cell r="E76">
            <v>0</v>
          </cell>
          <cell r="F76">
            <v>0</v>
          </cell>
          <cell r="G76">
            <v>0</v>
          </cell>
        </row>
        <row r="77">
          <cell r="A77" t="str">
            <v>BDB-000073</v>
          </cell>
          <cell r="B77" t="str">
            <v>OrthoLite Ultra NEUTRAL GRAY/17-4402TPX BUN(ULITE) 0.085D 25+/-4 Asker C 1.1M 2M 160mm</v>
          </cell>
          <cell r="C77" t="str">
            <v>NEUTRAL GRAY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BDB-000074</v>
          </cell>
          <cell r="B78" t="str">
            <v>OrthoLite Ultra LIME GREEN/14-0452TPX BUN(ULITE) 0.085D 15+/-4 Asker C 1.1M 2M 160mm</v>
          </cell>
          <cell r="C78" t="str">
            <v>LIME GREEN</v>
          </cell>
          <cell r="E78">
            <v>0</v>
          </cell>
          <cell r="F78">
            <v>0</v>
          </cell>
          <cell r="G78">
            <v>0</v>
          </cell>
        </row>
        <row r="79">
          <cell r="A79" t="str">
            <v>BDB-000075</v>
          </cell>
          <cell r="B79" t="str">
            <v>OrthoLite Ultra AIR BLUE/16-4134TPX BUN(ULITE) 0.085D 25+/-4 Asker C 1.1M 1.47M 160mm</v>
          </cell>
          <cell r="C79" t="str">
            <v>AIR BLUE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BDB-000076</v>
          </cell>
          <cell r="B80" t="str">
            <v>OrthoLite X-25 BILLIARD/16-5427TPX BUN(X25) 0.12D 20+/-4 Asker C 1.1M 2M 160mm</v>
          </cell>
          <cell r="C80" t="str">
            <v>BILLIARD</v>
          </cell>
          <cell r="D80">
            <v>2</v>
          </cell>
          <cell r="E80">
            <v>17</v>
          </cell>
          <cell r="F80">
            <v>0</v>
          </cell>
          <cell r="G80">
            <v>19</v>
          </cell>
        </row>
        <row r="81">
          <cell r="A81" t="str">
            <v>BDB-000077</v>
          </cell>
          <cell r="B81" t="str">
            <v>OrthoLite X-25 SEEDPEARL/12-0703TPX BUN(X25) 0.12D 20+/-4 Asker C 1.1M 2M 160mm</v>
          </cell>
          <cell r="C81" t="str">
            <v>SEEDPEARL</v>
          </cell>
          <cell r="E81">
            <v>0</v>
          </cell>
          <cell r="F81">
            <v>0</v>
          </cell>
          <cell r="G81">
            <v>0</v>
          </cell>
        </row>
        <row r="82">
          <cell r="A82" t="str">
            <v>BDB-000078</v>
          </cell>
          <cell r="B82" t="str">
            <v>OrthoLite X-30 RED/19-1764TPX BUN(X30) 0.13D 25+/-4 Asker C 1.1M 2M 160mm</v>
          </cell>
          <cell r="C82" t="str">
            <v>RED</v>
          </cell>
          <cell r="E82">
            <v>0</v>
          </cell>
          <cell r="F82">
            <v>0</v>
          </cell>
          <cell r="G82">
            <v>0</v>
          </cell>
        </row>
        <row r="83">
          <cell r="A83" t="str">
            <v>BDB-000079</v>
          </cell>
          <cell r="B83" t="str">
            <v>OrthoLite X-35 AMAZON/18-6024TPX BUN(X35) 0.145D 25+/-4 Asker C 1.1M 2M 160mm</v>
          </cell>
          <cell r="C83" t="str">
            <v>AMAZON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BDB-000080</v>
          </cell>
          <cell r="B84" t="str">
            <v>OrthoLite X-35 YELLOW/13-0858TPX BUN(X35) 0.145D 25+/-4 Asker C 1.1M 2M 160mm</v>
          </cell>
          <cell r="C84" t="str">
            <v>YELLOW</v>
          </cell>
          <cell r="E84">
            <v>0</v>
          </cell>
          <cell r="F84">
            <v>0</v>
          </cell>
          <cell r="G84">
            <v>0</v>
          </cell>
        </row>
        <row r="85">
          <cell r="A85" t="str">
            <v>BDB-000081</v>
          </cell>
          <cell r="B85" t="str">
            <v>OrthoLite X-35 FOSSIL/17-0909TPX BUN(X35) 0.145D 25+/-4 Asker C 1.1M 2M 160mm</v>
          </cell>
          <cell r="C85" t="str">
            <v>FOSSIL</v>
          </cell>
          <cell r="E85">
            <v>0</v>
          </cell>
          <cell r="F85">
            <v>0</v>
          </cell>
          <cell r="G85">
            <v>0</v>
          </cell>
        </row>
        <row r="86">
          <cell r="A86" t="str">
            <v>BDB-000082</v>
          </cell>
          <cell r="B86" t="str">
            <v>OrthoLite X-35 AMAZON/18-6024TPX BUN(X35) 0.145D 25+/-4 Asker C 1.1M 1.47M 160mm</v>
          </cell>
          <cell r="C86" t="str">
            <v>AMAZON</v>
          </cell>
          <cell r="E86">
            <v>0</v>
          </cell>
          <cell r="F86">
            <v>0</v>
          </cell>
          <cell r="G86">
            <v>0</v>
          </cell>
        </row>
        <row r="87">
          <cell r="A87" t="str">
            <v>BDB-000083</v>
          </cell>
          <cell r="B87" t="str">
            <v>OrthoLite Eco LT 300C(ADIDAS BLUEBIRD) BUN(ECOLT) 0.11D 25+/-4 Asker C 1.1M 2M 160mm</v>
          </cell>
          <cell r="C87" t="str">
            <v>300C</v>
          </cell>
          <cell r="D87">
            <v>4</v>
          </cell>
          <cell r="E87">
            <v>0</v>
          </cell>
          <cell r="F87">
            <v>0</v>
          </cell>
          <cell r="G87">
            <v>4</v>
          </cell>
        </row>
        <row r="88">
          <cell r="A88" t="str">
            <v>BDB-000084</v>
          </cell>
          <cell r="B88" t="str">
            <v>OrthoLite Eco LT YELLOW/13-0858TPX BUN(ECOLT) 0.11D 25+/-4 Asker C 1.1M 2M 160mm</v>
          </cell>
          <cell r="C88" t="str">
            <v>YELLOW</v>
          </cell>
          <cell r="E88">
            <v>0</v>
          </cell>
          <cell r="F88">
            <v>0</v>
          </cell>
          <cell r="G88">
            <v>0</v>
          </cell>
        </row>
        <row r="89">
          <cell r="A89" t="str">
            <v>BDB-000085</v>
          </cell>
          <cell r="B89" t="str">
            <v>OrthoLite Eco LT GREY/17-1501TPX BUN(ECOLT) 0.11D 25+/-4 Asker C 1.1M 2M 160mm</v>
          </cell>
          <cell r="C89" t="str">
            <v>GREY</v>
          </cell>
          <cell r="D89">
            <v>3</v>
          </cell>
          <cell r="E89">
            <v>0</v>
          </cell>
          <cell r="F89">
            <v>0</v>
          </cell>
          <cell r="G89">
            <v>3</v>
          </cell>
        </row>
        <row r="90">
          <cell r="A90" t="str">
            <v>BDB-000086</v>
          </cell>
          <cell r="B90" t="str">
            <v>OrthoLite Eco LT SEEDPEARL/12-0703TPX BUN(ECOLT) 0.11D 25+/-4 Asker C 1.1M 2M 160mm</v>
          </cell>
          <cell r="C90" t="str">
            <v>SEEDPEARL</v>
          </cell>
          <cell r="E90">
            <v>0</v>
          </cell>
          <cell r="F90">
            <v>0</v>
          </cell>
          <cell r="G90">
            <v>0</v>
          </cell>
        </row>
        <row r="91">
          <cell r="A91" t="str">
            <v>BDB-000087</v>
          </cell>
          <cell r="B91" t="str">
            <v>OrthoLite Eco LT GREEN/16-5932TPX BUN(ECOLT) 0.11D 25+/-4 Asker C 1.1M 2M 160mm</v>
          </cell>
          <cell r="C91" t="str">
            <v>GREEN</v>
          </cell>
          <cell r="E91">
            <v>0</v>
          </cell>
          <cell r="F91">
            <v>0</v>
          </cell>
          <cell r="G91">
            <v>0</v>
          </cell>
        </row>
        <row r="92">
          <cell r="A92" t="str">
            <v>BDB-000088</v>
          </cell>
          <cell r="B92" t="str">
            <v>OrthoLite Eco LT RED/19-1764TPX BUN(ECOLT) 0.11D 25+/-4 Asker C 1.1M 2M 160mm</v>
          </cell>
          <cell r="C92" t="str">
            <v>RED</v>
          </cell>
          <cell r="D92">
            <v>4</v>
          </cell>
          <cell r="E92">
            <v>0</v>
          </cell>
          <cell r="F92">
            <v>0</v>
          </cell>
          <cell r="G92">
            <v>4</v>
          </cell>
        </row>
        <row r="93">
          <cell r="A93" t="str">
            <v>BDB-000089</v>
          </cell>
          <cell r="B93" t="str">
            <v>OrthoLite Eco LT SEEDPEARL/12-0703TPX BUN(ECOLT) 0.085D 25+/-4 Asker C 1.1M 2M 160mm</v>
          </cell>
          <cell r="C93" t="str">
            <v>SEEDPEARL</v>
          </cell>
          <cell r="E93">
            <v>0</v>
          </cell>
          <cell r="F93">
            <v>0</v>
          </cell>
          <cell r="G93">
            <v>0</v>
          </cell>
        </row>
        <row r="94">
          <cell r="A94" t="str">
            <v>BDB-000090</v>
          </cell>
          <cell r="B94" t="str">
            <v>OrthoLite Eco LT RED/19-1764TPX BUN(ECOLT) 0.13D 35+/-4 Asker C 1.1M 2M 160mm</v>
          </cell>
          <cell r="C94" t="str">
            <v>RED</v>
          </cell>
          <cell r="E94">
            <v>0</v>
          </cell>
          <cell r="F94">
            <v>0</v>
          </cell>
          <cell r="G94">
            <v>0</v>
          </cell>
        </row>
        <row r="95">
          <cell r="A95" t="str">
            <v>BDB-000091</v>
          </cell>
          <cell r="B95" t="str">
            <v>OrthoLite Eco LT FOSSIL/17-0909TPX BUN(ECOLT) 0.13D 35+/-4 Asker C 1.1M 2M 160mm</v>
          </cell>
          <cell r="C95" t="str">
            <v>FOSSIL</v>
          </cell>
          <cell r="E95">
            <v>0</v>
          </cell>
          <cell r="F95">
            <v>0</v>
          </cell>
          <cell r="G95">
            <v>0</v>
          </cell>
        </row>
        <row r="96">
          <cell r="A96" t="str">
            <v>BDB-000092</v>
          </cell>
          <cell r="B96" t="str">
            <v>OrthoLite Eco LT LIME GREEN/14-0452TPX BUN(ECOLT) 0.13D 35+/-4 Asker C 1.1M 2M 160mm</v>
          </cell>
          <cell r="C96" t="str">
            <v>LIME GREEN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BDB-000093</v>
          </cell>
          <cell r="B97" t="str">
            <v>OrthoLite Eco LT AIR BLUE/16-4134TPX BUN(ECOLT) 0.11D 25+/-4 Asker C 1.1M 2M 160mm</v>
          </cell>
          <cell r="C97" t="str">
            <v>AIR BLUE</v>
          </cell>
          <cell r="E97">
            <v>0</v>
          </cell>
          <cell r="F97">
            <v>0</v>
          </cell>
          <cell r="G97">
            <v>0</v>
          </cell>
        </row>
        <row r="98">
          <cell r="A98" t="str">
            <v>BDB-000094</v>
          </cell>
          <cell r="B98" t="str">
            <v>OrthoLite Eco LT 300C(ADIDAS BLUEBIRD) BUN(ECOLT) 0.11D 25+/-4 Asker C 1.1M 1.47M 160mm</v>
          </cell>
          <cell r="C98" t="str">
            <v>300C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BDB-000095</v>
          </cell>
          <cell r="B99" t="str">
            <v>OrthoLite Eco LT 300C(ADIDAS BLUEBIRD) BUN(ECOLT) 0.11D 25+/-4 Asker C 1.1M 1.7M 160mm</v>
          </cell>
          <cell r="C99" t="str">
            <v>300C</v>
          </cell>
          <cell r="E99">
            <v>0</v>
          </cell>
          <cell r="F99">
            <v>0</v>
          </cell>
          <cell r="G99">
            <v>0</v>
          </cell>
        </row>
        <row r="100">
          <cell r="A100" t="str">
            <v>BDB-000096</v>
          </cell>
          <cell r="B100" t="str">
            <v>OrthoLite Eco LT LIME GREEN/14-0452TPX BUN(ECOLT) 0.11D 25+/-4 Asker C 1.1M 2M 160mm</v>
          </cell>
          <cell r="C100" t="str">
            <v>LIME GREEN</v>
          </cell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BDB-000097</v>
          </cell>
          <cell r="B101" t="str">
            <v>OrthoLite Eco LT-Hybrid SEEDPEARL/12-0703TPX BUN(ECOLT-HYBRID) 0.11D 25+/-4 Asker C 1.1M 2M 160mm</v>
          </cell>
          <cell r="C101" t="str">
            <v>SEEDPEARL</v>
          </cell>
          <cell r="E101">
            <v>105</v>
          </cell>
          <cell r="F101">
            <v>105</v>
          </cell>
          <cell r="G101">
            <v>0</v>
          </cell>
        </row>
        <row r="102">
          <cell r="A102" t="str">
            <v>BDB-000098</v>
          </cell>
          <cell r="B102" t="str">
            <v>OrthoLite Eco LT-Hybrid SEEDPEARL/12-0703TPX BUN(ECOLT-HYBRID) 0.13D 25+/-4 Asker C 1.1M 2M 160mm</v>
          </cell>
          <cell r="C102" t="str">
            <v>SEEDPEARL</v>
          </cell>
          <cell r="E102">
            <v>0</v>
          </cell>
          <cell r="F102">
            <v>0</v>
          </cell>
          <cell r="G102">
            <v>0</v>
          </cell>
        </row>
        <row r="103">
          <cell r="A103" t="str">
            <v>BDB-000099</v>
          </cell>
          <cell r="B103" t="str">
            <v>OrthoLite Eco LT-Hybrid GREY/17-1501TPX BUN(ECOLT-HYBRID) 0.11D 25+/-4 Asker C 1.1M 2M 160mm</v>
          </cell>
          <cell r="C103" t="str">
            <v>GREY</v>
          </cell>
          <cell r="E103">
            <v>0</v>
          </cell>
          <cell r="F103">
            <v>0</v>
          </cell>
          <cell r="G103">
            <v>0</v>
          </cell>
        </row>
        <row r="104">
          <cell r="A104" t="str">
            <v>BDB-000100</v>
          </cell>
          <cell r="B104" t="str">
            <v>OrthoLite Eco LT-Hybrid AIR BLUE/16-4134TPX BUN(ECOLT-HYBRID) 0.11D 25+/-4 Asker C 1.1M 2M 160mm</v>
          </cell>
          <cell r="C104" t="str">
            <v>AIR BLUE</v>
          </cell>
          <cell r="D104">
            <v>1</v>
          </cell>
          <cell r="E104">
            <v>0</v>
          </cell>
          <cell r="F104">
            <v>0</v>
          </cell>
          <cell r="G104">
            <v>1</v>
          </cell>
        </row>
        <row r="105">
          <cell r="A105" t="str">
            <v>BDB-000101</v>
          </cell>
          <cell r="B105" t="str">
            <v>OrthoLite Eco LT-Hybrid FOSSIL/17-0909TPX BUN(ECOLT-HYBRID) 0.13D 35+/-4 Asker C 1.1M 2M 160mm</v>
          </cell>
          <cell r="C105" t="str">
            <v>FOSSIL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BDB-000102</v>
          </cell>
          <cell r="B106" t="str">
            <v>OrthoLite Eco LT-Hybrid LIME GREEN/14-0452TPX BUN(ECOLT-HYBRID) 0.13D 35+/-4 Asker C 1.1M 2M 160mm</v>
          </cell>
          <cell r="C106" t="str">
            <v>LIME GREEN</v>
          </cell>
          <cell r="E106">
            <v>0</v>
          </cell>
          <cell r="F106">
            <v>0</v>
          </cell>
          <cell r="G106">
            <v>0</v>
          </cell>
        </row>
        <row r="107">
          <cell r="A107" t="str">
            <v>BDB-000103</v>
          </cell>
          <cell r="B107" t="str">
            <v>OrthoLite Eco LT-Hybrid SEEDPEARL/12-0703TPX BUN(ECOLT-HYBRID) 0.085D 25+/-4 Asker C 1.1M 2M 160mm</v>
          </cell>
          <cell r="C107" t="str">
            <v>SEEDPEARL</v>
          </cell>
          <cell r="E107">
            <v>0</v>
          </cell>
          <cell r="F107">
            <v>0</v>
          </cell>
          <cell r="G107">
            <v>0</v>
          </cell>
        </row>
        <row r="108">
          <cell r="A108" t="str">
            <v>BDB-000104</v>
          </cell>
          <cell r="B108" t="str">
            <v>OrthoLite Eco LT-Hybrid YELLOW/13-0858TPX BUN(ECOLT-HYBRID) 0.085D 25+/-4 Asker C 1.1M 2M 160mm</v>
          </cell>
          <cell r="C108" t="str">
            <v>YELLOW</v>
          </cell>
          <cell r="E108">
            <v>0</v>
          </cell>
          <cell r="F108">
            <v>0</v>
          </cell>
          <cell r="G108">
            <v>0</v>
          </cell>
        </row>
        <row r="109">
          <cell r="A109" t="str">
            <v>BDB-000105</v>
          </cell>
          <cell r="B109" t="str">
            <v>OrthoLite Eco LT-Hybrid AIR BLUE/16-4134TPX BUN(ECOLT-HYBRID) 0.13D 35+/-4 Asker C 1.1M 2M 160mm</v>
          </cell>
          <cell r="C109" t="str">
            <v>AIR BLUE</v>
          </cell>
          <cell r="E109">
            <v>0</v>
          </cell>
          <cell r="F109">
            <v>0</v>
          </cell>
          <cell r="G109">
            <v>0</v>
          </cell>
        </row>
        <row r="110">
          <cell r="A110" t="str">
            <v>BDB-000106</v>
          </cell>
          <cell r="B110" t="str">
            <v>OrthoLite Eco LT-Hybrid GREY/17-1501TPX BUN(ECOLT-HYBRID) 0.13D 35+/-4 Asker C 1.1M 2M 160mm</v>
          </cell>
          <cell r="C110" t="str">
            <v>GREY</v>
          </cell>
          <cell r="E110">
            <v>0</v>
          </cell>
          <cell r="F110">
            <v>0</v>
          </cell>
          <cell r="G110">
            <v>0</v>
          </cell>
        </row>
        <row r="111">
          <cell r="A111" t="str">
            <v>BDB-000107</v>
          </cell>
          <cell r="B111" t="str">
            <v>OrthoLite Eco LT-Hybrid SEEDPEARL/12-0703TPX BUN(ECOLT-HYBRID) 0.11D 25+/-4 Asker C 1.1M 1.47M 160mm</v>
          </cell>
          <cell r="C111" t="str">
            <v>SEEDPEARL</v>
          </cell>
          <cell r="D111">
            <v>2</v>
          </cell>
          <cell r="E111">
            <v>1</v>
          </cell>
          <cell r="F111">
            <v>1</v>
          </cell>
          <cell r="G111">
            <v>2</v>
          </cell>
        </row>
        <row r="112">
          <cell r="A112" t="str">
            <v>BDB-000108</v>
          </cell>
          <cell r="B112" t="str">
            <v>OrthoLite Eco LT-Hybrid SEEDPEARL/12-0703TPX BUN(ECOLT-HYBRID) 0.085D 15+/-4 Asker C 1.1M 1.47M 160mm</v>
          </cell>
          <cell r="C112" t="str">
            <v>SEEDPEARL</v>
          </cell>
          <cell r="E112">
            <v>0</v>
          </cell>
          <cell r="F112">
            <v>0</v>
          </cell>
          <cell r="G112">
            <v>0</v>
          </cell>
        </row>
        <row r="113">
          <cell r="A113" t="str">
            <v>BDB-000109</v>
          </cell>
          <cell r="B113" t="str">
            <v>OrthoLite Eco LT-Hybrid SEEDPEARL/12-0703TPX BUN(ECOLT-HYBRID) 0.13D 25+/-4 Asker C 1.1M 1.47M 160mm</v>
          </cell>
          <cell r="C113" t="str">
            <v>SEEDPEARL</v>
          </cell>
          <cell r="E113">
            <v>0</v>
          </cell>
          <cell r="F113">
            <v>0</v>
          </cell>
          <cell r="G113">
            <v>0</v>
          </cell>
        </row>
        <row r="114">
          <cell r="A114" t="str">
            <v>BDB-000110</v>
          </cell>
          <cell r="B114" t="str">
            <v>OrthoLite Eco LT-Hybrid SEEDPEARL/12-0703TPX BUN(ECOLT-HYBRID) 0.085D 15+/-4 Asker C 1.1M 2M 160mm</v>
          </cell>
          <cell r="C114" t="str">
            <v>SEEDPEARL</v>
          </cell>
          <cell r="E114">
            <v>0</v>
          </cell>
          <cell r="F114">
            <v>0</v>
          </cell>
          <cell r="G114">
            <v>0</v>
          </cell>
        </row>
        <row r="115">
          <cell r="A115" t="str">
            <v>BDB-000111</v>
          </cell>
          <cell r="B115" t="str">
            <v>OrthoLite Eco LT-Hybrid GREEN/16-5932TPX BUN(ECOLT-HYBRID) 0.11D 15+/-4 Asker C 1.1M 2M 160mm</v>
          </cell>
          <cell r="C115" t="str">
            <v>GREEN</v>
          </cell>
          <cell r="E115">
            <v>0</v>
          </cell>
          <cell r="F115">
            <v>0</v>
          </cell>
          <cell r="G115">
            <v>0</v>
          </cell>
        </row>
        <row r="116">
          <cell r="A116" t="str">
            <v>BDB-000112</v>
          </cell>
          <cell r="B116" t="str">
            <v>OrthoLite Regular-Hybrid SEEDPEARL/12-0703TPX BUN(REG-HYBRID) 0.12D 25+/-4 Asker C 1.1M 2M 160mm</v>
          </cell>
          <cell r="C116" t="str">
            <v>SEEDPEARL</v>
          </cell>
          <cell r="E116">
            <v>0</v>
          </cell>
          <cell r="F116">
            <v>0</v>
          </cell>
          <cell r="G116">
            <v>0</v>
          </cell>
        </row>
        <row r="117">
          <cell r="A117" t="str">
            <v>BDB-000113</v>
          </cell>
          <cell r="B117" t="str">
            <v>OrthoLite Regular-Hybrid SEEDPEARL/12-0703TPX BUN(REG-HYBRID) 0.11D 25+/-4 Asker C 1.1M 2M 160mm</v>
          </cell>
          <cell r="C117" t="str">
            <v>SEEDPEARL</v>
          </cell>
          <cell r="E117">
            <v>133</v>
          </cell>
          <cell r="F117">
            <v>133</v>
          </cell>
          <cell r="G117">
            <v>0</v>
          </cell>
        </row>
        <row r="118">
          <cell r="A118" t="str">
            <v>BDB-000114</v>
          </cell>
          <cell r="B118" t="str">
            <v>OrthoLite Regular-Hybrid SEEDPEARL/12-0703TPX BUN(REG-HYBRID) 0.11D 25+/-4 Asker C 1.1M 1.7M 160mm</v>
          </cell>
          <cell r="C118" t="str">
            <v>SEEDPEARL</v>
          </cell>
          <cell r="E118">
            <v>0</v>
          </cell>
          <cell r="F118">
            <v>0</v>
          </cell>
          <cell r="G118">
            <v>0</v>
          </cell>
        </row>
        <row r="119">
          <cell r="A119" t="str">
            <v>BDB-000115</v>
          </cell>
          <cell r="B119" t="str">
            <v>OrthoLite Regular-Hybrid YELLOW/13-0858TPX BUN(REG-HYBRID) 0.11D 25+/-4 Asker C 1.1M 1.7M 160mm</v>
          </cell>
          <cell r="C119" t="str">
            <v>YELLOW</v>
          </cell>
          <cell r="E119">
            <v>0</v>
          </cell>
          <cell r="F119">
            <v>0</v>
          </cell>
          <cell r="G119">
            <v>0</v>
          </cell>
        </row>
        <row r="120">
          <cell r="A120" t="str">
            <v>BDB-000116</v>
          </cell>
          <cell r="B120" t="str">
            <v>OrthoLite Regular-Hybrid SEEDPEARL/12-0703TPX BUN(REG-HYBRID) 0.13D 25+/-4 Asker C 1.1M 2M 160mm</v>
          </cell>
          <cell r="C120" t="str">
            <v>SEEDPEARL</v>
          </cell>
          <cell r="E120">
            <v>0</v>
          </cell>
          <cell r="F120">
            <v>0</v>
          </cell>
          <cell r="G120">
            <v>0</v>
          </cell>
        </row>
        <row r="121">
          <cell r="A121" t="str">
            <v>BDB-000117</v>
          </cell>
          <cell r="B121" t="str">
            <v>OrthoLite X-35-Hybrid SEEDPEARL/12-0703TPX BUN(X35-HYBRID) 0.145D 25+/-4 Asker C 1.1M 2M 160mm</v>
          </cell>
          <cell r="C121" t="str">
            <v>SEEDPEARL</v>
          </cell>
          <cell r="D121">
            <v>13</v>
          </cell>
          <cell r="E121">
            <v>18</v>
          </cell>
          <cell r="F121">
            <v>4</v>
          </cell>
          <cell r="G121">
            <v>27</v>
          </cell>
        </row>
        <row r="122">
          <cell r="A122" t="str">
            <v>BDB-000118</v>
          </cell>
          <cell r="B122" t="str">
            <v>OrthoLite X-40-Hybrid SEEDPEARL/12-0703TPX BUN(X40-HYBRID) 0.16D 25+/-4 Asker C 1.1M 1.7M 160mm</v>
          </cell>
          <cell r="C122" t="str">
            <v>SEEDPEARL</v>
          </cell>
          <cell r="D122">
            <v>13</v>
          </cell>
          <cell r="E122">
            <v>0</v>
          </cell>
          <cell r="F122">
            <v>0</v>
          </cell>
          <cell r="G122">
            <v>13</v>
          </cell>
        </row>
        <row r="123">
          <cell r="A123" t="str">
            <v>BDB-000119</v>
          </cell>
          <cell r="B123" t="str">
            <v>OrthoLite Ultra-Hybrid YELLOW/13-0858TPX BUN(ULITE-HYBRID) 0.085D 25+/-4 Asker C 1.1M 2M 160mm</v>
          </cell>
          <cell r="C123" t="str">
            <v>YELLOW</v>
          </cell>
          <cell r="E123">
            <v>0</v>
          </cell>
          <cell r="F123">
            <v>0</v>
          </cell>
          <cell r="G123">
            <v>0</v>
          </cell>
        </row>
        <row r="124">
          <cell r="A124" t="str">
            <v>BDB-000120</v>
          </cell>
          <cell r="B124" t="str">
            <v>OrthoLite Ultra-Hybrid SEEDPEARL/12-0703TPX BUN(ULITE-HYBRID) 0.085D 25+/-4 Asker C 1.1M 2M 160mm</v>
          </cell>
          <cell r="C124" t="str">
            <v>SEEDPEARL</v>
          </cell>
          <cell r="E124">
            <v>0</v>
          </cell>
          <cell r="F124">
            <v>0</v>
          </cell>
          <cell r="G124">
            <v>0</v>
          </cell>
        </row>
        <row r="125">
          <cell r="A125" t="str">
            <v>BDB-000121</v>
          </cell>
          <cell r="B125" t="str">
            <v>OrthoLite Ultra-Hybrid LIME GREEN/14-0452TPX BUN(ULITE-HYBRID) 0.085D 25+/-4 Asker C 1.1M 2M 160mm</v>
          </cell>
          <cell r="C125" t="str">
            <v>LIME GREEN</v>
          </cell>
          <cell r="E125">
            <v>0</v>
          </cell>
          <cell r="F125">
            <v>0</v>
          </cell>
          <cell r="G125">
            <v>0</v>
          </cell>
        </row>
        <row r="126">
          <cell r="A126" t="str">
            <v>BDB-000122</v>
          </cell>
          <cell r="B126" t="str">
            <v>OrthoLite Ultra-Hybrid AIR BLUE/16-4134TPX BUN(ULITE-HYBRID) 0.085D 25+/-4 Asker C 1.1M 2M 160mm</v>
          </cell>
          <cell r="C126" t="str">
            <v>AIR BLUE</v>
          </cell>
          <cell r="E126">
            <v>0</v>
          </cell>
          <cell r="F126">
            <v>0</v>
          </cell>
          <cell r="G126">
            <v>0</v>
          </cell>
        </row>
        <row r="127">
          <cell r="A127" t="str">
            <v>BDB-000123</v>
          </cell>
          <cell r="B127" t="str">
            <v>OrthoLite Ultra-Hybrid SEEDPEARL/12-0703TPX(KDV) BUN(ULITE-HYBRID) 0.085D 25+/-4 Asker C 1.1M 2M 160mm</v>
          </cell>
          <cell r="C127" t="str">
            <v>SEEDPEARL</v>
          </cell>
          <cell r="E127">
            <v>823</v>
          </cell>
          <cell r="F127">
            <v>772</v>
          </cell>
          <cell r="G127">
            <v>51</v>
          </cell>
        </row>
        <row r="128">
          <cell r="A128" t="str">
            <v>BDB-000124</v>
          </cell>
          <cell r="B128" t="str">
            <v xml:space="preserve">OrthoLite Ultra-Hybrid SEEDPEARL/12-0703TPX(KDV) BUN(ULITE-HYBRID) 0.085D 25+/-4 Asker C 1.1M 1.47M </v>
          </cell>
          <cell r="C128" t="str">
            <v>SEEDPEARL</v>
          </cell>
          <cell r="E128">
            <v>0</v>
          </cell>
          <cell r="F128">
            <v>0</v>
          </cell>
          <cell r="G128">
            <v>0</v>
          </cell>
        </row>
        <row r="129">
          <cell r="A129" t="str">
            <v>BDB-000125</v>
          </cell>
          <cell r="B129" t="str">
            <v>OrthoLite Regular-Nike AIR BLUE/16-4134TPX BUN(REG-NIKE) 0.11D 25+/-4 Asker C 1.1M 2M 160mm</v>
          </cell>
          <cell r="C129" t="str">
            <v>AIR BLUE</v>
          </cell>
          <cell r="E129">
            <v>5</v>
          </cell>
          <cell r="F129">
            <v>0</v>
          </cell>
          <cell r="G129">
            <v>5</v>
          </cell>
        </row>
        <row r="130">
          <cell r="A130" t="str">
            <v>BDB-000126</v>
          </cell>
          <cell r="B130" t="str">
            <v>OrthoLite Regular-Nike RED/19-1764TPX BUN(REG-NIKE) 0.11D 25+/-4 Asker C 1.1M 2M 160mm</v>
          </cell>
          <cell r="C130" t="str">
            <v>RED</v>
          </cell>
          <cell r="E130">
            <v>0</v>
          </cell>
          <cell r="F130">
            <v>0</v>
          </cell>
          <cell r="G130">
            <v>0</v>
          </cell>
        </row>
        <row r="131">
          <cell r="A131" t="str">
            <v>BDB-000127</v>
          </cell>
          <cell r="B131" t="str">
            <v>OrthoLite Regular-Nike YELLOW/13-0858TPX BUN(REG-NIKE) 0.11D 15+/-4 Asker C 1.1M 2M 160mm</v>
          </cell>
          <cell r="C131" t="str">
            <v>YELLOW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BDB-000128</v>
          </cell>
          <cell r="B132" t="str">
            <v>OrthoLite Regular-Nike LIME GREEN/14-0452TPX BUN(REG-NIKE) 0.11D 25+/-4 Asker C 1.1M 2M 160mm</v>
          </cell>
          <cell r="C132" t="str">
            <v>LIME GREEN</v>
          </cell>
          <cell r="E132">
            <v>0</v>
          </cell>
          <cell r="F132">
            <v>0</v>
          </cell>
          <cell r="G132">
            <v>0</v>
          </cell>
        </row>
        <row r="133">
          <cell r="A133" t="str">
            <v>BDB-000129</v>
          </cell>
          <cell r="B133" t="str">
            <v>OrthoLite Regular-Nike AIR BLUE/16-4134TPX BUN(REG-NIKE) 0.11D 25+/-4 Asker C 1.1M 1.7M 160mm</v>
          </cell>
          <cell r="C133" t="str">
            <v>AIR BLUE</v>
          </cell>
          <cell r="E133">
            <v>88</v>
          </cell>
          <cell r="F133">
            <v>76</v>
          </cell>
          <cell r="G133">
            <v>12</v>
          </cell>
        </row>
        <row r="134">
          <cell r="A134" t="str">
            <v>BDB-000130</v>
          </cell>
          <cell r="B134" t="str">
            <v>OrthoLite Regular-Nike AIR BLUE/16-4134TPX BUN(REG-NIKE) 0.13D 35+/-4 Asker C 1.1M 2M 160mm</v>
          </cell>
          <cell r="C134" t="str">
            <v>AIR BLUE</v>
          </cell>
          <cell r="D134">
            <v>3</v>
          </cell>
          <cell r="E134">
            <v>0</v>
          </cell>
          <cell r="F134">
            <v>0</v>
          </cell>
          <cell r="G134">
            <v>3</v>
          </cell>
        </row>
        <row r="135">
          <cell r="A135" t="str">
            <v>BDB-000131</v>
          </cell>
          <cell r="B135" t="str">
            <v>OrthoLite Regular-Nike AIR BLUE/16-4134TPX BUN(REG-NIKE) 0.11D 15+/-4 Asker C 1.1M 2M 160mm</v>
          </cell>
          <cell r="C135" t="str">
            <v>AIR BLUE</v>
          </cell>
          <cell r="E135">
            <v>2</v>
          </cell>
          <cell r="F135">
            <v>2</v>
          </cell>
          <cell r="G135">
            <v>0</v>
          </cell>
        </row>
        <row r="136">
          <cell r="A136" t="str">
            <v>BDB-000132</v>
          </cell>
          <cell r="B136" t="str">
            <v>OrthoLite Regular-Nike GREY/17-1501TPX BUN(REG-NIKE) 0.11D 25+/-4 Asker C 1.1M 2M 160mm</v>
          </cell>
          <cell r="C136" t="str">
            <v>GREY</v>
          </cell>
          <cell r="E136">
            <v>0</v>
          </cell>
          <cell r="F136">
            <v>0</v>
          </cell>
          <cell r="G136">
            <v>0</v>
          </cell>
        </row>
        <row r="137">
          <cell r="A137" t="str">
            <v>BDB-000133</v>
          </cell>
          <cell r="B137" t="str">
            <v>OrthoLite Regular-Nike AIR BLUE/16-4134TPX BUN(REG-NIKE) 0.13D 35+/-4 Asker C 1.1M 1.7M 160mm</v>
          </cell>
          <cell r="C137" t="str">
            <v>AIR BLUE</v>
          </cell>
          <cell r="E137">
            <v>0</v>
          </cell>
          <cell r="F137">
            <v>0</v>
          </cell>
          <cell r="G137">
            <v>0</v>
          </cell>
        </row>
        <row r="138">
          <cell r="A138" t="str">
            <v>BDB-000134</v>
          </cell>
          <cell r="B138" t="str">
            <v>OrthoLite Regular-Nike YELLOW/13-0858TPX BUN(REG-NIKE) 0.11D 25+/-4 Asker C 1.1M 1.7M 160mm</v>
          </cell>
          <cell r="C138" t="str">
            <v>YELLOW</v>
          </cell>
          <cell r="E138">
            <v>0</v>
          </cell>
          <cell r="F138">
            <v>0</v>
          </cell>
          <cell r="G138">
            <v>0</v>
          </cell>
        </row>
        <row r="139">
          <cell r="A139" t="str">
            <v>BDB-000135</v>
          </cell>
          <cell r="B139" t="str">
            <v>OrthoLite Regular-Nike AIR BLUE/16-4134TPX BUN(REG-NIKE) 0.13D 35+/-4 Asker C 1.1M 1.47M 160mm</v>
          </cell>
          <cell r="C139" t="str">
            <v>AIR BLUE</v>
          </cell>
          <cell r="E139">
            <v>0</v>
          </cell>
          <cell r="F139">
            <v>0</v>
          </cell>
          <cell r="G139">
            <v>0</v>
          </cell>
        </row>
        <row r="140">
          <cell r="A140" t="str">
            <v>BDB-000136</v>
          </cell>
          <cell r="B140" t="str">
            <v>OrthoLite Regular-Nike YELLOW/13-0858TPX BUN(REG-NIKE) 0.13D 35+/-4 Asker C 1.1M 2M 160mm</v>
          </cell>
          <cell r="C140" t="str">
            <v>YELLOW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BDB-000137</v>
          </cell>
          <cell r="B141" t="str">
            <v>OrthoLite Regular-Nike AIR BLUE/16-4134TPX BUN(REG-NIKE) 0.11D 25+/-4 Asker C 1.1M 1.47M 160mm</v>
          </cell>
          <cell r="C141" t="str">
            <v>AIR BLUE</v>
          </cell>
          <cell r="E141">
            <v>0</v>
          </cell>
          <cell r="F141">
            <v>0</v>
          </cell>
          <cell r="G141">
            <v>0</v>
          </cell>
        </row>
        <row r="142">
          <cell r="A142" t="str">
            <v>BDB-000138</v>
          </cell>
          <cell r="B142" t="str">
            <v>OrthoLite Regular-Nike RED/19-1764TPX BUN(REG-NIKE) 0.11D 25+/-4 Asker C 1.1M 1.47M 160mm</v>
          </cell>
          <cell r="C142" t="str">
            <v>RED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BDB-000139</v>
          </cell>
          <cell r="B143" t="str">
            <v>OrthoLite Regular-Nike YELLOW/13-0858TPX BUN(REG-NIKE) 0.13D 35+/-4 Asker C 1.1M 1.7M 160mm</v>
          </cell>
          <cell r="C143" t="str">
            <v>YELLOW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BDB-000140</v>
          </cell>
          <cell r="B144" t="str">
            <v>OrthoLite Regular-Nike GREEN/16-5932TPX BUN(REG-NIKE) 0.11D 25+/-4 Asker C 1.1M 2M 160mm</v>
          </cell>
          <cell r="C144" t="str">
            <v>GREEN</v>
          </cell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BDB-000141</v>
          </cell>
          <cell r="B145" t="str">
            <v>OrthoLite Regular-Nike NEUTRAL GRAY/17-4402TPX BUN(REG-NIKE) 0.11D 25+/-4 Asker C 1.1M 2M 160mm</v>
          </cell>
          <cell r="C145" t="str">
            <v>NEUTRAL GRAY</v>
          </cell>
          <cell r="E145">
            <v>0</v>
          </cell>
          <cell r="F145">
            <v>0</v>
          </cell>
          <cell r="G145">
            <v>0</v>
          </cell>
        </row>
        <row r="146">
          <cell r="A146" t="str">
            <v>BDB-000142</v>
          </cell>
          <cell r="B146" t="str">
            <v>OrthoLite Regular-Nike FOSSIL/17-0909TPX BUN(REG-NIKE) 0.11D 25+/-4 Asker C 1.1M 2M 160mm</v>
          </cell>
          <cell r="C146" t="str">
            <v>FOSSIL</v>
          </cell>
          <cell r="E146">
            <v>0</v>
          </cell>
          <cell r="F146">
            <v>0</v>
          </cell>
          <cell r="G146">
            <v>0</v>
          </cell>
        </row>
        <row r="147">
          <cell r="A147" t="str">
            <v>BDB-000143</v>
          </cell>
          <cell r="B147" t="str">
            <v>OrthoLite Regular-Nike SEEDPEARL/12-0703TPX BUN(REG-NIKE) 0.11D 25+/-4 Asker C 1.1M 1.7M 160mm</v>
          </cell>
          <cell r="C147" t="str">
            <v>SEEDPEARL</v>
          </cell>
          <cell r="E147">
            <v>0</v>
          </cell>
          <cell r="F147">
            <v>0</v>
          </cell>
          <cell r="G147">
            <v>0</v>
          </cell>
        </row>
        <row r="148">
          <cell r="A148" t="str">
            <v>BDB-000144</v>
          </cell>
          <cell r="B148" t="str">
            <v>OrthoLite Regular-Nike GREEN/16-5932TPX BUN(REG-NIKE) 0.13D 35+/-4 Asker C 1.1M 2M 160mm</v>
          </cell>
          <cell r="C148" t="str">
            <v>GREEN</v>
          </cell>
          <cell r="E148">
            <v>0</v>
          </cell>
          <cell r="F148">
            <v>0</v>
          </cell>
          <cell r="G148">
            <v>0</v>
          </cell>
        </row>
        <row r="149">
          <cell r="A149" t="str">
            <v>BDB-000145</v>
          </cell>
          <cell r="B149" t="str">
            <v>OrthoLite Regular-Hybrid-Nike YELLOW/13-0858TPX BUN(REG-HYBRID-NIKE) 0.11D 25+/-4 Asker C 1.1M 1.7M 160mm</v>
          </cell>
          <cell r="C149" t="str">
            <v>YELLOW</v>
          </cell>
          <cell r="E149">
            <v>0</v>
          </cell>
          <cell r="F149">
            <v>0</v>
          </cell>
          <cell r="G149">
            <v>0</v>
          </cell>
        </row>
        <row r="150">
          <cell r="A150" t="str">
            <v>BDB-000146</v>
          </cell>
          <cell r="B150" t="str">
            <v>OrthoLite Regular-Hybrid-Nike AIR BLUE/16-4134TPX BUN(REG-HYBRID-NIKE) 0.11D 25+/-4 Asker C 1.1M 1.7M 160mm</v>
          </cell>
          <cell r="C150" t="str">
            <v>AIR BLUE</v>
          </cell>
          <cell r="E150">
            <v>0</v>
          </cell>
          <cell r="F150">
            <v>0</v>
          </cell>
          <cell r="G150">
            <v>0</v>
          </cell>
        </row>
        <row r="151">
          <cell r="A151" t="str">
            <v>BDB-000147</v>
          </cell>
          <cell r="B151" t="str">
            <v>OrthoLite Regular-Hybrid-Nike YELLOW/13-0858TPX BUN(REG-HYBRID-NIKE) 0.11D 25+/-4 Asker C 1.1M 2M 160mm</v>
          </cell>
          <cell r="C151" t="str">
            <v>YELLOW</v>
          </cell>
          <cell r="E151">
            <v>0</v>
          </cell>
          <cell r="F151">
            <v>0</v>
          </cell>
          <cell r="G151">
            <v>0</v>
          </cell>
        </row>
        <row r="152">
          <cell r="A152" t="str">
            <v>BDB-000148</v>
          </cell>
          <cell r="B152" t="str">
            <v>OrthoLite Regular-Hybrid-Nike LIME GREEN/14-0452TPX BUN(REG-HYBRID-NIKE) 0.11D 25+/-4 Asker C 1.1M 2M 160mm</v>
          </cell>
          <cell r="C152" t="str">
            <v>LIME GREEN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BDB-000149</v>
          </cell>
          <cell r="B153" t="str">
            <v>OrthoLite Regular-Hybrid-Nike SEEDPEARL/12-0703TPX BUN(REG-HYBRID-NIKE) 0.11D 25+/-4 Asker C 1.1M 2M 160mm</v>
          </cell>
          <cell r="C153" t="str">
            <v>SEEDPEARL</v>
          </cell>
          <cell r="D153">
            <v>2</v>
          </cell>
          <cell r="E153">
            <v>0</v>
          </cell>
          <cell r="F153">
            <v>0</v>
          </cell>
          <cell r="G153">
            <v>2</v>
          </cell>
        </row>
        <row r="154">
          <cell r="A154" t="str">
            <v>BDB-000150</v>
          </cell>
          <cell r="B154" t="str">
            <v>OrthoLite Regular-Hybrid-Nike SEEDPEARL/12-0703TPX BUN(REG-HYBRID-NIKE) 0.11D 25+/-4 Asker C 1.1M 1.47M 160mm</v>
          </cell>
          <cell r="C154" t="str">
            <v>SEEDPEARL</v>
          </cell>
          <cell r="E154">
            <v>0</v>
          </cell>
          <cell r="F154">
            <v>0</v>
          </cell>
          <cell r="G154">
            <v>0</v>
          </cell>
        </row>
        <row r="155">
          <cell r="A155" t="str">
            <v>BDB-000151</v>
          </cell>
          <cell r="B155" t="str">
            <v>OrthoLite Regular-Hybrid-Nike YELLOW/13-0858TPX BUN(REG-HYBRID-NIKE) 0.11D 25+/-4 Asker C 1.1M 1.47M 160mm</v>
          </cell>
          <cell r="C155" t="str">
            <v>YELLOW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BDB-000152</v>
          </cell>
          <cell r="B156" t="str">
            <v>OrthoLite Regular-Hybrid-Nike SEEDPEARL/12-0703TPX BUN(REG-HYBRID-NIKE) 0.11D 25+/-4 Asker C 1.1M 1.7M 160mm</v>
          </cell>
          <cell r="C156" t="str">
            <v>SEEDPEARL</v>
          </cell>
          <cell r="E156">
            <v>0</v>
          </cell>
          <cell r="F156">
            <v>0</v>
          </cell>
          <cell r="G156">
            <v>0</v>
          </cell>
        </row>
        <row r="157">
          <cell r="A157" t="str">
            <v>BDB-000153</v>
          </cell>
          <cell r="B157" t="str">
            <v>OrthoLite X-35-Nike AMAZON/18-6024TPX BUN(X35-NIKE) 0.145D 25+/-4 Asker C 1.1M 2M 160mm</v>
          </cell>
          <cell r="C157" t="str">
            <v>AMAZON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BDB-000154</v>
          </cell>
          <cell r="B158" t="str">
            <v>OrthoLite X-40-Nike TRUE BLUE/19-4057TPX_x000D_ BUN(X40-NIKE) 0.16D 35+/-4 Asker C 1.1M 1.7M 160mm</v>
          </cell>
          <cell r="C158" t="str">
            <v>TRUE BLUE</v>
          </cell>
          <cell r="E158">
            <v>1</v>
          </cell>
          <cell r="F158">
            <v>1</v>
          </cell>
          <cell r="G158">
            <v>0</v>
          </cell>
        </row>
        <row r="159">
          <cell r="A159" t="str">
            <v>BDB-000155</v>
          </cell>
          <cell r="B159" t="str">
            <v>OrthoLite X-40-Nike RED/19-1764TPX BUN(X40-NIKE) 0.16D 35+/-4 Asker C 1.1M 1.7M 160mm</v>
          </cell>
          <cell r="C159" t="str">
            <v>RED</v>
          </cell>
          <cell r="E159">
            <v>0</v>
          </cell>
          <cell r="F159">
            <v>0</v>
          </cell>
          <cell r="G159">
            <v>0</v>
          </cell>
        </row>
        <row r="160">
          <cell r="A160" t="str">
            <v>BDB-000156</v>
          </cell>
          <cell r="B160" t="str">
            <v>OrthoLite X-35-Hybrid-Nike AMAZON/18-6024TPX BUN(X35-HYBRID-NIKE) 0.145D 25+/-4 Asker C 1.1M 2M 160mm</v>
          </cell>
          <cell r="C160" t="str">
            <v>AMAZON</v>
          </cell>
          <cell r="E160">
            <v>0</v>
          </cell>
          <cell r="F160">
            <v>0</v>
          </cell>
          <cell r="G160">
            <v>0</v>
          </cell>
        </row>
        <row r="161">
          <cell r="A161" t="str">
            <v>BDB-000157</v>
          </cell>
          <cell r="B161" t="str">
            <v>OrthoLite X-35-Hybrid-Nike SEEDPEARL/12-0703TPX BUN(X35-HYBRID-NIKE) 0.145D 25+/-4 Asker C 1.1M 2M 160mm</v>
          </cell>
          <cell r="C161" t="str">
            <v>SEEDPEARL</v>
          </cell>
          <cell r="D161">
            <v>66</v>
          </cell>
          <cell r="E161">
            <v>0</v>
          </cell>
          <cell r="F161">
            <v>61</v>
          </cell>
          <cell r="G161">
            <v>5</v>
          </cell>
        </row>
        <row r="162">
          <cell r="A162" t="str">
            <v>BDB-000158</v>
          </cell>
          <cell r="B162" t="str">
            <v>OrthoLite Ultra-Nike YELLOW/13-0858TPX BUN(ULITE-NIKE) 0.085D 15+/-4 Asker C 1.1M 2M 160mm</v>
          </cell>
          <cell r="C162" t="str">
            <v>YELLOW</v>
          </cell>
          <cell r="E162">
            <v>0</v>
          </cell>
          <cell r="F162">
            <v>0</v>
          </cell>
          <cell r="G162">
            <v>0</v>
          </cell>
        </row>
        <row r="163">
          <cell r="A163" t="str">
            <v>BDB-000159</v>
          </cell>
          <cell r="B163" t="str">
            <v>OrthoLite Ultra-Nike GREEN/16-5932TPX BUN(ULITE-NIKE) 0.085D 25+/-4 Asker C 1.1M 2M 160mm</v>
          </cell>
          <cell r="C163" t="str">
            <v>GREEN</v>
          </cell>
          <cell r="E163">
            <v>0</v>
          </cell>
          <cell r="F163">
            <v>0</v>
          </cell>
          <cell r="G163">
            <v>0</v>
          </cell>
        </row>
        <row r="164">
          <cell r="A164" t="str">
            <v>BDB-000160</v>
          </cell>
          <cell r="B164" t="str">
            <v>OrthoLite Ultra-Nike LIME GREEN/14-0452TPX BUN(ULITE-NIKE) 0.085D 25+/-4 Asker C 1.1M 2M 160mm</v>
          </cell>
          <cell r="C164" t="str">
            <v>LIME GREEN</v>
          </cell>
          <cell r="E164">
            <v>14</v>
          </cell>
          <cell r="F164">
            <v>15</v>
          </cell>
          <cell r="G164">
            <v>-1</v>
          </cell>
        </row>
        <row r="165">
          <cell r="A165" t="str">
            <v>BDB-000161</v>
          </cell>
          <cell r="B165" t="str">
            <v>OrthoLite Ultra-Nike FOSSIL/17-0909TPX BUN(ULITE-NIKE) 0.085D 25+/-4 Asker C 1.1M 2M 160mm</v>
          </cell>
          <cell r="C165" t="str">
            <v>FOSSIL</v>
          </cell>
          <cell r="D165">
            <v>5</v>
          </cell>
          <cell r="E165">
            <v>58</v>
          </cell>
          <cell r="F165">
            <v>31</v>
          </cell>
          <cell r="G165">
            <v>32</v>
          </cell>
        </row>
        <row r="166">
          <cell r="A166" t="str">
            <v>BDB-000162</v>
          </cell>
          <cell r="B166" t="str">
            <v>OrthoLite Ultra-Nike SEEDPEARL/12-0703TPX BUN(ULITE-NIKE) 0.085D 25+/-4 Asker C 1.1M 2M 160mm</v>
          </cell>
          <cell r="C166" t="str">
            <v>SEEDPEARL</v>
          </cell>
          <cell r="D166">
            <v>2</v>
          </cell>
          <cell r="E166">
            <v>45</v>
          </cell>
          <cell r="F166">
            <v>45</v>
          </cell>
          <cell r="G166">
            <v>2</v>
          </cell>
        </row>
        <row r="167">
          <cell r="A167" t="str">
            <v>BDB-000163</v>
          </cell>
          <cell r="B167" t="str">
            <v>OrthoLite Ultra-Nike YELLOW/13-0858TPX BUN(ULITE-NIKE) 0.085D 25+/-4 Asker C 1.1M 2M 160mm</v>
          </cell>
          <cell r="C167" t="str">
            <v>YELLOW</v>
          </cell>
          <cell r="D167">
            <v>7</v>
          </cell>
          <cell r="E167">
            <v>0</v>
          </cell>
          <cell r="F167">
            <v>4</v>
          </cell>
          <cell r="G167">
            <v>3</v>
          </cell>
        </row>
        <row r="168">
          <cell r="A168" t="str">
            <v>BDB-000164</v>
          </cell>
          <cell r="B168" t="str">
            <v>OrthoLite Ultra-Nike GREY/17-1501TPX BUN(ULITE-NIKE) 0.085D 25+/-4 Asker C 1.1M 2M 160mm</v>
          </cell>
          <cell r="C168" t="str">
            <v>GREY</v>
          </cell>
          <cell r="E168">
            <v>15</v>
          </cell>
          <cell r="F168">
            <v>15</v>
          </cell>
          <cell r="G168">
            <v>0</v>
          </cell>
        </row>
        <row r="169">
          <cell r="A169" t="str">
            <v>BDB-000165</v>
          </cell>
          <cell r="B169" t="str">
            <v>OrthoLite Ultra-Nike LIME GREEN/14-0452TPX BUN(ULITE-NIKE) 0.085D 15+/-4 Asker C 1.1M 2M 160mm</v>
          </cell>
          <cell r="C169" t="str">
            <v>LIME GREEN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BDB-000166</v>
          </cell>
          <cell r="B170" t="str">
            <v>OrthoLite Ultra-Nike LIME GREEN/14-0452TPX BUN(ULITE-NIKE) 0.085D 15+/-4 Asker C 1.1M 1.7M 160mm</v>
          </cell>
          <cell r="C170" t="str">
            <v>LIME GREEN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BDB-000167</v>
          </cell>
          <cell r="B171" t="str">
            <v>OrthoLite Ultra-Nike LIME GREEN/14-0452TPX BUN(ULITE-NIKE) 0.085D 25+/-4 Asker C 1.1M 1.7M 160mm</v>
          </cell>
          <cell r="C171" t="str">
            <v>LIME GREEN</v>
          </cell>
          <cell r="E171">
            <v>0</v>
          </cell>
          <cell r="F171">
            <v>0</v>
          </cell>
          <cell r="G171">
            <v>0</v>
          </cell>
        </row>
        <row r="172">
          <cell r="A172" t="str">
            <v>BDB-000168</v>
          </cell>
          <cell r="B172" t="str">
            <v>OrthoLite Ultra-Nike AIR BLUE/16-4134TPX BUN(ULITE-NIKE) 0.085D 25+/-4 Asker C 1.1M 2M 160mm</v>
          </cell>
          <cell r="C172" t="str">
            <v>AIR BLUE</v>
          </cell>
          <cell r="E172">
            <v>0</v>
          </cell>
          <cell r="F172">
            <v>0</v>
          </cell>
          <cell r="G172">
            <v>0</v>
          </cell>
        </row>
        <row r="173">
          <cell r="A173" t="str">
            <v>BDB-000169</v>
          </cell>
          <cell r="B173" t="str">
            <v>OrthoLite Ultra-Hybrid-Nike NEUTRAL GRAY/17-4402TPX BUN(ULITE-HYBRID-NIKE) 0.085D 15+/-4 Asker C 1.1M 2M 160mm</v>
          </cell>
          <cell r="C173" t="str">
            <v>NEUTRAL GRAY</v>
          </cell>
          <cell r="E173">
            <v>0</v>
          </cell>
          <cell r="F173">
            <v>0</v>
          </cell>
          <cell r="G173">
            <v>0</v>
          </cell>
        </row>
        <row r="174">
          <cell r="A174" t="str">
            <v>BDB-000170</v>
          </cell>
          <cell r="B174" t="str">
            <v>OrthoLite Ultra-Hybrid-Nike RED/19-1764TPX BUN(ULITE-HYBRID-NIKE) 0.085D 15+/-4 Asker C 1.1M 2M 160mm</v>
          </cell>
          <cell r="C174" t="str">
            <v>RED</v>
          </cell>
          <cell r="E174">
            <v>0</v>
          </cell>
          <cell r="F174">
            <v>0</v>
          </cell>
          <cell r="G174">
            <v>0</v>
          </cell>
        </row>
        <row r="175">
          <cell r="A175" t="str">
            <v>BDB-000171</v>
          </cell>
          <cell r="B175" t="str">
            <v>OrthoLite Ultra-Hybrid-Nike GREY/17-1501TPX BUN(ULITE-HYBRID-NIKE) 0.085D 15+/-4 Asker C 1.1M 2M 160mm</v>
          </cell>
          <cell r="C175" t="str">
            <v>GREY</v>
          </cell>
          <cell r="E175">
            <v>0</v>
          </cell>
          <cell r="F175">
            <v>0</v>
          </cell>
          <cell r="G175">
            <v>0</v>
          </cell>
        </row>
        <row r="176">
          <cell r="A176" t="str">
            <v>BDB-000172</v>
          </cell>
          <cell r="B176" t="str">
            <v>OrthoLite Ultra-Hybrid-Nike LIME GREEN/14-0452TPX BUN(ULITE-HYBRID-NIKE) 0.085D 25+/-4 Asker C 1.1M 2M 160mm</v>
          </cell>
          <cell r="C176" t="str">
            <v>LIME GREEN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BDB-000173</v>
          </cell>
          <cell r="B177" t="str">
            <v>OrthoLite Ultra-Hybrid-Nike LIME GREEN/14-0452TPX BUN(ULITE-HYBRID-NIKE) 0.085D 15+/-4 Asker C 1.1M 2M 160mm</v>
          </cell>
          <cell r="C177" t="str">
            <v>LIME GREEN</v>
          </cell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BDB-000174</v>
          </cell>
          <cell r="B178" t="str">
            <v>OrthoLite Ultra-Hybrid-Nike SEEDPEARL/12-0703TPX BUN(ULITE-HYBRID-NIKE) 0.085D 15+/-4 Asker C 1.1M 2M 160mm</v>
          </cell>
          <cell r="C178" t="str">
            <v>SEEDPEARL</v>
          </cell>
          <cell r="D178">
            <v>1</v>
          </cell>
          <cell r="E178">
            <v>0</v>
          </cell>
          <cell r="F178">
            <v>0</v>
          </cell>
          <cell r="G178">
            <v>1</v>
          </cell>
        </row>
        <row r="179">
          <cell r="A179" t="str">
            <v>BDB-000175</v>
          </cell>
          <cell r="B179" t="str">
            <v>OrthoLite Ultra-Hybrid-Nike SEEDPEARL/12-0703TPX BUN(ULITE-HYBRID-NIKE) 0.085D 25+/-4 Asker C 1.1M 2M 160mm</v>
          </cell>
          <cell r="C179" t="str">
            <v>SEEDPEARL</v>
          </cell>
          <cell r="D179">
            <v>12</v>
          </cell>
          <cell r="E179">
            <v>0</v>
          </cell>
          <cell r="F179">
            <v>0</v>
          </cell>
          <cell r="G179">
            <v>12</v>
          </cell>
        </row>
        <row r="180">
          <cell r="A180" t="str">
            <v>BDB-000176</v>
          </cell>
          <cell r="B180" t="str">
            <v>OrthoLite Ultra-Hybrid-Nike YELLOW/13-0858TPX BUN(ULITE-HYBRID-NIKE) 0.085D 25+/-4 Asker C 1.1M 2M 160mm</v>
          </cell>
          <cell r="C180" t="str">
            <v>YELLOW</v>
          </cell>
          <cell r="E180">
            <v>0</v>
          </cell>
          <cell r="F180">
            <v>0</v>
          </cell>
          <cell r="G180">
            <v>0</v>
          </cell>
        </row>
        <row r="181">
          <cell r="A181" t="str">
            <v>BDB-000177</v>
          </cell>
          <cell r="B181" t="str">
            <v>OrthoLite Ultra-Hybrid-Nike GREEN/16-5932TPX BUN(ULITE-HYBRID-NIKE) 0.085D 15+/-4 Asker C 1.1M 2M 160mm</v>
          </cell>
          <cell r="C181" t="str">
            <v>GREEN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BDB-000178</v>
          </cell>
          <cell r="B182" t="str">
            <v>OrthoLite Ultra-Hybrid-Nike SEEDPEARL/12-0703TPX BUN(ULITE-HYBRID-NIKE) 0.085D 25+/-4 Asker C 1.1M 1.47M 160mm</v>
          </cell>
          <cell r="C182" t="str">
            <v>SEEDPEARL</v>
          </cell>
          <cell r="E182">
            <v>0</v>
          </cell>
          <cell r="F182">
            <v>0</v>
          </cell>
          <cell r="G182">
            <v>0</v>
          </cell>
        </row>
        <row r="183">
          <cell r="A183" t="str">
            <v>BDB-000179</v>
          </cell>
          <cell r="B183" t="str">
            <v>OrthoLite X-55 RED/19-1764TPX BUN(X55) 0.16D 25+/-4 Asker C 1.1M 1.7M 160mm</v>
          </cell>
          <cell r="C183" t="str">
            <v>RED</v>
          </cell>
          <cell r="E183">
            <v>0</v>
          </cell>
          <cell r="F183">
            <v>0</v>
          </cell>
          <cell r="G183">
            <v>0</v>
          </cell>
        </row>
        <row r="184">
          <cell r="A184" t="str">
            <v>BDB-000180</v>
          </cell>
          <cell r="B184" t="str">
            <v>OrthoLite Eco LT-Hybrid_Converse SEEDPEARL/12-0703TPX BUN(ECOLT-HYBRID-CONVERSE) 0.13D 25+/-4 Asker C 1.1M 2M 160mm</v>
          </cell>
          <cell r="C184" t="str">
            <v>SEEDPEARL</v>
          </cell>
          <cell r="E184">
            <v>0</v>
          </cell>
          <cell r="F184">
            <v>0</v>
          </cell>
          <cell r="G184">
            <v>0</v>
          </cell>
        </row>
        <row r="185">
          <cell r="A185" t="str">
            <v>BDB-000181</v>
          </cell>
          <cell r="B185" t="str">
            <v>OrthoLite Eco LT-Hybrid_Converse SEEDPEARL/12-0703TPX BUN(ECOLT-HYBRID-CONVERSE) 0.11D 25+/-4 Asker C 1.1M 2M 160mm</v>
          </cell>
          <cell r="C185" t="str">
            <v>SEEDPEARL</v>
          </cell>
          <cell r="E185">
            <v>0</v>
          </cell>
          <cell r="F185">
            <v>0</v>
          </cell>
          <cell r="G185">
            <v>0</v>
          </cell>
        </row>
        <row r="186">
          <cell r="A186" t="str">
            <v>BDB-000182</v>
          </cell>
          <cell r="B186" t="str">
            <v>OrthoLite Regular-Nike SEEDPEARL/12-0703TPX BUN(REG-NIKE) 0.13D 35+/-4 Asker C 1.1M 2M 160mm</v>
          </cell>
          <cell r="C186" t="str">
            <v>SEEDPEARL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BDB-000183</v>
          </cell>
          <cell r="B187" t="str">
            <v>OrthoLite Regular-Nike SEEDPEARL/12-0703TPX BUN(REG-NIKE) 0.11D 25+/-4 Asker C 1.1M 2M 160mm</v>
          </cell>
          <cell r="C187" t="str">
            <v>SEEDPEARL</v>
          </cell>
          <cell r="E187">
            <v>0</v>
          </cell>
          <cell r="F187">
            <v>0</v>
          </cell>
          <cell r="G187">
            <v>0</v>
          </cell>
        </row>
        <row r="188">
          <cell r="A188" t="str">
            <v>BDB-000184</v>
          </cell>
          <cell r="B188" t="str">
            <v>OrthoLite Regular NEUTRAL GRAY/17-4402TPX BUN(REG) 0.11D 25+/-4 Asker C 1.1M 1.47M 160mm</v>
          </cell>
          <cell r="C188" t="str">
            <v>NEUTRAL GRAY</v>
          </cell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BDB-000185</v>
          </cell>
          <cell r="B189" t="str">
            <v>OrthoLite Regular-Nike YELLOW/13-0858TPX BUN(REG-NIKE) 0.11D 25+/-4 Asker C 1.1M 2M 160mm</v>
          </cell>
          <cell r="C189" t="str">
            <v>YELLOW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BDB-000186</v>
          </cell>
          <cell r="B190" t="str">
            <v>OrthoLite X-40-Nike SEEDPEARL/12-0703TPX BUN(X40-NIKE) 0.16D 35+/-4 Asker C 1.1M 1.7M 160mm</v>
          </cell>
          <cell r="C190" t="str">
            <v>SEEDPEARL</v>
          </cell>
          <cell r="D190">
            <v>8</v>
          </cell>
          <cell r="E190">
            <v>0</v>
          </cell>
          <cell r="F190">
            <v>0</v>
          </cell>
          <cell r="G190">
            <v>8</v>
          </cell>
        </row>
        <row r="191">
          <cell r="A191" t="str">
            <v>BDB-000187</v>
          </cell>
          <cell r="B191" t="str">
            <v>OrthoLite Eco LT NEUTRAL GRAY/17-4402TPX BUN(ECOLT) 0.11D 25+/-4 Asker C 1.1M 2M 160mm</v>
          </cell>
          <cell r="C191" t="str">
            <v>NEUTRAL GRAY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BDB-000188</v>
          </cell>
          <cell r="B192" t="str">
            <v>OrthoLite Ultra-Hybrid SEEDPEARL/12-0703TPX BUN(ULITE-HYBRID) 0.085D 25+/-4 Asker C 1.1M 1.47M 160mm</v>
          </cell>
          <cell r="C192" t="str">
            <v>SEEDPEARL</v>
          </cell>
          <cell r="E192">
            <v>0</v>
          </cell>
          <cell r="F192">
            <v>0</v>
          </cell>
          <cell r="G192">
            <v>0</v>
          </cell>
        </row>
        <row r="193">
          <cell r="A193" t="str">
            <v>BDB-000189</v>
          </cell>
          <cell r="B193" t="str">
            <v>OrthoLite Eco LT-Hybrid-Converse SEEDPEARL/12-0703TPX BUN(ECOLT-HYBRID-CONVERSE) 0.13D 25+/-4 Asker C 1.1M 1.47M 160mm</v>
          </cell>
          <cell r="C193" t="str">
            <v>SEEDPEARL</v>
          </cell>
          <cell r="E193">
            <v>0</v>
          </cell>
          <cell r="F193">
            <v>0</v>
          </cell>
          <cell r="G193">
            <v>0</v>
          </cell>
        </row>
        <row r="194">
          <cell r="A194" t="str">
            <v>BDB-000190</v>
          </cell>
          <cell r="B194" t="str">
            <v>OrthoLite Ultra GREY/17-1501TPX BUN(ULTRA) 0.085D 15+/-4 Asker C 1.1M 2M 160mm</v>
          </cell>
          <cell r="C194" t="str">
            <v>GREY</v>
          </cell>
          <cell r="E194">
            <v>0</v>
          </cell>
          <cell r="F194">
            <v>0</v>
          </cell>
          <cell r="G194">
            <v>0</v>
          </cell>
        </row>
        <row r="195">
          <cell r="A195" t="str">
            <v>BDB-000191</v>
          </cell>
          <cell r="B195" t="str">
            <v>OrthoLite Eco LT FOSSIL/17-0909TPX BUN(ECOLT) 0.11D 25+/-4 Asker C 1.1M 2M 160mm</v>
          </cell>
          <cell r="C195" t="str">
            <v>FOSSIL</v>
          </cell>
          <cell r="E195">
            <v>0</v>
          </cell>
          <cell r="F195">
            <v>0</v>
          </cell>
          <cell r="G195">
            <v>0</v>
          </cell>
        </row>
        <row r="196">
          <cell r="A196" t="str">
            <v>BDB-000192</v>
          </cell>
          <cell r="B196" t="str">
            <v>OrthoLite X-40-Nike RED/19-1764TPX BUN(X40) 0.16D 25+/-4 Asker C 1.1M 1.7M 160mm</v>
          </cell>
          <cell r="C196" t="str">
            <v>RED</v>
          </cell>
          <cell r="E196">
            <v>0</v>
          </cell>
          <cell r="F196">
            <v>0</v>
          </cell>
          <cell r="G196">
            <v>0</v>
          </cell>
        </row>
        <row r="197">
          <cell r="A197" t="str">
            <v>BDB-000193</v>
          </cell>
          <cell r="B197" t="str">
            <v>OrthoLite Ultra-Hybrid SEEDPEARL/12-0703TPX BUN(ULITE-HYBRID) 0.085D 25+/-4 Asker C 1.1M 1.7M 160mm</v>
          </cell>
          <cell r="C197" t="str">
            <v>SEEDPEARL</v>
          </cell>
          <cell r="E197">
            <v>0</v>
          </cell>
          <cell r="F197">
            <v>0</v>
          </cell>
          <cell r="G197">
            <v>0</v>
          </cell>
        </row>
        <row r="198">
          <cell r="A198" t="str">
            <v>BDB-000194</v>
          </cell>
          <cell r="B198" t="str">
            <v>OrthoLite Ultra-Hybrid SEEDPEARL/12-0703TPX(KDV) BUN(ULITE-HYBRID) 0.085D 15+/-4 Asker C 1.1M 2M 160mm</v>
          </cell>
          <cell r="C198" t="str">
            <v>SEEDPEARL</v>
          </cell>
          <cell r="E198">
            <v>0</v>
          </cell>
          <cell r="F198">
            <v>0</v>
          </cell>
          <cell r="G198">
            <v>0</v>
          </cell>
        </row>
        <row r="199">
          <cell r="A199" t="str">
            <v>BDB-000195</v>
          </cell>
          <cell r="B199" t="str">
            <v>OrthoLite Ultra-Nike GREY/17-1501TPX BUN(ULITE-NIKE) 0.085D 25+/-4 Asker C 1.1M 1.7M 160mm</v>
          </cell>
          <cell r="C199" t="str">
            <v>GREY</v>
          </cell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BDB-000196</v>
          </cell>
          <cell r="B200" t="str">
            <v>OrthoLite Regular RED/19-1764TPX BUN(REG) 0.13D 25+/-4 Asker C 1.1M 2M 160mm</v>
          </cell>
          <cell r="C200" t="str">
            <v>RED</v>
          </cell>
          <cell r="E200">
            <v>0</v>
          </cell>
          <cell r="F200">
            <v>0</v>
          </cell>
          <cell r="G200">
            <v>0</v>
          </cell>
        </row>
        <row r="201">
          <cell r="A201" t="str">
            <v>BDB-000197</v>
          </cell>
          <cell r="B201" t="str">
            <v>OrthoLite Ultra-Hybrid SEEDPEARL/12-0703TPX BUN(ULITE-HYBRID) 0.085D 5-10 Asker C 1.1M 2M 160mm</v>
          </cell>
          <cell r="C201" t="str">
            <v>SEEDPEARL</v>
          </cell>
          <cell r="E201">
            <v>0</v>
          </cell>
          <cell r="F201">
            <v>0</v>
          </cell>
          <cell r="G201">
            <v>0</v>
          </cell>
        </row>
        <row r="202">
          <cell r="A202" t="str">
            <v>BDB-000198</v>
          </cell>
          <cell r="B202" t="str">
            <v>OrthoLite X-40-Hybrid SEEDPEARL/12-0703TPX(KDV) BUN(X40-HYBRID) 0.16D 25+/-4 Asker C 1.1M 1.7M 160mm</v>
          </cell>
          <cell r="C202" t="str">
            <v>SEEDPEARL</v>
          </cell>
          <cell r="E202">
            <v>0</v>
          </cell>
          <cell r="F202">
            <v>0</v>
          </cell>
          <cell r="G202">
            <v>0</v>
          </cell>
        </row>
        <row r="203">
          <cell r="A203" t="str">
            <v>BDB-000199</v>
          </cell>
          <cell r="B203" t="str">
            <v>OrthoLite Ultra-Hybrid SEEDPEARL/12-0703TPX BUN(ULITE-HYBRID) 0.085D 5-10 Asker C 1.1M 1.47M 160mm</v>
          </cell>
          <cell r="C203" t="str">
            <v>SEEDPEARL</v>
          </cell>
          <cell r="E203">
            <v>0</v>
          </cell>
          <cell r="F203">
            <v>0</v>
          </cell>
          <cell r="G203">
            <v>0</v>
          </cell>
        </row>
        <row r="204">
          <cell r="A204" t="str">
            <v>BDB-000200</v>
          </cell>
          <cell r="B204" t="str">
            <v>OrthoLite Ultra SEEDPEARL/12-0703TPX BUN(ULITE) 0.085D 78-90 Asker F 1.1M 2M 160mm</v>
          </cell>
          <cell r="C204" t="str">
            <v>SEEDPEARL</v>
          </cell>
          <cell r="D204">
            <v>1</v>
          </cell>
          <cell r="E204">
            <v>0</v>
          </cell>
          <cell r="F204">
            <v>0</v>
          </cell>
          <cell r="G204">
            <v>1</v>
          </cell>
        </row>
        <row r="205">
          <cell r="A205" t="str">
            <v>BDB-000201</v>
          </cell>
          <cell r="B205" t="str">
            <v>OrthoLite Ultra YELLOW/13-0858TPX BUN(ULITE) 0.085D 5-10 Asker C 1.1M 2M 160mm</v>
          </cell>
          <cell r="C205" t="str">
            <v>YELLOW</v>
          </cell>
          <cell r="E205">
            <v>0</v>
          </cell>
          <cell r="F205">
            <v>0</v>
          </cell>
          <cell r="G205">
            <v>0</v>
          </cell>
        </row>
        <row r="206">
          <cell r="A206" t="str">
            <v>BDB-000202</v>
          </cell>
          <cell r="B206" t="str">
            <v>OrthoLite Eco LT-Hybrid RED/19-1764TPX BUN(ECOLT-HYBRID) 0.13D 35+/-4 Asker C 1.1M 2M 160mm</v>
          </cell>
          <cell r="C206" t="str">
            <v>RED</v>
          </cell>
          <cell r="E206">
            <v>0</v>
          </cell>
          <cell r="F206">
            <v>0</v>
          </cell>
          <cell r="G206">
            <v>0</v>
          </cell>
        </row>
        <row r="207">
          <cell r="A207" t="str">
            <v>BDB-000203</v>
          </cell>
          <cell r="B207" t="str">
            <v>OrthoLite Ultra RED/19-1764TPX BUN(ULITE) 0.085D 5-10 Asker C 1.1M 2M 160mm</v>
          </cell>
          <cell r="C207" t="str">
            <v>RED</v>
          </cell>
          <cell r="E207">
            <v>0</v>
          </cell>
          <cell r="F207">
            <v>0</v>
          </cell>
          <cell r="G207">
            <v>0</v>
          </cell>
        </row>
        <row r="208">
          <cell r="A208" t="str">
            <v>BDB-000204</v>
          </cell>
          <cell r="B208" t="str">
            <v>OrthoLite Ultra BURNT SIENNA/17-1544TPX BUN(ULITE) 0.085D 5-10 Asker C 1.1M 2M 160mm</v>
          </cell>
          <cell r="C208" t="str">
            <v>BURNT SIENNA</v>
          </cell>
          <cell r="E208">
            <v>0</v>
          </cell>
          <cell r="F208">
            <v>0</v>
          </cell>
          <cell r="G208">
            <v>0</v>
          </cell>
        </row>
        <row r="209">
          <cell r="A209" t="str">
            <v>BDB-000205</v>
          </cell>
          <cell r="B209" t="str">
            <v>OrthoLite Ultra GREY/17-1501TPX BUN(ULITE) 0.085D 5-10 Asker C 1.1M 2M 160mm</v>
          </cell>
          <cell r="C209" t="str">
            <v>GREY</v>
          </cell>
          <cell r="D209">
            <v>4</v>
          </cell>
          <cell r="E209">
            <v>0</v>
          </cell>
          <cell r="F209">
            <v>0</v>
          </cell>
          <cell r="G209">
            <v>4</v>
          </cell>
        </row>
        <row r="210">
          <cell r="A210" t="str">
            <v>BDB-000206</v>
          </cell>
          <cell r="B210" t="str">
            <v>OrthoLite Ultra SEEDPEARL/12-0703TPX BUN(ULITE) 0.085D 5-10 Asker C 1.1M 2M 160mm</v>
          </cell>
          <cell r="C210" t="str">
            <v>SEEDPEARL</v>
          </cell>
          <cell r="E210">
            <v>0</v>
          </cell>
          <cell r="F210">
            <v>0</v>
          </cell>
          <cell r="G210">
            <v>0</v>
          </cell>
        </row>
        <row r="211">
          <cell r="A211" t="str">
            <v>BDB-000207</v>
          </cell>
          <cell r="B211" t="str">
            <v>OrthoLite Eco LT-Hybrid-Converse SEEDPEARL/12-0703TPX BUN(ECOLT-HYBRID-CONVERSE) 0.11D 25+/-4 Asker C 1.1M 1.47M 160mm</v>
          </cell>
          <cell r="C211" t="str">
            <v>SEEDPEARL</v>
          </cell>
          <cell r="E211">
            <v>0</v>
          </cell>
          <cell r="F211">
            <v>0</v>
          </cell>
          <cell r="G211">
            <v>0</v>
          </cell>
        </row>
        <row r="212">
          <cell r="A212" t="str">
            <v>BDB-000208</v>
          </cell>
          <cell r="B212" t="str">
            <v>OrthoLite Regular YELLOW/13-0858TPX BUN(REG) 0.11D 5-10 Asker C 1.1M 2M 160mm</v>
          </cell>
          <cell r="C212" t="str">
            <v>YELLOW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BDB-000209</v>
          </cell>
          <cell r="B213" t="str">
            <v>OrthoLite HybridPlus-Recycled MINT GREEN/11-4805TPX 0.12D 25+/-4 Asker C 1.1M 2M 160mm</v>
          </cell>
          <cell r="C213" t="str">
            <v>MINT GREEN</v>
          </cell>
          <cell r="E213">
            <v>136</v>
          </cell>
          <cell r="F213">
            <v>62</v>
          </cell>
          <cell r="G213">
            <v>74</v>
          </cell>
        </row>
        <row r="214">
          <cell r="A214" t="str">
            <v>BDB-000210</v>
          </cell>
          <cell r="B214" t="str">
            <v>OrthoLite Eco LT-Hybrid BLACK/19-4007TPX BUN(ECOLT-HYBRID) 0.13D 35+/-4 Asker C 1.1M 2M 160mm</v>
          </cell>
          <cell r="C214" t="str">
            <v>BLACK</v>
          </cell>
          <cell r="E214">
            <v>0</v>
          </cell>
          <cell r="F214">
            <v>0</v>
          </cell>
          <cell r="G214">
            <v>0</v>
          </cell>
        </row>
        <row r="215">
          <cell r="A215" t="str">
            <v>BDB-000211</v>
          </cell>
          <cell r="B215" t="str">
            <v>OrthoLite X-30-Hybrid SEEDPEARL/12-0703TPX BUN(X30-HYBRID) 0.13D 25+/-4 Asker C 1.1M 2M 160mm</v>
          </cell>
          <cell r="C215" t="str">
            <v>SEEDPEARL</v>
          </cell>
          <cell r="E215">
            <v>0</v>
          </cell>
          <cell r="F215">
            <v>0</v>
          </cell>
          <cell r="G215">
            <v>0</v>
          </cell>
        </row>
        <row r="216">
          <cell r="A216" t="str">
            <v>BDB-000212</v>
          </cell>
          <cell r="B216" t="str">
            <v>OrthoLite X-25-Hybrid SEEDPEARL/12-0703TPX BUN(X25-HYBRID) 0.12D 20+/-4 Asker C 1.1M 2M 160mm</v>
          </cell>
          <cell r="C216" t="str">
            <v>SEEDPEARL</v>
          </cell>
          <cell r="E216">
            <v>0</v>
          </cell>
          <cell r="F216">
            <v>0</v>
          </cell>
          <cell r="G216">
            <v>0</v>
          </cell>
        </row>
        <row r="217">
          <cell r="A217" t="str">
            <v>BDB-000213</v>
          </cell>
          <cell r="B217" t="str">
            <v>OrthoLite X-25-Hybrid SEEDPEARL/12-0703TPX BUN(X25-HYBRID) 0.12D 20+/-4 Asker C 1.1M 1.47M 160mm</v>
          </cell>
          <cell r="C217" t="str">
            <v>SEEDPEARL</v>
          </cell>
          <cell r="D217">
            <v>2</v>
          </cell>
          <cell r="E217">
            <v>0</v>
          </cell>
          <cell r="F217">
            <v>0</v>
          </cell>
          <cell r="G217">
            <v>2</v>
          </cell>
        </row>
        <row r="218">
          <cell r="A218" t="str">
            <v>BDB-000214</v>
          </cell>
          <cell r="B218" t="str">
            <v>OrthoLite -Nike YELLOW/13-0858TPX  0.15D 45+/-4 Asker C 1.1M 1.7M 160mm</v>
          </cell>
          <cell r="C218" t="str">
            <v>YELLOW</v>
          </cell>
          <cell r="E218">
            <v>0</v>
          </cell>
          <cell r="F218">
            <v>0</v>
          </cell>
          <cell r="G218">
            <v>0</v>
          </cell>
        </row>
        <row r="219">
          <cell r="A219" t="str">
            <v>BDB-000215</v>
          </cell>
          <cell r="B219" t="str">
            <v>OrthoLite -Nike SEEDPEARL/12-0703TPX  0.15D 45+/-4 Asker C 1.1M 1.7M 160mm</v>
          </cell>
          <cell r="C219" t="str">
            <v>SEEDPEARL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BDB-000216</v>
          </cell>
          <cell r="B220" t="str">
            <v>OrthoLite -Nike AIR BLUE/16-4134TPX  0.15D 45+/-4 Asker C 1.1M 1.7M 160mm</v>
          </cell>
          <cell r="C220" t="str">
            <v>AIR BLUE</v>
          </cell>
          <cell r="E220">
            <v>0</v>
          </cell>
          <cell r="F220">
            <v>0</v>
          </cell>
          <cell r="G220">
            <v>0</v>
          </cell>
        </row>
        <row r="221">
          <cell r="A221" t="str">
            <v>BDB-000217</v>
          </cell>
          <cell r="B221" t="str">
            <v>OrthoLite X-40-Hybrid SEEDPEARL/12-0703TPX BUN(X40-HYBRID) 0.16D 35+/-4 Asker C 1.1M 1.7M 160mm</v>
          </cell>
          <cell r="C221" t="str">
            <v>SEEDPEARL</v>
          </cell>
          <cell r="D221">
            <v>19</v>
          </cell>
          <cell r="E221">
            <v>0</v>
          </cell>
          <cell r="F221">
            <v>0</v>
          </cell>
          <cell r="G221">
            <v>19</v>
          </cell>
        </row>
        <row r="222">
          <cell r="A222" t="str">
            <v>BDB-000218</v>
          </cell>
          <cell r="B222" t="str">
            <v>OrthoLite Ultra-Nike SEEDPEARL/12-0703TPX BUN(ULITE-NIKE) 0.085D 5-10 Asker C 1.1M 2M 160mm</v>
          </cell>
          <cell r="C222" t="str">
            <v>SEEDPEARL</v>
          </cell>
          <cell r="D222">
            <v>5</v>
          </cell>
          <cell r="E222">
            <v>2</v>
          </cell>
          <cell r="F222">
            <v>7</v>
          </cell>
          <cell r="G222">
            <v>0</v>
          </cell>
        </row>
        <row r="223">
          <cell r="A223" t="str">
            <v>BDB-000219</v>
          </cell>
          <cell r="B223" t="str">
            <v>OrthoLite Float BLUE ATOLL/16-4535TPX BUN(FLOAT) 0.185D 15+/-4 Asker C 1.1M 1.7M 160mm</v>
          </cell>
          <cell r="C223" t="str">
            <v>BLUE ATOLL</v>
          </cell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BDB-000220</v>
          </cell>
          <cell r="B224" t="str">
            <v>OrthoLite X-25 BILLIARD/16-5427TPX BUN(X25) 0.12D 20+/-4 Asker C 1.1M 1.47M 160mm</v>
          </cell>
          <cell r="C224" t="str">
            <v>BILLIARD</v>
          </cell>
          <cell r="E224">
            <v>0</v>
          </cell>
          <cell r="F224">
            <v>0</v>
          </cell>
          <cell r="G224">
            <v>0</v>
          </cell>
        </row>
        <row r="225">
          <cell r="A225" t="str">
            <v>BDB-000221</v>
          </cell>
          <cell r="B225" t="str">
            <v>OrthoLite X-40-Hybrid-Nike SEEDPEARL/12-0703TPX BUN(X40-HYBRID-NIKE) 0.16D 25+/-4 Asker C 1.1M 1.7M 160mm</v>
          </cell>
          <cell r="C225" t="str">
            <v>SEEDPEARL</v>
          </cell>
          <cell r="D225">
            <v>13</v>
          </cell>
          <cell r="E225">
            <v>0</v>
          </cell>
          <cell r="F225">
            <v>2</v>
          </cell>
          <cell r="G225">
            <v>11</v>
          </cell>
        </row>
        <row r="226">
          <cell r="A226" t="str">
            <v>BDB-000222</v>
          </cell>
          <cell r="B226" t="str">
            <v>OrthoLite Regular YELLOW/13-0858TPX BUN(REG) 0.11D 5-10 Asker C 1.1M 1.47M 160mm</v>
          </cell>
          <cell r="C226" t="str">
            <v>YELLOW</v>
          </cell>
          <cell r="E226">
            <v>0</v>
          </cell>
          <cell r="F226">
            <v>0</v>
          </cell>
          <cell r="G226">
            <v>0</v>
          </cell>
        </row>
        <row r="227">
          <cell r="A227" t="str">
            <v>BDB-000223</v>
          </cell>
          <cell r="B227" t="str">
            <v>Ortholite Ultra SEEDPEARL/12-0703TPX BUN(ULITE) 0.095D 33+/-4 Asker C 1.1M 2M 160mm</v>
          </cell>
          <cell r="C227" t="str">
            <v>SEEDPEARL</v>
          </cell>
          <cell r="E227">
            <v>0</v>
          </cell>
          <cell r="F227">
            <v>0</v>
          </cell>
          <cell r="G227">
            <v>0</v>
          </cell>
        </row>
        <row r="228">
          <cell r="A228" t="str">
            <v>BDB-000224</v>
          </cell>
          <cell r="B228" t="str">
            <v>Ortholite R&amp;R CASTLEROCK/18-0201TPX BUN(R&amp;R) 0.16D 15+/-4 Asker C 1.1M 1.7M 160mm</v>
          </cell>
          <cell r="C228" t="str">
            <v>CASTLEROCK</v>
          </cell>
          <cell r="E228">
            <v>4</v>
          </cell>
          <cell r="F228">
            <v>4</v>
          </cell>
          <cell r="G228">
            <v>0</v>
          </cell>
        </row>
        <row r="229">
          <cell r="A229" t="str">
            <v>BDB-000225</v>
          </cell>
          <cell r="B229" t="str">
            <v>OrthoLite Regular-Hybrid NEUTRAL GRAY/17-4402TPX BUN(REG-HYBRID) 0.11D 25+/-4 Asker C 1.1M 2M 160mm</v>
          </cell>
          <cell r="C229" t="str">
            <v>NEUTRAL GRAY</v>
          </cell>
          <cell r="E229">
            <v>0</v>
          </cell>
          <cell r="F229">
            <v>0</v>
          </cell>
          <cell r="G229">
            <v>0</v>
          </cell>
        </row>
        <row r="230">
          <cell r="A230" t="str">
            <v>BDB-000226</v>
          </cell>
          <cell r="B230" t="str">
            <v>OrthoLite Regular GREY/17-1501TPX BUN(REG) 0.16D 51+/-4 Asker C 1.1M 1.7M 160mm</v>
          </cell>
          <cell r="C230" t="str">
            <v>GREY</v>
          </cell>
          <cell r="E230">
            <v>3</v>
          </cell>
          <cell r="F230">
            <v>3</v>
          </cell>
          <cell r="G230">
            <v>0</v>
          </cell>
        </row>
        <row r="231">
          <cell r="A231" t="str">
            <v>BDB-000227</v>
          </cell>
          <cell r="B231" t="str">
            <v>OrthoLite X-30 SEEDPEARL/12-0703TPX BUN(X30) 0.13D 25+/-4 Asker C 1.1M 2M 160mm</v>
          </cell>
          <cell r="C231" t="str">
            <v xml:space="preserve"> SEEDPEARL</v>
          </cell>
          <cell r="E231">
            <v>0</v>
          </cell>
          <cell r="F231">
            <v>0</v>
          </cell>
          <cell r="G231">
            <v>0</v>
          </cell>
        </row>
        <row r="232">
          <cell r="A232" t="str">
            <v>BDB-000228</v>
          </cell>
          <cell r="B232" t="str">
            <v>OrthoLite Ultra SEEDPEARL/12-0703TPX BUN(ULITE) 0.085D 78-90 Asker F 1.1M 1.47M 160mm</v>
          </cell>
          <cell r="C232" t="str">
            <v>SEEDPEARL</v>
          </cell>
          <cell r="E232">
            <v>0</v>
          </cell>
          <cell r="F232">
            <v>0</v>
          </cell>
          <cell r="G232">
            <v>0</v>
          </cell>
        </row>
        <row r="233">
          <cell r="A233" t="str">
            <v>BDB-000229</v>
          </cell>
          <cell r="B233" t="str">
            <v>OrthoLite Ultra-Hybrid SEEDPEARL/12-0703TPX BUN(ULITE) 0.095D 33+/-4 Asker C 1.1M 2M 160mm</v>
          </cell>
          <cell r="C233" t="str">
            <v>SEEDPEARL</v>
          </cell>
          <cell r="D233">
            <v>12</v>
          </cell>
          <cell r="E233">
            <v>0</v>
          </cell>
          <cell r="F233">
            <v>20</v>
          </cell>
          <cell r="G233">
            <v>-8</v>
          </cell>
        </row>
        <row r="234">
          <cell r="A234" t="str">
            <v>BDB-000230</v>
          </cell>
          <cell r="B234" t="str">
            <v>OrthoLite Regular-Hybrid SEEDPEARL/12-0703TPX BUN(REG-HYBRID) 0.13D 35+/-4 Asker C 1.1M 2M 160mm</v>
          </cell>
          <cell r="C234" t="str">
            <v>SEEDPEARL</v>
          </cell>
          <cell r="E234">
            <v>0</v>
          </cell>
          <cell r="F234">
            <v>0</v>
          </cell>
          <cell r="G234">
            <v>0</v>
          </cell>
        </row>
        <row r="235">
          <cell r="A235" t="str">
            <v>BDB-000231</v>
          </cell>
          <cell r="B235" t="str">
            <v>OrthoLite Regular BLACK/19-4007TPX BUN(REG) 0.13D 35+/-4 Asker C 1.1M 2M 160mm</v>
          </cell>
          <cell r="C235" t="str">
            <v>BLACK</v>
          </cell>
          <cell r="E235">
            <v>0</v>
          </cell>
          <cell r="F235">
            <v>0</v>
          </cell>
          <cell r="G235">
            <v>0</v>
          </cell>
        </row>
        <row r="236">
          <cell r="A236" t="str">
            <v>BDB-000232</v>
          </cell>
          <cell r="B236" t="str">
            <v>OrthoLite Regular-Nike AIR BLUE/16-4134TPX BUN(REG-NIKE) 0.11D 15+/-4 Asker C 1.1M 1.47M 160mm</v>
          </cell>
          <cell r="C236" t="str">
            <v>AIR BLUE</v>
          </cell>
          <cell r="E236">
            <v>0</v>
          </cell>
          <cell r="F236">
            <v>0</v>
          </cell>
          <cell r="G236">
            <v>0</v>
          </cell>
        </row>
        <row r="237">
          <cell r="A237" t="str">
            <v>BDB-000233</v>
          </cell>
          <cell r="B237" t="str">
            <v>OrthoLite HybridPlus-Recycled MINT GREEN/11-4805TPX BUN(HYBRIDPLS-RECYCLED) 0.12D 25+/-4 Asker C 1.1M 1.7M 160mm</v>
          </cell>
          <cell r="C237" t="str">
            <v>MINT GREEN</v>
          </cell>
          <cell r="E237">
            <v>0</v>
          </cell>
          <cell r="F237">
            <v>0</v>
          </cell>
          <cell r="G237">
            <v>0</v>
          </cell>
        </row>
        <row r="238">
          <cell r="A238" t="str">
            <v>BDB-000234</v>
          </cell>
          <cell r="B238" t="str">
            <v>OrthoLite X-30-Hybrid BROWN SUGAR/17-1134TPX BUN(X30-HYBRID) 0.13D 25+/-4 Asker C 1.1M 2M 160mm</v>
          </cell>
          <cell r="C238" t="str">
            <v>BROWN SUGAR</v>
          </cell>
          <cell r="D238">
            <v>2</v>
          </cell>
          <cell r="E238">
            <v>38</v>
          </cell>
          <cell r="F238">
            <v>38</v>
          </cell>
          <cell r="G238">
            <v>2</v>
          </cell>
        </row>
        <row r="239">
          <cell r="A239" t="str">
            <v>BDB-000235</v>
          </cell>
          <cell r="B239" t="str">
            <v>OrthoLite X-55-Hybrid FOSSIL/17-0909TPX BUN(55-HYBRID) 0.16D 25+/-4 Asker C 1.1M 1.7M 160mm</v>
          </cell>
          <cell r="C239" t="str">
            <v>FOSSIL</v>
          </cell>
          <cell r="D239">
            <v>23</v>
          </cell>
          <cell r="E239">
            <v>84</v>
          </cell>
          <cell r="F239">
            <v>84</v>
          </cell>
          <cell r="G239">
            <v>23</v>
          </cell>
        </row>
        <row r="240">
          <cell r="A240" t="str">
            <v>BDB-000236</v>
          </cell>
          <cell r="B240" t="str">
            <v>OrthoLite X-35-Hybrid-Nike SEEDPEARL/12-0703TPX BUN 0.145D 25+/-4 Asker C 1.1M 1.47M 160mm</v>
          </cell>
          <cell r="C240" t="str">
            <v>SEEDPEARL</v>
          </cell>
          <cell r="E240">
            <v>0</v>
          </cell>
          <cell r="F240">
            <v>0</v>
          </cell>
          <cell r="G240">
            <v>0</v>
          </cell>
        </row>
        <row r="241">
          <cell r="A241" t="str">
            <v>BDB-000237</v>
          </cell>
          <cell r="B241" t="str">
            <v>OrthoLite Regular-Hybrid SEEDPEARL/12-0703TPX BUN(REG-HYBRID) 0.11D 25+/-4 Asker C 1.1M 1.47M 160mm</v>
          </cell>
          <cell r="C241" t="str">
            <v>SEEDPEARL</v>
          </cell>
          <cell r="E241">
            <v>0</v>
          </cell>
          <cell r="F241">
            <v>0</v>
          </cell>
          <cell r="G241">
            <v>0</v>
          </cell>
        </row>
        <row r="242">
          <cell r="A242" t="str">
            <v>BDB-000238</v>
          </cell>
          <cell r="B242" t="str">
            <v>OrthoLite Eco LT-Hybrid NEUTRAL GRAY/17-4402TPX BUN(ECOLT-HYBRID) 0.11D 25+/-4 Asker C 1.1M 2M 160mm</v>
          </cell>
          <cell r="C242" t="str">
            <v>NEUTRAL GRAY</v>
          </cell>
          <cell r="E242">
            <v>0</v>
          </cell>
          <cell r="F242">
            <v>0</v>
          </cell>
          <cell r="G242">
            <v>0</v>
          </cell>
        </row>
        <row r="243">
          <cell r="A243" t="str">
            <v>BDB-000239</v>
          </cell>
          <cell r="B243" t="str">
            <v>OrthoLite Ultra-Hybrid BLACK/19-4007TPX BUN(ULITE) 0.085D 25+/-4 Asker C 1.1M 2M 160mm</v>
          </cell>
          <cell r="C243" t="str">
            <v>BLACK</v>
          </cell>
          <cell r="E243">
            <v>0</v>
          </cell>
          <cell r="F243">
            <v>0</v>
          </cell>
          <cell r="G243">
            <v>0</v>
          </cell>
        </row>
        <row r="244">
          <cell r="A244" t="str">
            <v>BDB-000240</v>
          </cell>
          <cell r="B244" t="str">
            <v>OrthoLite X-30 CASTLEROCK/18-0201TPX BUN(X30) 0.13D 25+/-4 Asker C 1.1M 2M 160mm</v>
          </cell>
          <cell r="C244" t="str">
            <v>CASTLEROCK</v>
          </cell>
          <cell r="E244">
            <v>0</v>
          </cell>
          <cell r="F244">
            <v>0</v>
          </cell>
          <cell r="G244">
            <v>0</v>
          </cell>
        </row>
        <row r="245">
          <cell r="A245" t="str">
            <v>BDB-000241</v>
          </cell>
          <cell r="B245" t="str">
            <v>OrthoLite Eco LT-Hybrid GREEN/16-5932TPX BUN(ECOLT-HYBRID) 0.11D 25+/-4 Asker C 1.1M 2M 160mm</v>
          </cell>
          <cell r="C245" t="str">
            <v>GREEN</v>
          </cell>
          <cell r="E245">
            <v>0</v>
          </cell>
          <cell r="F245">
            <v>0</v>
          </cell>
          <cell r="G245">
            <v>0</v>
          </cell>
        </row>
        <row r="246">
          <cell r="A246" t="str">
            <v>BDB-000242</v>
          </cell>
          <cell r="B246" t="str">
            <v>OrthoLite Regular GREY/17-1501TPX BUN(REG) 0.11D 5-10 Asker C 1.1M 2M 160mm</v>
          </cell>
          <cell r="C246" t="str">
            <v>GREY</v>
          </cell>
          <cell r="E246">
            <v>0</v>
          </cell>
          <cell r="F246">
            <v>0</v>
          </cell>
          <cell r="G246">
            <v>0</v>
          </cell>
        </row>
        <row r="247">
          <cell r="A247" t="str">
            <v>BDB-000243</v>
          </cell>
          <cell r="B247" t="str">
            <v>OrthoLite Ultra-Hybrid GREEN/16-5932TPX BUN(ULITE-HYBRID) 0.085D 25+/-4 Asker C 1.1M 2M 160mm</v>
          </cell>
          <cell r="C247" t="str">
            <v>GREEN</v>
          </cell>
          <cell r="E247">
            <v>0</v>
          </cell>
          <cell r="F247">
            <v>0</v>
          </cell>
          <cell r="G247">
            <v>0</v>
          </cell>
        </row>
        <row r="248">
          <cell r="A248" t="str">
            <v>BDB-000244</v>
          </cell>
          <cell r="B248" t="str">
            <v>OrthoLite X-35-Hybrid-Nike GREY/15-1710TPX BUN(X35-HYBRID-NIKE) 0.145D 25+/-4 Asker C 1.1M 2M 160mm</v>
          </cell>
          <cell r="C248" t="str">
            <v>GREY</v>
          </cell>
          <cell r="E248">
            <v>0</v>
          </cell>
          <cell r="F248">
            <v>0</v>
          </cell>
          <cell r="G248">
            <v>0</v>
          </cell>
        </row>
        <row r="249">
          <cell r="A249" t="str">
            <v>BDB-000245</v>
          </cell>
          <cell r="B249" t="str">
            <v>OrthoLite X-40-Hybrid CASTLEROCK/18-0201TPX BUN(X40-HYBRID) 0.16D 25+/-4 Asker C 1.1M 1.7M 160mm</v>
          </cell>
          <cell r="C249" t="str">
            <v>CASTLEROCK</v>
          </cell>
          <cell r="E249">
            <v>0</v>
          </cell>
          <cell r="F249">
            <v>0</v>
          </cell>
          <cell r="G249">
            <v>0</v>
          </cell>
        </row>
        <row r="250">
          <cell r="A250" t="str">
            <v>BDB-000246</v>
          </cell>
          <cell r="B250" t="str">
            <v>OrthoLite X-40-Hybrid RED/19-1764TPX BUN(X40-HYBRID) 0.16D 35+/-4 Asker C 1.1M 1.7M 160mm</v>
          </cell>
          <cell r="C250" t="str">
            <v>RED</v>
          </cell>
          <cell r="E250">
            <v>0</v>
          </cell>
          <cell r="F250">
            <v>0</v>
          </cell>
          <cell r="G250">
            <v>0</v>
          </cell>
        </row>
        <row r="251">
          <cell r="A251" t="str">
            <v>BDB-000247</v>
          </cell>
          <cell r="B251" t="str">
            <v>OrthoLite X-40-Hybrid CASTLEROCK/18-0201TPX BUN(X40-HYBRID) 0.16D 35+/-4 Asker C 1.1M 1.7M 160mm</v>
          </cell>
          <cell r="C251" t="str">
            <v>CASTLEROCK</v>
          </cell>
          <cell r="E251">
            <v>0</v>
          </cell>
          <cell r="F251">
            <v>0</v>
          </cell>
          <cell r="G251">
            <v>0</v>
          </cell>
        </row>
        <row r="252">
          <cell r="A252" t="str">
            <v>BDB-000248</v>
          </cell>
          <cell r="B252" t="str">
            <v>OrthoLite X-40-Hybrid RED/19-1764TPX BUN(X40-HYBRID) 0.16D 25+/-4 Asker C 1.1M 1.7M 160mm</v>
          </cell>
          <cell r="C252" t="str">
            <v>RED</v>
          </cell>
          <cell r="E252">
            <v>0</v>
          </cell>
          <cell r="F252">
            <v>0</v>
          </cell>
          <cell r="G252">
            <v>0</v>
          </cell>
        </row>
        <row r="253">
          <cell r="A253" t="str">
            <v>BDB-000249</v>
          </cell>
          <cell r="B253" t="str">
            <v>OrthoLite HybridPlus-Recycled MINT GREEN/11-4805TPX BUN(HYBRIDPLS-RECYCLED) 0.12D 25+/-4 Asker C 1.1M 1.47M 160mm</v>
          </cell>
          <cell r="C253" t="str">
            <v>MINT GREEN</v>
          </cell>
          <cell r="E253">
            <v>0</v>
          </cell>
          <cell r="F253">
            <v>0</v>
          </cell>
          <cell r="G253">
            <v>0</v>
          </cell>
        </row>
        <row r="254">
          <cell r="A254" t="str">
            <v>BDB-000250</v>
          </cell>
          <cell r="B254" t="str">
            <v>OrthoLite X-40 CASTLEROCK/18-0201TPX BUN(X40-HYBRID) 0.16D 25+/-4 Asker C 1.1M 1.7M 160mm</v>
          </cell>
          <cell r="C254" t="str">
            <v>CASTLEROCK</v>
          </cell>
          <cell r="E254">
            <v>0</v>
          </cell>
          <cell r="F254">
            <v>0</v>
          </cell>
          <cell r="G254">
            <v>0</v>
          </cell>
        </row>
        <row r="255">
          <cell r="A255" t="str">
            <v>BDB-000251</v>
          </cell>
          <cell r="B255" t="str">
            <v>OrthoLite X-40 BILLIARD/16-5427TPX BUN(X40) 0.16D 25+/-4 Asker C 1.1M 1.7M 160mm</v>
          </cell>
          <cell r="C255" t="str">
            <v>BILLIARD</v>
          </cell>
          <cell r="E255">
            <v>0</v>
          </cell>
          <cell r="F255">
            <v>0</v>
          </cell>
          <cell r="G255">
            <v>0</v>
          </cell>
        </row>
        <row r="256">
          <cell r="A256" t="str">
            <v>BDB-000252</v>
          </cell>
          <cell r="B256" t="str">
            <v>OrthoLite X-35-Hybrid (ONLY 20% Recycled PU Powder)  AMAZON/18-6024TPX BUN(X35-HYBRID) 0.145D 25+/-4 Asker C 1.1M 2M 160mm</v>
          </cell>
          <cell r="C256" t="str">
            <v>AMAZON</v>
          </cell>
          <cell r="E256">
            <v>0</v>
          </cell>
          <cell r="F256">
            <v>0</v>
          </cell>
          <cell r="G256">
            <v>0</v>
          </cell>
        </row>
        <row r="257">
          <cell r="A257" t="str">
            <v>BDB-000253</v>
          </cell>
          <cell r="B257" t="str">
            <v>OrthoLite X-40-Nike TRUE BLUE/19-4057TPX BUN(X40) 0.16D 25+/-4 Asker C 1.1M 1.7M 160mm</v>
          </cell>
          <cell r="C257" t="str">
            <v>TRUE BLUE</v>
          </cell>
          <cell r="E257">
            <v>0</v>
          </cell>
          <cell r="F257">
            <v>0</v>
          </cell>
          <cell r="G257">
            <v>0</v>
          </cell>
        </row>
        <row r="258">
          <cell r="A258" t="str">
            <v>BDB-000254</v>
          </cell>
          <cell r="B258" t="str">
            <v>OrthoLite Regular SEEDPEARL/12-0703TPX BUN(REG) 0.15D 45+/-4 Asker C 1.1M 1.7M 160mm</v>
          </cell>
          <cell r="C258" t="str">
            <v>SEEDPEARL</v>
          </cell>
          <cell r="E258">
            <v>0</v>
          </cell>
          <cell r="F258">
            <v>0</v>
          </cell>
          <cell r="G258">
            <v>0</v>
          </cell>
        </row>
        <row r="259">
          <cell r="A259" t="str">
            <v>BDB-000255</v>
          </cell>
          <cell r="B259" t="str">
            <v>OrthoLite Regular GREY/17-1501TPX BUN(REG) 0.15D 45+/-4 Asker C 1.1M 1.7M 160mm</v>
          </cell>
          <cell r="C259" t="str">
            <v>GREY</v>
          </cell>
          <cell r="D259">
            <v>3</v>
          </cell>
          <cell r="E259">
            <v>0</v>
          </cell>
          <cell r="F259">
            <v>0</v>
          </cell>
          <cell r="G259">
            <v>3</v>
          </cell>
        </row>
        <row r="260">
          <cell r="A260" t="str">
            <v>BDB-000256</v>
          </cell>
          <cell r="B260" t="str">
            <v>OrthoLite Regular LIME GREEN/14-0452TPX BUN(REG) 0.15D 45+/-4 Asker C 1.1M 1.7M 160mm</v>
          </cell>
          <cell r="C260" t="str">
            <v>LIME GREEN</v>
          </cell>
          <cell r="E260">
            <v>0</v>
          </cell>
          <cell r="F260">
            <v>0</v>
          </cell>
          <cell r="G260">
            <v>0</v>
          </cell>
        </row>
        <row r="261">
          <cell r="A261" t="str">
            <v>BDB-000257</v>
          </cell>
          <cell r="B261" t="str">
            <v>OrthoLite Regular FOSSIL/17-0909TPX BUN(REG) 0.15D 45+/-4 Asker C 1.1M 1.7M 160mm</v>
          </cell>
          <cell r="C261" t="str">
            <v>FOSSIL</v>
          </cell>
          <cell r="E261">
            <v>0</v>
          </cell>
          <cell r="F261">
            <v>0</v>
          </cell>
          <cell r="G261">
            <v>0</v>
          </cell>
        </row>
        <row r="262">
          <cell r="A262" t="str">
            <v>BDB-000258</v>
          </cell>
          <cell r="B262" t="str">
            <v>OrthoLite Eco LT-Hybrid LIME GREEN/14-0452TPX BUN(ECOLT-HYBRID) 0.13D 35+/-4 Asker C 1.1M 1.7M 160mm</v>
          </cell>
          <cell r="C262" t="str">
            <v>LIME GREEN</v>
          </cell>
          <cell r="E262">
            <v>0</v>
          </cell>
          <cell r="F262">
            <v>0</v>
          </cell>
          <cell r="G262">
            <v>0</v>
          </cell>
        </row>
        <row r="263">
          <cell r="A263" t="str">
            <v>BDB-000259</v>
          </cell>
          <cell r="B263" t="str">
            <v>OrthoLite X-35-Hybrid (ONLY 20% Recycled)GLACIER GRAY/14-4102TPX 0.145D 25+/-4 Asker C 1.1M 2M 160mm</v>
          </cell>
          <cell r="C263" t="str">
            <v>GLACIER GRAY</v>
          </cell>
          <cell r="E263">
            <v>0</v>
          </cell>
          <cell r="F263">
            <v>0</v>
          </cell>
          <cell r="G263">
            <v>0</v>
          </cell>
        </row>
        <row r="264">
          <cell r="A264" t="str">
            <v>BDB-000260</v>
          </cell>
          <cell r="B264" t="str">
            <v>OrthoLite Eco LT AIR BLUE/16-4134TPX BUN(ECOLT) 0.13D 35+/-4 Asker C 1.1M 2M 160mm</v>
          </cell>
          <cell r="C264" t="str">
            <v>AIR BLUE</v>
          </cell>
          <cell r="E264">
            <v>0</v>
          </cell>
          <cell r="F264">
            <v>0</v>
          </cell>
          <cell r="G264">
            <v>0</v>
          </cell>
        </row>
        <row r="265">
          <cell r="A265" t="str">
            <v>BDB-000261</v>
          </cell>
          <cell r="B265" t="str">
            <v>OrthoLite Regular-Hybrid SEEDPEARL/12-0703TPX BUN(REG-HYBRID) 0.11D 5-10 Asker C 1.1M 2M 160mm</v>
          </cell>
          <cell r="C265" t="str">
            <v>SEEDPEARL</v>
          </cell>
          <cell r="E265">
            <v>0</v>
          </cell>
          <cell r="F265">
            <v>0</v>
          </cell>
          <cell r="G265">
            <v>0</v>
          </cell>
        </row>
        <row r="266">
          <cell r="A266" t="str">
            <v>BDB-000262</v>
          </cell>
          <cell r="B266" t="str">
            <v>OrthoLite Ultra-Hybrid SEEDPEARL/12-0703TPX BUN(ULITE) 0.085D 78-90 Asker F 1.1M 2M 160mm</v>
          </cell>
          <cell r="C266" t="str">
            <v>SEEDPEARL</v>
          </cell>
          <cell r="E266">
            <v>0</v>
          </cell>
          <cell r="F266">
            <v>0</v>
          </cell>
          <cell r="G266">
            <v>0</v>
          </cell>
        </row>
        <row r="267">
          <cell r="A267" t="str">
            <v>BDB-000263</v>
          </cell>
          <cell r="B267" t="str">
            <v>OrthoLite Regular GREY/17-1501TPX BUN(REG) 0.13D 15+/-4 Asker C 1.2M 2M 160mm</v>
          </cell>
          <cell r="C267" t="str">
            <v>GREY</v>
          </cell>
          <cell r="E267">
            <v>0</v>
          </cell>
          <cell r="F267">
            <v>0</v>
          </cell>
          <cell r="G267">
            <v>0</v>
          </cell>
        </row>
        <row r="268">
          <cell r="A268" t="str">
            <v>BDB-000264</v>
          </cell>
          <cell r="B268" t="str">
            <v>OrthoLite Ultra YELLOW/13-0858TPX BUN(ULITE) 0.085D 25+/-4 Asker C 1.1M 1.47M 160mm</v>
          </cell>
          <cell r="C268" t="str">
            <v>YELLOW</v>
          </cell>
          <cell r="E268">
            <v>5</v>
          </cell>
          <cell r="F268">
            <v>5</v>
          </cell>
          <cell r="G268">
            <v>0</v>
          </cell>
        </row>
        <row r="269">
          <cell r="A269" t="str">
            <v>BDB-000265</v>
          </cell>
          <cell r="B269" t="str">
            <v>OrthoLite Ultra-Hybrid NINE IRON/19-3908TPX BUN(ULITE-HYBRID) 0.085D 25+/-4 Asker C 1.1M 2M 160mm</v>
          </cell>
          <cell r="C269" t="str">
            <v>NINE IRON</v>
          </cell>
          <cell r="E269">
            <v>0</v>
          </cell>
          <cell r="F269">
            <v>0</v>
          </cell>
          <cell r="G269">
            <v>0</v>
          </cell>
        </row>
        <row r="270">
          <cell r="A270" t="str">
            <v>BDB-000266</v>
          </cell>
          <cell r="B270" t="str">
            <v>OrthoLite Regular BLACK/19-4007TPX BUN(REG) 0.15D 45+/-4 Asker C 1.1M 1.7M 160mm</v>
          </cell>
          <cell r="C270" t="str">
            <v>BLACK</v>
          </cell>
          <cell r="E270">
            <v>0</v>
          </cell>
          <cell r="F270">
            <v>0</v>
          </cell>
          <cell r="G270">
            <v>0</v>
          </cell>
        </row>
        <row r="271">
          <cell r="A271" t="str">
            <v>BDB-000267</v>
          </cell>
          <cell r="B271" t="str">
            <v>Ortholite R&amp;R SEEDPEARL/12-0703TPX BUN(R&amp;R) 0.16D 15+/-4 Asker C 1.1M 1.7M 160mm</v>
          </cell>
          <cell r="C271" t="str">
            <v>SEEDPEARL</v>
          </cell>
          <cell r="E271">
            <v>0</v>
          </cell>
          <cell r="F271">
            <v>0</v>
          </cell>
          <cell r="G271">
            <v>0</v>
          </cell>
        </row>
        <row r="272">
          <cell r="A272" t="str">
            <v>BDB-000268</v>
          </cell>
          <cell r="B272" t="str">
            <v>OrthoLite X-35 TRUE BLUE/19-4057TPX BUN(X35) 0.145D 25+/-4 Asker C 1.1M 2M 160mm</v>
          </cell>
          <cell r="C272" t="str">
            <v>TRUE BLUE</v>
          </cell>
          <cell r="E272">
            <v>0</v>
          </cell>
          <cell r="F272">
            <v>0</v>
          </cell>
          <cell r="G272">
            <v>0</v>
          </cell>
        </row>
        <row r="273">
          <cell r="A273" t="str">
            <v>BDB-000269</v>
          </cell>
          <cell r="B273" t="str">
            <v>OrthoLite ECO FAIRWAY/18-6320TPX BUN(ECO) 0.13D 25+/-4 Asker C 1.1M 2M 160mm</v>
          </cell>
          <cell r="C273" t="str">
            <v>FAIRWAY</v>
          </cell>
          <cell r="E273">
            <v>0</v>
          </cell>
          <cell r="F273">
            <v>0</v>
          </cell>
          <cell r="G273">
            <v>0</v>
          </cell>
        </row>
        <row r="274">
          <cell r="A274" t="str">
            <v>BDB-000270</v>
          </cell>
          <cell r="B274" t="str">
            <v>OrthoLite X-40 FOSSIL/17-0909TPX BUN(X40) 0.16D 25+/-4 Asker C 1.1M 1.7M 160mm</v>
          </cell>
          <cell r="C274" t="str">
            <v>FOSSIL</v>
          </cell>
          <cell r="E274">
            <v>0</v>
          </cell>
          <cell r="F274">
            <v>0</v>
          </cell>
          <cell r="G274">
            <v>0</v>
          </cell>
        </row>
        <row r="275">
          <cell r="A275" t="str">
            <v>BDB-000271</v>
          </cell>
          <cell r="B275" t="str">
            <v>OrthoLite X-40 CASTLEROCK/18-0201TPX BUN(X40) 0.16D 35+/-4 Asker C 1.1M 1.7M 160mm</v>
          </cell>
          <cell r="C275" t="str">
            <v>CASTLEROCK</v>
          </cell>
          <cell r="E275">
            <v>0</v>
          </cell>
          <cell r="F275">
            <v>0</v>
          </cell>
          <cell r="G275">
            <v>0</v>
          </cell>
        </row>
        <row r="276">
          <cell r="A276" t="str">
            <v>BDB-000272</v>
          </cell>
          <cell r="B276" t="str">
            <v>OrthoLite Ultra BLACK/19-4007TPX BUN(REG) 0.085D 25+/-4 Asker C 1.1M 2M 160mm</v>
          </cell>
          <cell r="C276" t="str">
            <v>BLACK</v>
          </cell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BDB-000273</v>
          </cell>
          <cell r="B277" t="str">
            <v>OrthoLite X-40-Hybrid SEEDPEARL/12-0703TPX BUN(X40-HYBRID) 0.16D 25+/-4 Asker C 1.1M 2M 160mm</v>
          </cell>
          <cell r="C277" t="str">
            <v>SEEDPEARL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</row>
        <row r="278">
          <cell r="A278" t="str">
            <v>BDB-000274</v>
          </cell>
          <cell r="B278" t="str">
            <v>Ortholite Lazy YELLOW/13-0858TPX BUN(LAZY) 0.15D 72-78 Asker F 1.1M 1.7M 160mm</v>
          </cell>
          <cell r="C278" t="str">
            <v>YELLOW</v>
          </cell>
          <cell r="D278">
            <v>7</v>
          </cell>
          <cell r="E278">
            <v>0</v>
          </cell>
          <cell r="F278">
            <v>0</v>
          </cell>
          <cell r="G278">
            <v>7</v>
          </cell>
        </row>
        <row r="279">
          <cell r="A279" t="str">
            <v>BDB-000275</v>
          </cell>
          <cell r="B279" t="str">
            <v>OrthoLite Regular RED/19-1764TPX BUN(REG) 0.15D 45+/-4 Asker C 1.1M 1.7M 160mm</v>
          </cell>
          <cell r="C279" t="str">
            <v>RED</v>
          </cell>
          <cell r="D279">
            <v>1</v>
          </cell>
          <cell r="E279">
            <v>0</v>
          </cell>
          <cell r="F279">
            <v>0</v>
          </cell>
          <cell r="G279">
            <v>1</v>
          </cell>
        </row>
        <row r="280">
          <cell r="A280" t="str">
            <v>BDB-000276</v>
          </cell>
          <cell r="B280" t="str">
            <v>OrthoLite X-25 BILLIARD/16-5427TPX BUN(X25) 0.12D 20+/-4 Asker C 1.1M 1.7M 160mm</v>
          </cell>
          <cell r="C280" t="str">
            <v>BILLIARD</v>
          </cell>
          <cell r="E280">
            <v>0</v>
          </cell>
          <cell r="F280">
            <v>0</v>
          </cell>
          <cell r="G280">
            <v>0</v>
          </cell>
        </row>
        <row r="281">
          <cell r="A281" t="str">
            <v>BDB-000277</v>
          </cell>
          <cell r="B281" t="str">
            <v>OrthoLite X-35 AIR BLUE/16-4134TPX BUN(X35) 0.145D 25+/-4 Asker C 1.1M 2M 160mm</v>
          </cell>
          <cell r="C281" t="str">
            <v>AIR BLUE</v>
          </cell>
          <cell r="E281">
            <v>0</v>
          </cell>
          <cell r="F281">
            <v>0</v>
          </cell>
          <cell r="G281">
            <v>0</v>
          </cell>
        </row>
        <row r="282">
          <cell r="A282" t="str">
            <v>BDB-000278</v>
          </cell>
          <cell r="B282" t="str">
            <v>OrthoLite X-40 SEEDPEARL/12-0703TPX BUN(X40) 0.16D 35+/-4 Asker C 1.1M 1.7M 160mm</v>
          </cell>
          <cell r="C282" t="str">
            <v>SEEDPEARL</v>
          </cell>
          <cell r="E282">
            <v>0</v>
          </cell>
          <cell r="F282">
            <v>0</v>
          </cell>
          <cell r="G282">
            <v>0</v>
          </cell>
        </row>
        <row r="283">
          <cell r="A283" t="str">
            <v>BDB-000279</v>
          </cell>
          <cell r="B283" t="str">
            <v>OrthoLite X-40-Hybrid NEUTRAL GRAY/17-4402TPX BUN(X40-HYBRID) 0.16D 35+/-4 Asker C 1.1M 1.7M 160mm</v>
          </cell>
          <cell r="C283" t="str">
            <v>NEUTRAL GRAY</v>
          </cell>
          <cell r="D283">
            <v>1</v>
          </cell>
          <cell r="E283">
            <v>0</v>
          </cell>
          <cell r="F283">
            <v>0</v>
          </cell>
          <cell r="G283">
            <v>1</v>
          </cell>
        </row>
        <row r="284">
          <cell r="A284" t="str">
            <v>BDB-000280</v>
          </cell>
          <cell r="B284" t="str">
            <v>OrthoLite X-40-Hybrid YELLOW/13-0858TPX BUN(X40-HYBRID) 0.16D 25+/-4 Asker C 1.1M 1.7M 160mm</v>
          </cell>
          <cell r="C284" t="str">
            <v>YELLOW</v>
          </cell>
          <cell r="E284">
            <v>0</v>
          </cell>
          <cell r="F284">
            <v>0</v>
          </cell>
          <cell r="G284">
            <v>0</v>
          </cell>
        </row>
        <row r="285">
          <cell r="A285" t="str">
            <v>BDB-000281</v>
          </cell>
          <cell r="B285" t="str">
            <v>OrthoLite X-40-Hybrid GREY/17-1501TPX BUN(X40-HYBRID) 0.16D 25+/-4 Asker C 1.1M 1.7M 160mm</v>
          </cell>
          <cell r="C285" t="str">
            <v>GREY</v>
          </cell>
          <cell r="E285">
            <v>0</v>
          </cell>
          <cell r="F285">
            <v>0</v>
          </cell>
          <cell r="G285">
            <v>0</v>
          </cell>
        </row>
        <row r="286">
          <cell r="A286" t="str">
            <v>BDB-000282</v>
          </cell>
          <cell r="B286" t="str">
            <v>OrthoLite X-40-Hybrid SEEDPEARL/12-0703TPX BUN(X40-HYBRID) 0.16D 35+/-4 Asker C 1.1M 2M 160mm</v>
          </cell>
          <cell r="C286" t="str">
            <v>SEEDPEARL</v>
          </cell>
          <cell r="D286">
            <v>12</v>
          </cell>
          <cell r="E286">
            <v>0</v>
          </cell>
          <cell r="F286">
            <v>0</v>
          </cell>
          <cell r="G286">
            <v>12</v>
          </cell>
        </row>
        <row r="287">
          <cell r="A287" t="str">
            <v>BDB-000283</v>
          </cell>
          <cell r="B287" t="str">
            <v>OrthoLite Regular-Hybrid SEEDPEARL/12-0703TPX BUN(REG-HYBRID) 0.11D 15+/-4 Asker C 1.1M 2M 160mm</v>
          </cell>
          <cell r="C287" t="str">
            <v>SEEDPEARL</v>
          </cell>
          <cell r="E287">
            <v>0</v>
          </cell>
          <cell r="F287">
            <v>0</v>
          </cell>
          <cell r="G287">
            <v>0</v>
          </cell>
        </row>
        <row r="288">
          <cell r="A288" t="str">
            <v>BDB-000284</v>
          </cell>
          <cell r="B288" t="str">
            <v>Ortholite Lazy YELLOW/13-0858TPX BUN(LAZY) 0.15D 72-78 Asker F 1.1M 1.47M 160mm</v>
          </cell>
          <cell r="C288" t="str">
            <v>YELLOW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</row>
        <row r="289">
          <cell r="A289" t="str">
            <v>BDB-000285</v>
          </cell>
          <cell r="B289" t="str">
            <v>OrthoLite X-55-Hybrid FOSSIL/17-0909TPX BUN(55-HYBRID) 0.16D 25+/-4 Asker C 1.1M 1.47M 160mm</v>
          </cell>
          <cell r="C289" t="str">
            <v>FOSSIL</v>
          </cell>
          <cell r="E289">
            <v>0</v>
          </cell>
          <cell r="F289">
            <v>0</v>
          </cell>
          <cell r="G289">
            <v>0</v>
          </cell>
        </row>
        <row r="290">
          <cell r="A290" t="str">
            <v>BDB-000286</v>
          </cell>
          <cell r="B290" t="str">
            <v>OrthoLite Regular-Hybrid SEEDPEARL/12-0703TPX Hybrid Flat Sheet 0.13D 25+/-4 Asker C 1.1M 1.7M 3mm</v>
          </cell>
          <cell r="C290" t="str">
            <v>SEEDPEARL</v>
          </cell>
          <cell r="D290">
            <v>2</v>
          </cell>
          <cell r="E290">
            <v>0</v>
          </cell>
          <cell r="F290">
            <v>0</v>
          </cell>
          <cell r="G290">
            <v>2</v>
          </cell>
        </row>
        <row r="291">
          <cell r="A291" t="str">
            <v>BDB-000287</v>
          </cell>
          <cell r="B291" t="str">
            <v>OrthoLite Regular YELLOW/13-0858TPX Flat Sheet 0.15D 45+/-4 Asker C 1.1M 1.7M 5mm</v>
          </cell>
          <cell r="C291" t="str">
            <v>YELLOW</v>
          </cell>
          <cell r="E291">
            <v>0</v>
          </cell>
          <cell r="F291">
            <v>0</v>
          </cell>
          <cell r="G291">
            <v>0</v>
          </cell>
        </row>
        <row r="292">
          <cell r="A292" t="str">
            <v>BDB-000288</v>
          </cell>
          <cell r="B292" t="str">
            <v>OrthoLite Regular-Nike GREY/17-1501TPX BUN(REG-NIKE) 0.13D 35+/-4 Asker C 1.1M 2M 160mm</v>
          </cell>
          <cell r="C292" t="str">
            <v>GREY</v>
          </cell>
          <cell r="E292">
            <v>0</v>
          </cell>
          <cell r="F292">
            <v>0</v>
          </cell>
          <cell r="G292">
            <v>0</v>
          </cell>
        </row>
        <row r="293">
          <cell r="A293" t="str">
            <v>BDB-000289</v>
          </cell>
          <cell r="B293" t="str">
            <v>OrthoLite X-35-Hybrid FOSSIL/17-0909TPX BUN(X35-HYBRID) 0.145D 25+/-4 Asker C 1.1M 1.7M 160mm</v>
          </cell>
          <cell r="C293" t="str">
            <v>FOSSIL</v>
          </cell>
          <cell r="E293">
            <v>0</v>
          </cell>
          <cell r="F293">
            <v>0</v>
          </cell>
          <cell r="G293">
            <v>0</v>
          </cell>
        </row>
        <row r="294">
          <cell r="A294" t="str">
            <v>BDB-000290</v>
          </cell>
          <cell r="B294" t="str">
            <v>OrthoLite X-40-Hybrid TRUE BLUE/19-4057TPX BUN(X40-HYBRID) 0.16D 25+/-4 Asker C 1.1M 1.7M 160mm</v>
          </cell>
          <cell r="C294" t="str">
            <v>TRUE BLUE</v>
          </cell>
          <cell r="E294">
            <v>0</v>
          </cell>
          <cell r="F294">
            <v>0</v>
          </cell>
          <cell r="G294">
            <v>0</v>
          </cell>
        </row>
        <row r="295">
          <cell r="A295" t="str">
            <v>BDB-000291</v>
          </cell>
          <cell r="B295" t="str">
            <v>OrthoLite Regular NEUTRAL GRAY/17-4402TPX BUN(REG) 0.15D 45+/-4 Asker C 1.1M 1.7M 160mm</v>
          </cell>
          <cell r="C295" t="str">
            <v>TRUE BLUE</v>
          </cell>
          <cell r="E295">
            <v>0</v>
          </cell>
          <cell r="F295">
            <v>0</v>
          </cell>
          <cell r="G295">
            <v>0</v>
          </cell>
        </row>
        <row r="296">
          <cell r="A296" t="str">
            <v>BDB-000292</v>
          </cell>
          <cell r="B296" t="str">
            <v>OrthoLite X-40 FOSSIL/17-0909TPX BUN(X40) 0.16D 25+/-4 Asker C 1.1M 1.47M 160mm</v>
          </cell>
          <cell r="C296" t="str">
            <v xml:space="preserve"> NEUTRAL GRAY</v>
          </cell>
          <cell r="E296">
            <v>0</v>
          </cell>
          <cell r="F296">
            <v>0</v>
          </cell>
          <cell r="G296">
            <v>0</v>
          </cell>
        </row>
        <row r="297">
          <cell r="A297" t="str">
            <v>BDB-000293</v>
          </cell>
          <cell r="B297" t="str">
            <v>Ortholite Lazy SEEDPEARL/12-0703TPX BUN(LAZY) 0.15D 72-78 Asker F 1.1M 1.7M 160mm</v>
          </cell>
          <cell r="C297" t="str">
            <v>SEEDPEARL</v>
          </cell>
          <cell r="E297">
            <v>0</v>
          </cell>
          <cell r="F297">
            <v>0</v>
          </cell>
          <cell r="G297">
            <v>0</v>
          </cell>
        </row>
        <row r="298">
          <cell r="A298" t="str">
            <v>BDB-000294</v>
          </cell>
          <cell r="B298" t="str">
            <v>OrthoLite Ultra AIR BLUE/16-4134TPX BUN(ULITE) 0.085D 5-10 Asker C 1.1M 2M 160mm</v>
          </cell>
          <cell r="C298" t="str">
            <v>AIR BLUE</v>
          </cell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BDB-000295</v>
          </cell>
          <cell r="B299" t="str">
            <v>OrthoLite Regular-Hybrid-Nike GREY/17-1501TPX 0.11D 25+/-4 Asker C 1.1M 1.7M 160mm</v>
          </cell>
          <cell r="C299" t="str">
            <v>GREY</v>
          </cell>
          <cell r="E299">
            <v>0</v>
          </cell>
          <cell r="F299">
            <v>0</v>
          </cell>
          <cell r="G299">
            <v>0</v>
          </cell>
        </row>
        <row r="300">
          <cell r="A300" t="str">
            <v>BDB-000296</v>
          </cell>
          <cell r="B300" t="str">
            <v>OrthoLite Regular-Nike GREY/17-1501TPX BUN(REG-NIKE) 0.15D 45+/-4 Asker C 1.1M 1.7M 160mm</v>
          </cell>
          <cell r="C300" t="str">
            <v>GREY</v>
          </cell>
          <cell r="E300">
            <v>0</v>
          </cell>
          <cell r="F300">
            <v>0</v>
          </cell>
          <cell r="G300">
            <v>0</v>
          </cell>
        </row>
        <row r="301">
          <cell r="A301" t="str">
            <v>BDB-000297</v>
          </cell>
          <cell r="B301" t="str">
            <v>OrthoLite Ultra-Hybrid GREEN/16-5932TPX BUN(ULITE) 0.085D 15+/-4 Asker C 1.1M 2M 160mm</v>
          </cell>
          <cell r="C301" t="str">
            <v>GREEN</v>
          </cell>
          <cell r="E301">
            <v>0</v>
          </cell>
          <cell r="F301">
            <v>0</v>
          </cell>
          <cell r="G301">
            <v>0</v>
          </cell>
        </row>
        <row r="302">
          <cell r="A302" t="str">
            <v>BDB-000298</v>
          </cell>
          <cell r="B302" t="str">
            <v>OrthoLite Regular AIR BLUE/16-4134TPX BUN(REG) 0.15D 45+/-4 Asker C 1.1M 1.7M 160mm</v>
          </cell>
          <cell r="C302" t="str">
            <v>AIR BLUE</v>
          </cell>
          <cell r="E302">
            <v>0</v>
          </cell>
          <cell r="F302">
            <v>0</v>
          </cell>
          <cell r="G302">
            <v>0</v>
          </cell>
        </row>
        <row r="303">
          <cell r="A303" t="str">
            <v>BDB-000299</v>
          </cell>
          <cell r="B303" t="str">
            <v>OrthoLite Regular-Hybrid SEEDPEARL/12-0703TPX BUN(REG-HYBRID) 0.13D 25+/-4 Asker C 1.1M 1.47M 160mm</v>
          </cell>
          <cell r="C303" t="str">
            <v xml:space="preserve"> SEEDPEARL</v>
          </cell>
          <cell r="E303">
            <v>0</v>
          </cell>
          <cell r="F303">
            <v>0</v>
          </cell>
          <cell r="G303">
            <v>0</v>
          </cell>
        </row>
        <row r="304">
          <cell r="A304" t="str">
            <v>BDB-000300</v>
          </cell>
          <cell r="B304" t="str">
            <v>OrthoLite Ultra-Nike SEEDPEARL/12-0703TPX BUN(ULITE-NIKE) 0.085D 25+/-4 Asker C 1.1M 1.7M 160mm</v>
          </cell>
          <cell r="C304" t="str">
            <v xml:space="preserve"> SEEDPEARL</v>
          </cell>
          <cell r="E304">
            <v>0</v>
          </cell>
          <cell r="F304">
            <v>0</v>
          </cell>
          <cell r="G304">
            <v>0</v>
          </cell>
        </row>
        <row r="305">
          <cell r="A305" t="str">
            <v>BDB-000301</v>
          </cell>
          <cell r="B305" t="str">
            <v>OrthoLite Regular NEUTRAL GRAY/17-4402TPX BUN(REG) 0.13D 35+/-4 Asker C 1.1M 2M 160mm</v>
          </cell>
          <cell r="C305" t="str">
            <v xml:space="preserve"> NEUTRAL GRAY</v>
          </cell>
          <cell r="E305">
            <v>0</v>
          </cell>
          <cell r="F305">
            <v>0</v>
          </cell>
          <cell r="G305">
            <v>0</v>
          </cell>
        </row>
        <row r="306">
          <cell r="A306" t="str">
            <v>BDB-000302</v>
          </cell>
          <cell r="B306" t="str">
            <v>OrthoLite Regular-Nike GREY/17-1501TPX BUN(REG-NIKE) 0.11D 25+/-4 Asker C 1.1M 1.7M 160mm</v>
          </cell>
          <cell r="C306" t="str">
            <v>GREY</v>
          </cell>
          <cell r="E306">
            <v>0</v>
          </cell>
          <cell r="F306">
            <v>0</v>
          </cell>
          <cell r="G306">
            <v>0</v>
          </cell>
        </row>
        <row r="307">
          <cell r="A307" t="str">
            <v>BDB-000303</v>
          </cell>
          <cell r="B307" t="str">
            <v>OrthoLite Regular-Hybrid-Nike SEEDPEARL/12-0703TPX 0.12D 25+/-4 Asker C 1.1M 2M 160mm</v>
          </cell>
          <cell r="C307" t="str">
            <v xml:space="preserve"> SEEDPEARL</v>
          </cell>
          <cell r="E307">
            <v>0</v>
          </cell>
          <cell r="F307">
            <v>0</v>
          </cell>
          <cell r="G307">
            <v>0</v>
          </cell>
        </row>
        <row r="308">
          <cell r="A308" t="str">
            <v>BDB-000304</v>
          </cell>
          <cell r="B308" t="str">
            <v>OrthoLite Regular-Hybrid LIME GREEN/14-0452TPX BUN(REG-HYBRID) 0.11D 25+/-4 Asker C 1.1M 2M 160mm</v>
          </cell>
          <cell r="C308" t="str">
            <v>LIME GREEN</v>
          </cell>
          <cell r="E308">
            <v>0</v>
          </cell>
          <cell r="F308">
            <v>0</v>
          </cell>
          <cell r="G308">
            <v>0</v>
          </cell>
        </row>
        <row r="309">
          <cell r="A309" t="str">
            <v>BDB-000305</v>
          </cell>
          <cell r="B309" t="str">
            <v>OrthoLite X-35-Nike YELLOW/13-0858TPX BUN(X35-NIKE) 0.145D 25+/-4 Asker C 1.1M 2M 160mm</v>
          </cell>
          <cell r="C309" t="str">
            <v>YELLOW</v>
          </cell>
          <cell r="D309">
            <v>7</v>
          </cell>
          <cell r="E309">
            <v>0</v>
          </cell>
          <cell r="F309">
            <v>6</v>
          </cell>
          <cell r="G309">
            <v>1</v>
          </cell>
        </row>
        <row r="310">
          <cell r="A310" t="str">
            <v>BDB-000306</v>
          </cell>
          <cell r="B310" t="str">
            <v>OrthoLite Eco LT-Hybrid FOSSIL/17-0909TPX BUN(ECOLT-HYBRID) 0.13D 35+/-4 Asker C 1.1M 1.7M 160mm</v>
          </cell>
          <cell r="C310" t="str">
            <v>FOSSIL</v>
          </cell>
          <cell r="E310">
            <v>0</v>
          </cell>
          <cell r="F310">
            <v>0</v>
          </cell>
          <cell r="G310">
            <v>0</v>
          </cell>
        </row>
        <row r="311">
          <cell r="A311" t="str">
            <v>BDB-000307</v>
          </cell>
          <cell r="B311" t="str">
            <v>OrthoLite X-35 SEEDPEARL/12-0703TPX Hybrid Flat Sheet 0.145D 25+/-4 Asker C 1.1M 2M 3mm</v>
          </cell>
          <cell r="C311" t="str">
            <v xml:space="preserve"> SEEDPEARL</v>
          </cell>
          <cell r="E311">
            <v>0</v>
          </cell>
          <cell r="F311">
            <v>0</v>
          </cell>
          <cell r="G311">
            <v>0</v>
          </cell>
        </row>
        <row r="312">
          <cell r="A312" t="str">
            <v>BDB-000308</v>
          </cell>
          <cell r="B312" t="str">
            <v>OrthoLite X-30 CASTLEROCK/18-0201TPX Flat Sheet 0.13D 25+/-4 Asker C 1.1M 1.47M 12mm</v>
          </cell>
          <cell r="C312" t="str">
            <v>CASTLEROCK</v>
          </cell>
          <cell r="E312">
            <v>0</v>
          </cell>
          <cell r="F312">
            <v>0</v>
          </cell>
          <cell r="G312">
            <v>0</v>
          </cell>
        </row>
        <row r="313">
          <cell r="A313" t="str">
            <v>BDB-000309</v>
          </cell>
          <cell r="B313" t="str">
            <v>OrthoLite X-40-Hybrid NEUTRAL GRAY/17-4402TPX BUN(X40-HYBRID) 0.16D 35+/-4 Asker C 1.1M 2M 160mm</v>
          </cell>
          <cell r="C313" t="str">
            <v>NEUTRAL GRAY</v>
          </cell>
          <cell r="D313">
            <v>1</v>
          </cell>
          <cell r="E313">
            <v>0</v>
          </cell>
          <cell r="F313">
            <v>0</v>
          </cell>
          <cell r="G313">
            <v>1</v>
          </cell>
        </row>
        <row r="314">
          <cell r="A314" t="str">
            <v>BDB-000310</v>
          </cell>
          <cell r="B314" t="str">
            <v>OrthoLite X-40-Hybrid RED/19-1764TPX BUN(X40-HYBRID) 0.16D 25+/-4 Asker C 1.1M 2M 160mm</v>
          </cell>
          <cell r="C314" t="str">
            <v>RED</v>
          </cell>
          <cell r="E314">
            <v>0</v>
          </cell>
          <cell r="F314">
            <v>0</v>
          </cell>
          <cell r="G314">
            <v>0</v>
          </cell>
        </row>
        <row r="315">
          <cell r="A315" t="str">
            <v>BDB-000311</v>
          </cell>
          <cell r="B315" t="str">
            <v>OrthoLite Regular SEEDPEARL/12-0703TPX Flat Sheet 0.11D 15+/-4 Asker C 1.1M 2M 24mm</v>
          </cell>
          <cell r="C315" t="str">
            <v xml:space="preserve"> SEEDPEARL</v>
          </cell>
          <cell r="E315">
            <v>0</v>
          </cell>
          <cell r="F315">
            <v>0</v>
          </cell>
          <cell r="G315">
            <v>0</v>
          </cell>
        </row>
        <row r="316">
          <cell r="A316" t="str">
            <v>BDB-000312</v>
          </cell>
          <cell r="B316" t="str">
            <v>OrthoLite Eco LT-Hybrid SEEDPEARL/12-0703TPX Hybrid 0.13D 35+/-4 Asker C 1.1M 2M 3mm</v>
          </cell>
          <cell r="C316" t="str">
            <v xml:space="preserve"> SEEDPEARL</v>
          </cell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BDB-000313</v>
          </cell>
          <cell r="B317" t="str">
            <v>OrthoLite X-55 RED/19-1764TPX BUN(X55) 0.16D 25+/-4 Asker C 1.1M 1.47M 160mm</v>
          </cell>
          <cell r="C317" t="str">
            <v>RED</v>
          </cell>
          <cell r="E317">
            <v>3</v>
          </cell>
          <cell r="F317">
            <v>3</v>
          </cell>
          <cell r="G317">
            <v>0</v>
          </cell>
        </row>
        <row r="318">
          <cell r="A318" t="str">
            <v>BDB-000314</v>
          </cell>
          <cell r="B318" t="str">
            <v>OrthoLite Regular NEUTRAL GRAY/17-4402TPX BUN(REG) 0.16D 51+/-4 Asker C 1.1M 1.7M 160mm</v>
          </cell>
          <cell r="C318" t="str">
            <v xml:space="preserve"> NEUTRAL GRAY</v>
          </cell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BDB-000315</v>
          </cell>
          <cell r="B319" t="str">
            <v>OrthoLite Regular LIME GREEN/14-0452TPX BUN(REG) 0.11D 5-10 Asker C 1.1M 2M 160mm</v>
          </cell>
          <cell r="C319" t="str">
            <v>LIME GREEN</v>
          </cell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BDB-000316</v>
          </cell>
          <cell r="B320" t="str">
            <v>OrthoLite Float BILLIARD/16-5427TPX BUN(FLOAT) 0.12D 21+/-4 Asker C 1.1M 2M 160mm</v>
          </cell>
          <cell r="C320" t="str">
            <v>BILLIARD</v>
          </cell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BDB-000317</v>
          </cell>
          <cell r="B321" t="str">
            <v>OrthoLite Regular NEUTRAL GRAY/17-4402TPX BUN(REG) 0.13D 15+/-4 Asker C 1.1M 2M 160mm</v>
          </cell>
          <cell r="C321" t="str">
            <v>NEUTRAL GRAY</v>
          </cell>
          <cell r="D321">
            <v>1</v>
          </cell>
          <cell r="E321">
            <v>4</v>
          </cell>
          <cell r="F321">
            <v>4</v>
          </cell>
          <cell r="G321">
            <v>1</v>
          </cell>
        </row>
        <row r="322">
          <cell r="A322" t="str">
            <v>BDB-000318</v>
          </cell>
          <cell r="B322" t="str">
            <v>OrthoLite X-55 RED/19-1764TPX BUN(X55) 0.16D 25+/-4 Asker C 1.1M 2M 160mm</v>
          </cell>
          <cell r="C322" t="str">
            <v>RED</v>
          </cell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BDB-000319</v>
          </cell>
          <cell r="B323" t="str">
            <v>OrthoLite X-40-Hybrid-Nike SEEDPEARL/12-0703TPX BUN(X40-HYBRID-NIKE) 0.16D 25+/-4 Asker C 1.1M 2M 16</v>
          </cell>
          <cell r="C323" t="str">
            <v>SEEDPEARL</v>
          </cell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BDB-000320</v>
          </cell>
          <cell r="B324" t="str">
            <v>OrthoLite Regular AIR BLUE/16-4134TPX BUN(REG) 0.15D 45+/-4 Asker C 1.1M 2M 160mm</v>
          </cell>
          <cell r="C324" t="str">
            <v>AIR BLUE</v>
          </cell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BDB-000321</v>
          </cell>
          <cell r="B325" t="str">
            <v>OrthoLite Float BLUE ATOLL/16-4535TPX BUN(FLOAT) 0.12D 21+/-4 Asker C 1.1M 2M 160mm</v>
          </cell>
          <cell r="C325" t="str">
            <v>BLUE ATOLL</v>
          </cell>
          <cell r="D325">
            <v>2</v>
          </cell>
          <cell r="E325">
            <v>4</v>
          </cell>
          <cell r="F325">
            <v>4</v>
          </cell>
          <cell r="G325">
            <v>2</v>
          </cell>
        </row>
        <row r="326">
          <cell r="A326" t="str">
            <v>BDB-000322</v>
          </cell>
          <cell r="B326" t="str">
            <v>OrthoLite Regular BLACK/19-4007TPX BUN(REG) 0.16D 51+/-4 Asker C 1.1M 1.7M 160mm</v>
          </cell>
          <cell r="C326" t="str">
            <v>BLACK</v>
          </cell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BDB-000323</v>
          </cell>
          <cell r="B327" t="str">
            <v>OrthoLite Ultra-Nike YELLOW/13-0858TPX BUN(ULITE-NIKE) 0.085D 78-90 Asker F 1.1M 1.7M 160mm</v>
          </cell>
          <cell r="C327" t="str">
            <v>YELLOW</v>
          </cell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BDB-000324</v>
          </cell>
          <cell r="B328" t="str">
            <v>OrthoLite X-40 TRUE BLUE/19-4057TPX BUN(X40) 0.16D 25+/-4 Asker C 1.1M 2M 160mm</v>
          </cell>
          <cell r="C328" t="str">
            <v>TRUE BLUE</v>
          </cell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BDB-000325</v>
          </cell>
          <cell r="B329" t="str">
            <v>OrthoLite X-40 TRUE BLUE/19-4057TPX BUN(X40) 0.16D 35+/-4 Asker C 1.1M 2M 160mm</v>
          </cell>
          <cell r="C329" t="str">
            <v>TRUE BLUE</v>
          </cell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BDB-000326</v>
          </cell>
          <cell r="B330" t="str">
            <v>OrthoLite X-40 RED/19-1764TPX BUN(X40) 0.16D 25+/-4 Asker C 1.1M 2M 160mm</v>
          </cell>
          <cell r="C330" t="str">
            <v>RED</v>
          </cell>
          <cell r="E330">
            <v>0</v>
          </cell>
          <cell r="F330">
            <v>0</v>
          </cell>
          <cell r="G330">
            <v>0</v>
          </cell>
        </row>
        <row r="331">
          <cell r="A331" t="str">
            <v>BDB-000327</v>
          </cell>
          <cell r="B331" t="str">
            <v>OrthoLite X-35-Nike SEEDPEARL/12-0703TPX Flat Sheet 0.145D 25+/-4 Asker C 1.1M 2M 5mm</v>
          </cell>
          <cell r="C331" t="str">
            <v>SEEDPEARL</v>
          </cell>
          <cell r="E331">
            <v>0</v>
          </cell>
          <cell r="F331">
            <v>0</v>
          </cell>
          <cell r="G331">
            <v>0</v>
          </cell>
        </row>
        <row r="332">
          <cell r="A332" t="str">
            <v>BDB-000328</v>
          </cell>
          <cell r="B332" t="str">
            <v>OrthoLite X-40-Hybrid TRUE BLUE/19-4057TPX BUN(X40-HYBRID) 0.16D 25+/-4 Asker C 1.1M 2M 160mm</v>
          </cell>
          <cell r="C332" t="str">
            <v>TRUE BLUE</v>
          </cell>
          <cell r="E332">
            <v>0</v>
          </cell>
          <cell r="F332">
            <v>0</v>
          </cell>
          <cell r="G332">
            <v>0</v>
          </cell>
        </row>
        <row r="333">
          <cell r="A333" t="str">
            <v>BDB-000329</v>
          </cell>
          <cell r="B333" t="str">
            <v>Ortholite Ultra YELLOW/13-0858TPX BUN(ULITE) 0.095D 33+/-4 Asker C 1.1M 2M 160mm</v>
          </cell>
          <cell r="C333" t="str">
            <v>YELLOW</v>
          </cell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BDB-000330</v>
          </cell>
          <cell r="B334" t="str">
            <v>OrthoLite X-40 CASTLEROCK/18-0201TPX BUN(X40) 0.16D 25+/-4 Asker C 1.1M 2M 160mm</v>
          </cell>
          <cell r="C334" t="str">
            <v>CASTLEROCK</v>
          </cell>
          <cell r="E334">
            <v>0</v>
          </cell>
          <cell r="F334">
            <v>0</v>
          </cell>
          <cell r="G334">
            <v>0</v>
          </cell>
        </row>
        <row r="335">
          <cell r="A335" t="str">
            <v>BDB-000331</v>
          </cell>
          <cell r="B335" t="str">
            <v>OrthoLite X-35-Nike FOSSIL/17-0909TPX BUN(X35-NIKE) 0.145D 25+/-4 Asker C 1.1M 2M 160mm</v>
          </cell>
          <cell r="C335" t="str">
            <v>FOSSIL</v>
          </cell>
          <cell r="E335">
            <v>0</v>
          </cell>
          <cell r="F335">
            <v>0</v>
          </cell>
          <cell r="G335">
            <v>0</v>
          </cell>
        </row>
        <row r="336">
          <cell r="A336" t="str">
            <v>BDB-000332</v>
          </cell>
          <cell r="B336" t="str">
            <v>OrthoLite X-25 CASTLEROCK/18-0201TPX BUN(X25) 0.12D 20+/-4 Asker C 1.1M 2M 160mm</v>
          </cell>
          <cell r="C336" t="str">
            <v>CASTLEROCK</v>
          </cell>
          <cell r="D336">
            <v>3</v>
          </cell>
          <cell r="E336">
            <v>0</v>
          </cell>
          <cell r="F336">
            <v>0</v>
          </cell>
          <cell r="G336">
            <v>3</v>
          </cell>
        </row>
        <row r="337">
          <cell r="A337" t="str">
            <v>BDB-000333</v>
          </cell>
          <cell r="B337" t="str">
            <v>OrthoLite Ultra YELLOW/13-0858TPX BUN(ULITE) 0.085D 78-90 Asker F 1.1M 2M 160mm</v>
          </cell>
          <cell r="C337" t="str">
            <v>YELLOW</v>
          </cell>
          <cell r="E337">
            <v>0</v>
          </cell>
          <cell r="F337">
            <v>0</v>
          </cell>
          <cell r="G337">
            <v>0</v>
          </cell>
        </row>
        <row r="338">
          <cell r="A338" t="str">
            <v>BDB-000334</v>
          </cell>
          <cell r="B338" t="str">
            <v>OrthoLite X-55-Hybrid FOSSIL/17-0909TPX Hybrid Flat Sheet 0.16D 25+/-4 Asker C 1.1M 2M 5mm</v>
          </cell>
          <cell r="C338" t="str">
            <v>YELLOW</v>
          </cell>
          <cell r="E338">
            <v>0</v>
          </cell>
          <cell r="F338">
            <v>0</v>
          </cell>
          <cell r="G338">
            <v>0</v>
          </cell>
        </row>
        <row r="339">
          <cell r="A339" t="str">
            <v>BDB-000335</v>
          </cell>
          <cell r="B339" t="str">
            <v>OrthoLite Regular SEEDPEARL/12-0703TPX Flat Sheet 0.16D 51+/-4 Asker C 1.1M 1.7M 9.5mm</v>
          </cell>
          <cell r="C339" t="str">
            <v>SEEDPEARL</v>
          </cell>
          <cell r="D339">
            <v>5</v>
          </cell>
          <cell r="E339">
            <v>0</v>
          </cell>
          <cell r="F339">
            <v>0</v>
          </cell>
          <cell r="G339">
            <v>5</v>
          </cell>
        </row>
        <row r="340">
          <cell r="A340" t="str">
            <v>BDB-000336</v>
          </cell>
          <cell r="B340" t="str">
            <v>OrthoLite X-40-Nike SEEDPEARL/12-0703TPX BUN(X40-NIKE) 0.16D 35+/-4 Asker C 1.1M 2M 160mm</v>
          </cell>
          <cell r="C340" t="str">
            <v>SEEDPEARL</v>
          </cell>
          <cell r="E340">
            <v>0</v>
          </cell>
          <cell r="F340">
            <v>0</v>
          </cell>
          <cell r="G340">
            <v>0</v>
          </cell>
        </row>
        <row r="341">
          <cell r="A341" t="str">
            <v>BDB-000337</v>
          </cell>
          <cell r="B341" t="str">
            <v>OrthoLite X-55 SEEDPEARL/12-0703TPX BUN(X55) 0.16D 25+/-4 Asker C 1.1M 2M 160mm</v>
          </cell>
          <cell r="C341" t="str">
            <v>SEEDPEARL</v>
          </cell>
          <cell r="E341">
            <v>0</v>
          </cell>
          <cell r="F341">
            <v>0</v>
          </cell>
          <cell r="G341">
            <v>0</v>
          </cell>
        </row>
        <row r="342">
          <cell r="A342" t="str">
            <v>BDB-000338</v>
          </cell>
          <cell r="B342" t="str">
            <v>OrthoLite X-35-Hybrid SEEDPEARL/12-0703TPX BUN(X35-HYBRID) 0.145D 25+/-4 Asker C 1.1M 1.47M 160mm</v>
          </cell>
          <cell r="C342" t="str">
            <v>SEEDPEARL</v>
          </cell>
          <cell r="E342">
            <v>0</v>
          </cell>
          <cell r="F342">
            <v>0</v>
          </cell>
          <cell r="G342">
            <v>0</v>
          </cell>
        </row>
        <row r="343">
          <cell r="A343" t="str">
            <v>BDB-000339</v>
          </cell>
          <cell r="B343" t="str">
            <v>OrthoLite Float NEUTRAL GRAY/17-4402TPX BUN(FLOAT) 0.12D 21+/-4 Asker C 1.1M 2M 160mm</v>
          </cell>
          <cell r="C343" t="str">
            <v>NEUTRAL GRAY</v>
          </cell>
          <cell r="E343">
            <v>0</v>
          </cell>
          <cell r="F343">
            <v>0</v>
          </cell>
          <cell r="G343">
            <v>0</v>
          </cell>
        </row>
        <row r="344">
          <cell r="A344" t="str">
            <v>BDB-000340</v>
          </cell>
          <cell r="B344" t="str">
            <v>OrthoLite Float SEEDPEARL/12-0703TPX BUN(FLOAT) 0.12D 21+/-4 Asker C 1.1M 2M 160mm</v>
          </cell>
          <cell r="C344" t="str">
            <v>SEEDPEARL</v>
          </cell>
          <cell r="E344">
            <v>0</v>
          </cell>
          <cell r="F344">
            <v>0</v>
          </cell>
          <cell r="G344">
            <v>0</v>
          </cell>
        </row>
        <row r="345">
          <cell r="A345" t="str">
            <v>BDB-000341</v>
          </cell>
          <cell r="B345" t="str">
            <v>OrthoLite X-25 GREY/17-1501TPX BUN(X25) 0.12D 20+/-4 Asker C 1.1M 2M 160mm</v>
          </cell>
          <cell r="C345" t="str">
            <v>GREY</v>
          </cell>
          <cell r="E345">
            <v>0</v>
          </cell>
          <cell r="F345">
            <v>0</v>
          </cell>
          <cell r="G345">
            <v>0</v>
          </cell>
        </row>
        <row r="346">
          <cell r="A346" t="str">
            <v>BDB-000342</v>
          </cell>
          <cell r="B346" t="str">
            <v>OrthoLite X-25 NEUTRAL GRAY/17-4402TPX BUN(X25) 0.12D 20+/-4 Asker C 1.1M 2M 160mm</v>
          </cell>
          <cell r="C346" t="str">
            <v>NEUTRAL GRAY</v>
          </cell>
          <cell r="E346">
            <v>0</v>
          </cell>
          <cell r="F346">
            <v>0</v>
          </cell>
          <cell r="G346">
            <v>0</v>
          </cell>
        </row>
        <row r="347">
          <cell r="A347" t="str">
            <v>BDB-000343</v>
          </cell>
          <cell r="B347" t="str">
            <v>OrthoLite X-25 AIR BLUE/16-4134TPX BUN(X25) 0.12D 20+/-4 Asker C 1.1M 2M 160mm</v>
          </cell>
          <cell r="C347" t="str">
            <v>AIR BLUE</v>
          </cell>
          <cell r="E347">
            <v>0</v>
          </cell>
          <cell r="F347">
            <v>0</v>
          </cell>
          <cell r="G347">
            <v>0</v>
          </cell>
        </row>
        <row r="348">
          <cell r="A348" t="str">
            <v>BDB-000344</v>
          </cell>
          <cell r="B348" t="str">
            <v>OrthoLite X-25 LIME GREEN/14-0452TPX BUN(X25) 0.12D 20+/-4 Asker C 1.1M 2M 160mm</v>
          </cell>
          <cell r="C348" t="str">
            <v>LIME GREEN</v>
          </cell>
          <cell r="E348">
            <v>0</v>
          </cell>
          <cell r="F348">
            <v>0</v>
          </cell>
          <cell r="G348">
            <v>0</v>
          </cell>
        </row>
        <row r="349">
          <cell r="A349" t="str">
            <v>BDB-000345</v>
          </cell>
          <cell r="B349" t="str">
            <v>OrthoLite X-25 BROWN SUGAR/17-1134TPX BUN(X25) 0.12D 20+/-4 Asker C 1.1M 2M 160mm</v>
          </cell>
          <cell r="C349" t="str">
            <v>BROWN SUGAR</v>
          </cell>
          <cell r="E349">
            <v>0</v>
          </cell>
          <cell r="F349">
            <v>0</v>
          </cell>
          <cell r="G349">
            <v>0</v>
          </cell>
        </row>
        <row r="350">
          <cell r="A350" t="str">
            <v>BDB-000346</v>
          </cell>
          <cell r="B350" t="str">
            <v>OrthoLite Float NEUTRAL GRAY/17-4402TPX BUN(FLOAT) 0.12D 21+/-4 Asker C 1.1M 1.47M 160mm</v>
          </cell>
          <cell r="C350" t="str">
            <v>NEUTRAL GRAY</v>
          </cell>
          <cell r="E350">
            <v>4</v>
          </cell>
          <cell r="F350">
            <v>4</v>
          </cell>
          <cell r="G350">
            <v>0</v>
          </cell>
        </row>
        <row r="351">
          <cell r="A351" t="str">
            <v>BDB-000347</v>
          </cell>
          <cell r="B351" t="str">
            <v>OrthoLite X-55-Hybrid SEEDPEARL/12-0703TPX BUN(55-HYBRID) 0.16D 25+/-4 Asker C 1.1M 2M 160mm</v>
          </cell>
          <cell r="C351" t="str">
            <v>SEEDPEARL</v>
          </cell>
          <cell r="E351">
            <v>0</v>
          </cell>
          <cell r="F351">
            <v>0</v>
          </cell>
          <cell r="G351">
            <v>0</v>
          </cell>
        </row>
        <row r="352">
          <cell r="A352" t="str">
            <v>BDB-000348</v>
          </cell>
          <cell r="B352" t="str">
            <v>OrthoLite IMPERIAL SEEDPEARL/12-0703TPX BUN( IMPERIAL) 0.22D 25+/-4 Asker C 1.1M 1.47M 160mm</v>
          </cell>
          <cell r="C352" t="str">
            <v>SEEDPEARL</v>
          </cell>
          <cell r="E352">
            <v>56</v>
          </cell>
          <cell r="F352">
            <v>56</v>
          </cell>
          <cell r="G352">
            <v>0</v>
          </cell>
        </row>
        <row r="353">
          <cell r="A353" t="str">
            <v>BDB-000349</v>
          </cell>
          <cell r="B353" t="str">
            <v>OrthoLite Ultra GREEN/16-5932TPX BUN(ULITE) 0.085D 15+/-4 Asker C 1.1M 2M 160mm</v>
          </cell>
          <cell r="C353" t="str">
            <v>GREEN</v>
          </cell>
          <cell r="D353">
            <v>10</v>
          </cell>
          <cell r="E353">
            <v>0</v>
          </cell>
          <cell r="F353">
            <v>0</v>
          </cell>
          <cell r="G353">
            <v>10</v>
          </cell>
        </row>
        <row r="354">
          <cell r="A354" t="str">
            <v>BDB-000350</v>
          </cell>
          <cell r="B354" t="str">
            <v>Regular NEUTRAL GRAY/17-4402TPX Flat Sheet 0.13D 25+/-4 Asker C 1.1M 2M 24mm</v>
          </cell>
          <cell r="C354" t="str">
            <v>NEUTRAL GRAY</v>
          </cell>
          <cell r="D354">
            <v>5</v>
          </cell>
          <cell r="E354">
            <v>0</v>
          </cell>
          <cell r="F354">
            <v>0</v>
          </cell>
          <cell r="G354">
            <v>5</v>
          </cell>
        </row>
        <row r="355">
          <cell r="A355" t="str">
            <v>BDB-000351</v>
          </cell>
          <cell r="B355" t="str">
            <v>OrthoLite X-35-Hybrid FOSSIL/17-0909TPX Hybrid Flat Sheet 0.145D 25+/-4 Asker C 1.1M 2M 5mm</v>
          </cell>
          <cell r="C355" t="str">
            <v>FOSSIL</v>
          </cell>
          <cell r="E355">
            <v>0</v>
          </cell>
          <cell r="F355">
            <v>0</v>
          </cell>
          <cell r="G355">
            <v>0</v>
          </cell>
        </row>
        <row r="356">
          <cell r="A356" t="str">
            <v>BDB-000352</v>
          </cell>
          <cell r="B356" t="str">
            <v>OrthoLite Float-Hybrid SEEDPEARL/12-0703TPX Hybrid Flat Sheet 0.12D 21+/-4 Asker C 1.1M 2M 7.5mm</v>
          </cell>
          <cell r="C356" t="str">
            <v>SEEDPEARL</v>
          </cell>
          <cell r="E356">
            <v>0</v>
          </cell>
          <cell r="F356">
            <v>0</v>
          </cell>
          <cell r="G356">
            <v>0</v>
          </cell>
        </row>
        <row r="357">
          <cell r="A357" t="str">
            <v>BDB-000353</v>
          </cell>
          <cell r="B357" t="str">
            <v>OrthoLite Regular SEEDPEARL/12-0703TPX Flat Sheet 0.13D 35+/-4 Asker C 1.1M 1.47M 4mm</v>
          </cell>
          <cell r="C357" t="str">
            <v>SEEDPEARL</v>
          </cell>
          <cell r="D357">
            <v>1</v>
          </cell>
          <cell r="E357">
            <v>1</v>
          </cell>
          <cell r="F357">
            <v>1</v>
          </cell>
          <cell r="G357">
            <v>1</v>
          </cell>
        </row>
        <row r="358">
          <cell r="A358" t="str">
            <v>BDB-000354</v>
          </cell>
          <cell r="B358" t="str">
            <v>OrthoLite Eco LT GREEN/16-5932TPX BUN(ECOLT) 0.13D 25+/-4 Asker C 1.1M 1.7M 160mm</v>
          </cell>
          <cell r="C358" t="str">
            <v>GREEN</v>
          </cell>
          <cell r="E358">
            <v>0</v>
          </cell>
          <cell r="F358">
            <v>0</v>
          </cell>
          <cell r="G358">
            <v>0</v>
          </cell>
        </row>
        <row r="359">
          <cell r="A359" t="str">
            <v>BDB-000355</v>
          </cell>
          <cell r="B359" t="str">
            <v>OrthoLite HybridPlus-Recycled CASTLEROCK/18-0201TPX BUN(HYBRIDPLS-RECYCLED) 0.12D 25+/-4 Asker C 1.1</v>
          </cell>
          <cell r="C359" t="str">
            <v>CASTLEROCK</v>
          </cell>
          <cell r="E359">
            <v>0</v>
          </cell>
          <cell r="F359">
            <v>0</v>
          </cell>
          <cell r="G359">
            <v>0</v>
          </cell>
        </row>
        <row r="360">
          <cell r="A360" t="str">
            <v>BDB-000356</v>
          </cell>
          <cell r="B360" t="str">
            <v>OrthoLite Eco LT LIME GREEN/14-0452TPX BUN(ECOLT) 0.11D 15+/-4 Asker C 1.1M 2M 160mm</v>
          </cell>
          <cell r="C360" t="str">
            <v>LIME GREEN</v>
          </cell>
          <cell r="E360">
            <v>0</v>
          </cell>
          <cell r="F360">
            <v>0</v>
          </cell>
          <cell r="G360">
            <v>0</v>
          </cell>
        </row>
        <row r="361">
          <cell r="A361" t="str">
            <v>BDB-000357</v>
          </cell>
          <cell r="B361" t="str">
            <v>OrthoLite Ultra RED/19-1764TPX BUN(ULITE) 0.095D 33+/-4 Asker C 1.1M 2M 160mm</v>
          </cell>
          <cell r="C361" t="str">
            <v>RED</v>
          </cell>
          <cell r="D361">
            <v>2</v>
          </cell>
          <cell r="E361">
            <v>0</v>
          </cell>
          <cell r="F361">
            <v>0</v>
          </cell>
          <cell r="G361">
            <v>2</v>
          </cell>
        </row>
        <row r="362">
          <cell r="A362" t="str">
            <v>BDB-000358</v>
          </cell>
          <cell r="B362" t="str">
            <v>OrthoLite X-25 FOSSIL/17-0909TPX BUN(X25) 0.12D 20+/-4 Asker C 1.1M 2M 160mm</v>
          </cell>
          <cell r="C362" t="str">
            <v>FOSSIL</v>
          </cell>
          <cell r="D362">
            <v>4</v>
          </cell>
          <cell r="E362">
            <v>0</v>
          </cell>
          <cell r="F362">
            <v>0</v>
          </cell>
          <cell r="G362">
            <v>4</v>
          </cell>
        </row>
        <row r="363">
          <cell r="A363" t="str">
            <v>BDB-000359</v>
          </cell>
          <cell r="B363" t="str">
            <v>OrthoLite Regular YELLOW/13-0858TPX BUN(REG) 0.13D 15+/-4 Asker C 1.2M 2M 160mm</v>
          </cell>
          <cell r="C363" t="str">
            <v>YELLOW</v>
          </cell>
          <cell r="E363">
            <v>0</v>
          </cell>
          <cell r="F363">
            <v>0</v>
          </cell>
          <cell r="G363">
            <v>0</v>
          </cell>
        </row>
        <row r="364">
          <cell r="A364" t="str">
            <v>BDB-000360</v>
          </cell>
          <cell r="B364" t="str">
            <v>OrthoLite Eco LT-Hybrid YELLOW/13-0858TPX BUN(ECOLT-HYBRID) 0.11D 15+/-4 Asker C 1.1M 2M 160mm</v>
          </cell>
          <cell r="C364" t="str">
            <v>YELLOW</v>
          </cell>
          <cell r="E364">
            <v>0</v>
          </cell>
          <cell r="F364">
            <v>0</v>
          </cell>
          <cell r="G364">
            <v>0</v>
          </cell>
        </row>
        <row r="365">
          <cell r="A365" t="str">
            <v>BDB-000361</v>
          </cell>
          <cell r="B365" t="str">
            <v>OrthoLite X-40 AIR BLUE/16-4134TPX BUN(X40) 0.16D 25+/-4 Asker C 1.1M 1.7M 160mm</v>
          </cell>
          <cell r="C365" t="str">
            <v>AIR BLUE</v>
          </cell>
          <cell r="E365">
            <v>0</v>
          </cell>
          <cell r="F365">
            <v>0</v>
          </cell>
          <cell r="G365">
            <v>0</v>
          </cell>
        </row>
        <row r="366">
          <cell r="A366" t="str">
            <v>BDB-000362</v>
          </cell>
          <cell r="B366" t="str">
            <v>OrthoLite X-60-Hybrid SEEDPEARL/12-0703TPX Hybrid Flat Sheet 0.19D 28+/-4 Asker C 1.1M 1.7M 12mm</v>
          </cell>
          <cell r="C366" t="str">
            <v>SEEDPEARL</v>
          </cell>
          <cell r="E366">
            <v>0</v>
          </cell>
          <cell r="F366">
            <v>0</v>
          </cell>
          <cell r="G366">
            <v>0</v>
          </cell>
        </row>
        <row r="367">
          <cell r="A367" t="str">
            <v>BDB-000363</v>
          </cell>
          <cell r="B367" t="str">
            <v>OrthoLite HybridPlus-Recycled MINT GREEN/11-4805TPX Hybrid 0.12D 35+/-4 Asker C 1.1M 2M 5.5mm</v>
          </cell>
          <cell r="C367" t="str">
            <v>MINT GREEN</v>
          </cell>
          <cell r="E367">
            <v>0</v>
          </cell>
          <cell r="F367">
            <v>0</v>
          </cell>
          <cell r="G367">
            <v>0</v>
          </cell>
        </row>
        <row r="368">
          <cell r="A368" t="str">
            <v>BDB-000364</v>
          </cell>
          <cell r="B368" t="str">
            <v>[116-12921] Ultra Hybrid 15+/-4 Asker C 0.085D Neutral Grey 17-4402 Tpx 1.10M X 2.00M 47mm</v>
          </cell>
          <cell r="C368" t="str">
            <v>NEUTRAL GRAY</v>
          </cell>
          <cell r="D368">
            <v>12</v>
          </cell>
          <cell r="E368">
            <v>0</v>
          </cell>
          <cell r="F368">
            <v>0</v>
          </cell>
          <cell r="G368">
            <v>12</v>
          </cell>
        </row>
        <row r="369">
          <cell r="A369" t="str">
            <v>BDB-000367</v>
          </cell>
          <cell r="B369" t="str">
            <v>OrthoLite Ultra LIME GREEN/14-0452TPX Flat Sheet 0.095D 33+/-4 Asker C 1.1M 2M 11mm</v>
          </cell>
          <cell r="C369" t="str">
            <v>LIME GREEN</v>
          </cell>
          <cell r="E369">
            <v>0</v>
          </cell>
          <cell r="F369">
            <v>0</v>
          </cell>
          <cell r="G369">
            <v>0</v>
          </cell>
        </row>
        <row r="370">
          <cell r="A370" t="str">
            <v>BDB-000369</v>
          </cell>
          <cell r="B370" t="str">
            <v>OrthoLite X-40 GREY/17-1501TPX Flat Sheet 0.16D 35+/-4 Asker C 1.1M 1.7M 3.2mm</v>
          </cell>
          <cell r="C370" t="str">
            <v>GREY</v>
          </cell>
          <cell r="D370">
            <v>6</v>
          </cell>
          <cell r="E370">
            <v>0</v>
          </cell>
          <cell r="F370">
            <v>0</v>
          </cell>
          <cell r="G370">
            <v>6</v>
          </cell>
        </row>
        <row r="371">
          <cell r="A371" t="str">
            <v>BDB-000371</v>
          </cell>
          <cell r="B371" t="str">
            <v>OrthoLite SloMo LIME GREEN/14-0452TPX Flat Sheet 0.085D 5-10 Asker C 1.1M 2M 6mm</v>
          </cell>
          <cell r="C371" t="str">
            <v>LIME GREEN</v>
          </cell>
          <cell r="E371">
            <v>0</v>
          </cell>
          <cell r="F371">
            <v>0</v>
          </cell>
          <cell r="G371">
            <v>0</v>
          </cell>
        </row>
        <row r="372">
          <cell r="A372" t="str">
            <v>BDB-000372</v>
          </cell>
          <cell r="B372" t="str">
            <v>OrthoLite Float CASTLEROCK/18-0201TPX Flat Sheet 0.12D 21+/-4 Asker C 1.1M 2M 5.5mm</v>
          </cell>
          <cell r="C372" t="str">
            <v>CASTLEROCK</v>
          </cell>
          <cell r="D372">
            <v>2</v>
          </cell>
          <cell r="E372">
            <v>0</v>
          </cell>
          <cell r="F372">
            <v>0</v>
          </cell>
          <cell r="G372">
            <v>2</v>
          </cell>
        </row>
        <row r="373">
          <cell r="A373" t="str">
            <v>BDB-000373</v>
          </cell>
          <cell r="B373" t="str">
            <v>OrthoLite X-25-Nike BILLIARD/16-5427TPX Flat Sheet 0.12D 20+/-4 Asker C 1.1M 2M 5mm</v>
          </cell>
          <cell r="C373" t="str">
            <v>BILLIARD</v>
          </cell>
          <cell r="E373">
            <v>0</v>
          </cell>
          <cell r="F373">
            <v>0</v>
          </cell>
          <cell r="G373">
            <v>0</v>
          </cell>
        </row>
        <row r="374">
          <cell r="A374" t="str">
            <v>BDB-000374</v>
          </cell>
          <cell r="B374" t="str">
            <v>OrthoLite Regular FOSSIL/17-0909TPX BUN(REG) 0.15D 45+/-4 Asker C 1.1M 2M 160mm</v>
          </cell>
          <cell r="C374" t="str">
            <v>SEEDPEARL</v>
          </cell>
          <cell r="E374">
            <v>0</v>
          </cell>
          <cell r="F374">
            <v>0</v>
          </cell>
          <cell r="G374">
            <v>0</v>
          </cell>
        </row>
        <row r="375">
          <cell r="A375" t="str">
            <v>BDB-000375</v>
          </cell>
          <cell r="B375" t="str">
            <v>OrthoLite X-25-Nike SEEDPEARL/12-0703TPX Flat Sheet 0.12D 20+/-4 Asker C 1.1M 2M 4mm</v>
          </cell>
          <cell r="C375" t="str">
            <v>SEEDPEARL</v>
          </cell>
          <cell r="D375">
            <v>1</v>
          </cell>
          <cell r="E375">
            <v>0</v>
          </cell>
          <cell r="F375">
            <v>0</v>
          </cell>
          <cell r="G375">
            <v>1</v>
          </cell>
        </row>
        <row r="376">
          <cell r="A376" t="str">
            <v>BDB-000376</v>
          </cell>
          <cell r="B376" t="str">
            <v>OrthoLite Regular BLACK/19-4007TPX Flat Sheet 0.11D 25+/-4 Asker C 1.1M 2M 13mm</v>
          </cell>
          <cell r="C376" t="str">
            <v>BLACK</v>
          </cell>
          <cell r="E376">
            <v>0</v>
          </cell>
          <cell r="F376">
            <v>0</v>
          </cell>
          <cell r="G376">
            <v>0</v>
          </cell>
        </row>
        <row r="377">
          <cell r="A377" t="str">
            <v>BDB-000377</v>
          </cell>
          <cell r="B377" t="str">
            <v>OrthoLite Regular GREY/17-1501TPX Flat Sheet 0.11D 15+/-4 Asker C 1.1M 2M 22mm</v>
          </cell>
          <cell r="C377" t="str">
            <v>GREY</v>
          </cell>
          <cell r="E377">
            <v>0</v>
          </cell>
          <cell r="F377">
            <v>0</v>
          </cell>
          <cell r="G377">
            <v>0</v>
          </cell>
        </row>
        <row r="378">
          <cell r="A378" t="str">
            <v>BDB-000379</v>
          </cell>
          <cell r="B378" t="str">
            <v>OrthoLite Regular BROWN SUGAR/17-1134TPX Flat Sheet 0.11D 25+/-4 Asker C 1.1M 2M 7.5mm</v>
          </cell>
          <cell r="C378" t="str">
            <v>BROWN SUGAR</v>
          </cell>
          <cell r="E378">
            <v>0</v>
          </cell>
          <cell r="F378">
            <v>0</v>
          </cell>
          <cell r="G378">
            <v>0</v>
          </cell>
        </row>
        <row r="379">
          <cell r="A379" t="str">
            <v>BDB-000338</v>
          </cell>
          <cell r="B379" t="str">
            <v>OrthoLite X-35-Hybrid SEEDPEARL/12-0703TPX Hybrid Flat Sheet 0.145D 25+/-4 Asker C 1.1M 1.47M 11mm</v>
          </cell>
          <cell r="C379" t="str">
            <v>SEEDPEARL</v>
          </cell>
          <cell r="E379">
            <v>0</v>
          </cell>
          <cell r="F379">
            <v>0</v>
          </cell>
          <cell r="G379">
            <v>0</v>
          </cell>
        </row>
        <row r="380">
          <cell r="A380" t="str">
            <v>BDB-000384</v>
          </cell>
          <cell r="B380" t="str">
            <v>OrthoLite Impressions SEEDPEARL/12-0703TPX Flat Sheet 0.15D 70-80 Asker F 1.1M 1.7M 6mm</v>
          </cell>
          <cell r="C380" t="str">
            <v>SEEDPEARL</v>
          </cell>
          <cell r="E380">
            <v>0</v>
          </cell>
          <cell r="F380">
            <v>0</v>
          </cell>
          <cell r="G380">
            <v>0</v>
          </cell>
        </row>
        <row r="381">
          <cell r="A381" t="str">
            <v>BDB-000386</v>
          </cell>
          <cell r="B381" t="str">
            <v>OrthoLite Impressions TAWNY PORT/19-1725TPX BUN(IMPRESSIONS) 0.15D 70-80 Asker F 1.1M 1.7M 160mm</v>
          </cell>
          <cell r="C381" t="str">
            <v>TAWNY PORT</v>
          </cell>
          <cell r="E381">
            <v>0</v>
          </cell>
          <cell r="F381">
            <v>0</v>
          </cell>
          <cell r="G381">
            <v>0</v>
          </cell>
        </row>
        <row r="382">
          <cell r="A382" t="str">
            <v>BDB-000387</v>
          </cell>
          <cell r="B382" t="str">
            <v>OrthoLite Regular AMAZON/18-6024TPX Flat Sheet 0.16D 51+/-4 Asker C 1.1M 1.7M 9.5mm</v>
          </cell>
          <cell r="C382" t="str">
            <v>AMAZON</v>
          </cell>
          <cell r="D382">
            <v>2</v>
          </cell>
          <cell r="E382">
            <v>2</v>
          </cell>
          <cell r="F382">
            <v>0</v>
          </cell>
          <cell r="G382">
            <v>4</v>
          </cell>
        </row>
        <row r="383">
          <cell r="A383" t="str">
            <v>BDB-000388</v>
          </cell>
          <cell r="B383" t="str">
            <v>OrthoLite Ultra-Nike SEEDPEARL/12-0703TPX BUN(ULITE-NIKE) 0.085D 25+/-4 Asker C 1.1M 1.47M 160mm</v>
          </cell>
          <cell r="C383" t="str">
            <v>SEEDPEARL</v>
          </cell>
          <cell r="D383">
            <v>10</v>
          </cell>
          <cell r="E383">
            <v>0</v>
          </cell>
          <cell r="F383">
            <v>0</v>
          </cell>
          <cell r="G383">
            <v>10</v>
          </cell>
        </row>
        <row r="384">
          <cell r="A384" t="str">
            <v>BDB-000378</v>
          </cell>
          <cell r="B384" t="str">
            <v>OrthoLite Regular AMAZON/18-6024TPX BUN(REG) 0.15D 45+/-4 Asker C 1.1M 1.7M 160mm</v>
          </cell>
          <cell r="C384" t="str">
            <v>AMAZON</v>
          </cell>
          <cell r="D384">
            <v>0</v>
          </cell>
          <cell r="E384">
            <v>2</v>
          </cell>
          <cell r="F384">
            <v>0</v>
          </cell>
          <cell r="G384">
            <v>2</v>
          </cell>
        </row>
        <row r="385">
          <cell r="A385" t="str">
            <v>BDB-000385</v>
          </cell>
          <cell r="B385" t="str">
            <v>OrthoLite Impressions-Nike TAWNY PORT/19-1725TPX BUN(IMPRESSIONS-NIKE) 0.15D 70-80 Asker F 1.1M 1.7M</v>
          </cell>
          <cell r="C385" t="str">
            <v>TAWNY PORT</v>
          </cell>
          <cell r="E385">
            <v>60</v>
          </cell>
          <cell r="F385">
            <v>0</v>
          </cell>
          <cell r="G385">
            <v>60</v>
          </cell>
        </row>
        <row r="386">
          <cell r="A386" t="str">
            <v>BDB-000389</v>
          </cell>
          <cell r="B386" t="str">
            <v>OrthoLite Float-Nike BLUE ATOLL/16-4535TPX BUN(FLOAT-NIKE) 0.12D 21+/-4 Asker C 1.1M 2M 160mm</v>
          </cell>
          <cell r="C386" t="str">
            <v>BLUE ATOLL</v>
          </cell>
          <cell r="E386">
            <v>0</v>
          </cell>
          <cell r="F386">
            <v>0</v>
          </cell>
          <cell r="G386">
            <v>0</v>
          </cell>
        </row>
        <row r="387">
          <cell r="A387" t="str">
            <v>BDB-000391</v>
          </cell>
          <cell r="B387" t="str">
            <v>OrthoLite HybridPlus-Recycled COLORO 063-98-46 (fluorescent) Hybrid 0.12D 25+/-4 Asker C 1.1M 2M 6mm</v>
          </cell>
          <cell r="C387" t="str">
            <v>colomo</v>
          </cell>
          <cell r="E387">
            <v>2</v>
          </cell>
          <cell r="F387">
            <v>2</v>
          </cell>
          <cell r="G387">
            <v>0</v>
          </cell>
        </row>
        <row r="388">
          <cell r="A388" t="str">
            <v>BDB-000392</v>
          </cell>
          <cell r="B388" t="str">
            <v>OrthoLite X-40-Nike TRUE BLUE/19-4057TPX Flat Sheet 0.16D 35+/-4 Asker C 1.1M 2M 4mm</v>
          </cell>
          <cell r="C388" t="str">
            <v>TRUE BLUE</v>
          </cell>
          <cell r="E388">
            <v>6</v>
          </cell>
          <cell r="F388">
            <v>1</v>
          </cell>
          <cell r="G388">
            <v>5</v>
          </cell>
        </row>
        <row r="389">
          <cell r="A389" t="str">
            <v>BDB-000393</v>
          </cell>
          <cell r="B389" t="str">
            <v>Ortholite X-25 GREEN/16-5932TPX Flat Sheet 0.12D 20+/-4 Asker C 1.1M 2M 6.2mm</v>
          </cell>
          <cell r="C389" t="str">
            <v>GREEN</v>
          </cell>
          <cell r="E389">
            <v>4</v>
          </cell>
          <cell r="F389">
            <v>4</v>
          </cell>
          <cell r="G38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35" priority="8"/>
  </conditionalFormatting>
  <conditionalFormatting sqref="A3:A20">
    <cfRule type="duplicateValues" dxfId="134" priority="11"/>
  </conditionalFormatting>
  <conditionalFormatting sqref="A23:A1048576">
    <cfRule type="duplicateValues" dxfId="133" priority="9"/>
  </conditionalFormatting>
  <conditionalFormatting sqref="C1:C1048576">
    <cfRule type="duplicateValues" dxfId="132" priority="1"/>
    <cfRule type="duplicateValues" dxfId="131" priority="2"/>
  </conditionalFormatting>
  <conditionalFormatting sqref="I2:M2">
    <cfRule type="duplicateValues" dxfId="130" priority="7"/>
  </conditionalFormatting>
  <conditionalFormatting sqref="N1">
    <cfRule type="duplicateValues" dxfId="129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28" priority="5"/>
  </conditionalFormatting>
  <conditionalFormatting sqref="A3:A23">
    <cfRule type="duplicateValues" dxfId="127" priority="7"/>
  </conditionalFormatting>
  <conditionalFormatting sqref="A26:A1048576">
    <cfRule type="duplicateValues" dxfId="126" priority="6"/>
  </conditionalFormatting>
  <conditionalFormatting sqref="C1:C1048576">
    <cfRule type="duplicateValues" dxfId="125" priority="1"/>
    <cfRule type="duplicateValues" dxfId="124" priority="2"/>
  </conditionalFormatting>
  <conditionalFormatting sqref="I2:M2">
    <cfRule type="duplicateValues" dxfId="123" priority="4"/>
  </conditionalFormatting>
  <conditionalFormatting sqref="N1">
    <cfRule type="duplicateValues" dxfId="12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21" priority="5"/>
  </conditionalFormatting>
  <conditionalFormatting sqref="A3:A28">
    <cfRule type="duplicateValues" dxfId="120" priority="7"/>
  </conditionalFormatting>
  <conditionalFormatting sqref="A31:A1048576">
    <cfRule type="duplicateValues" dxfId="119" priority="6"/>
  </conditionalFormatting>
  <conditionalFormatting sqref="C1:C1048576">
    <cfRule type="duplicateValues" dxfId="118" priority="1"/>
    <cfRule type="duplicateValues" dxfId="117" priority="2"/>
  </conditionalFormatting>
  <conditionalFormatting sqref="I2:M2">
    <cfRule type="duplicateValues" dxfId="116" priority="4"/>
  </conditionalFormatting>
  <conditionalFormatting sqref="N1">
    <cfRule type="duplicateValues" dxfId="11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14" priority="5"/>
  </conditionalFormatting>
  <conditionalFormatting sqref="A3:A25">
    <cfRule type="duplicateValues" dxfId="113" priority="7"/>
  </conditionalFormatting>
  <conditionalFormatting sqref="A28:A1048576">
    <cfRule type="duplicateValues" dxfId="112" priority="6"/>
  </conditionalFormatting>
  <conditionalFormatting sqref="C1:C1048576">
    <cfRule type="duplicateValues" dxfId="111" priority="1"/>
    <cfRule type="duplicateValues" dxfId="110" priority="2"/>
  </conditionalFormatting>
  <conditionalFormatting sqref="I2:M2">
    <cfRule type="duplicateValues" dxfId="109" priority="4"/>
  </conditionalFormatting>
  <conditionalFormatting sqref="N1">
    <cfRule type="duplicateValues" dxfId="10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4" t="s">
        <v>1</v>
      </c>
      <c r="E7" s="84"/>
      <c r="F7" s="84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107" priority="11"/>
  </conditionalFormatting>
  <conditionalFormatting sqref="A3:A6 A14:A18">
    <cfRule type="duplicateValues" dxfId="106" priority="13"/>
  </conditionalFormatting>
  <conditionalFormatting sqref="A8">
    <cfRule type="duplicateValues" dxfId="105" priority="5"/>
  </conditionalFormatting>
  <conditionalFormatting sqref="A9:A13">
    <cfRule type="duplicateValues" dxfId="104" priority="6"/>
  </conditionalFormatting>
  <conditionalFormatting sqref="A21:A1048576">
    <cfRule type="duplicateValues" dxfId="103" priority="12"/>
  </conditionalFormatting>
  <conditionalFormatting sqref="C1:C6 C14:C1048576">
    <cfRule type="duplicateValues" dxfId="102" priority="7"/>
    <cfRule type="duplicateValues" dxfId="101" priority="8"/>
  </conditionalFormatting>
  <conditionalFormatting sqref="C7:C13">
    <cfRule type="duplicateValues" dxfId="100" priority="2"/>
    <cfRule type="duplicateValues" dxfId="99" priority="3"/>
  </conditionalFormatting>
  <conditionalFormatting sqref="I8:L8">
    <cfRule type="duplicateValues" dxfId="98" priority="4"/>
  </conditionalFormatting>
  <conditionalFormatting sqref="I2:M2">
    <cfRule type="duplicateValues" dxfId="97" priority="10"/>
  </conditionalFormatting>
  <conditionalFormatting sqref="M7">
    <cfRule type="duplicateValues" dxfId="96" priority="1"/>
  </conditionalFormatting>
  <conditionalFormatting sqref="N1">
    <cfRule type="duplicateValues" dxfId="95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94" priority="5"/>
  </conditionalFormatting>
  <conditionalFormatting sqref="A3:A15">
    <cfRule type="duplicateValues" dxfId="93" priority="8"/>
  </conditionalFormatting>
  <conditionalFormatting sqref="A16:A21">
    <cfRule type="duplicateValues" dxfId="92" priority="7"/>
  </conditionalFormatting>
  <conditionalFormatting sqref="A24:A1048576">
    <cfRule type="duplicateValues" dxfId="91" priority="6"/>
  </conditionalFormatting>
  <conditionalFormatting sqref="C1:C1048576">
    <cfRule type="duplicateValues" dxfId="90" priority="1"/>
    <cfRule type="duplicateValues" dxfId="89" priority="2"/>
  </conditionalFormatting>
  <conditionalFormatting sqref="I2:M2">
    <cfRule type="duplicateValues" dxfId="88" priority="4"/>
  </conditionalFormatting>
  <conditionalFormatting sqref="N1">
    <cfRule type="duplicateValues" dxfId="8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86" priority="5"/>
  </conditionalFormatting>
  <conditionalFormatting sqref="A3:A21">
    <cfRule type="duplicateValues" dxfId="85" priority="7"/>
  </conditionalFormatting>
  <conditionalFormatting sqref="A24:A1048576">
    <cfRule type="duplicateValues" dxfId="84" priority="6"/>
  </conditionalFormatting>
  <conditionalFormatting sqref="C1:C1048576">
    <cfRule type="duplicateValues" dxfId="83" priority="1"/>
    <cfRule type="duplicateValues" dxfId="82" priority="2"/>
  </conditionalFormatting>
  <conditionalFormatting sqref="I2:M2">
    <cfRule type="duplicateValues" dxfId="81" priority="4"/>
  </conditionalFormatting>
  <conditionalFormatting sqref="N1">
    <cfRule type="duplicateValues" dxfId="8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79" priority="6"/>
  </conditionalFormatting>
  <conditionalFormatting sqref="A3:A24">
    <cfRule type="duplicateValues" dxfId="78" priority="8"/>
  </conditionalFormatting>
  <conditionalFormatting sqref="A27:A1048576">
    <cfRule type="duplicateValues" dxfId="77" priority="7"/>
  </conditionalFormatting>
  <conditionalFormatting sqref="C1:C1048576">
    <cfRule type="duplicateValues" dxfId="76" priority="1"/>
    <cfRule type="duplicateValues" dxfId="75" priority="2"/>
    <cfRule type="duplicateValues" dxfId="74" priority="3"/>
  </conditionalFormatting>
  <conditionalFormatting sqref="I2:M2">
    <cfRule type="duplicateValues" dxfId="73" priority="5"/>
  </conditionalFormatting>
  <conditionalFormatting sqref="N1">
    <cfRule type="duplicateValues" dxfId="72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71" priority="5"/>
  </conditionalFormatting>
  <conditionalFormatting sqref="A3:A20">
    <cfRule type="duplicateValues" dxfId="70" priority="7"/>
  </conditionalFormatting>
  <conditionalFormatting sqref="A23:A1048576">
    <cfRule type="duplicateValues" dxfId="69" priority="6"/>
  </conditionalFormatting>
  <conditionalFormatting sqref="C1:C1048576">
    <cfRule type="duplicateValues" dxfId="68" priority="1"/>
    <cfRule type="duplicateValues" dxfId="67" priority="2"/>
  </conditionalFormatting>
  <conditionalFormatting sqref="I2:M2">
    <cfRule type="duplicateValues" dxfId="66" priority="4"/>
  </conditionalFormatting>
  <conditionalFormatting sqref="N1">
    <cfRule type="duplicateValues" dxfId="6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9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64" priority="5"/>
  </conditionalFormatting>
  <conditionalFormatting sqref="A3:A23">
    <cfRule type="duplicateValues" dxfId="63" priority="7"/>
  </conditionalFormatting>
  <conditionalFormatting sqref="A26:A1048576">
    <cfRule type="duplicateValues" dxfId="62" priority="6"/>
  </conditionalFormatting>
  <conditionalFormatting sqref="C1:C1048576">
    <cfRule type="duplicateValues" dxfId="61" priority="1"/>
    <cfRule type="duplicateValues" dxfId="60" priority="2"/>
  </conditionalFormatting>
  <conditionalFormatting sqref="I2:M2">
    <cfRule type="duplicateValues" dxfId="59" priority="4"/>
  </conditionalFormatting>
  <conditionalFormatting sqref="N1">
    <cfRule type="duplicateValues" dxfId="5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57" priority="5"/>
  </conditionalFormatting>
  <conditionalFormatting sqref="A3:A22">
    <cfRule type="duplicateValues" dxfId="56" priority="7"/>
  </conditionalFormatting>
  <conditionalFormatting sqref="A25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  <pageSetUpPr fitToPage="1"/>
  </sheetPr>
  <dimension ref="A1:O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E6" sqref="E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5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5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5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5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5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5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5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5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5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1">
    <cfRule type="duplicateValues" dxfId="49" priority="7"/>
  </conditionalFormatting>
  <conditionalFormatting sqref="A24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46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O15" sqref="O15:O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58">
        <v>46332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  <c r="O16" s="58">
        <v>46332</v>
      </c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58">
        <v>46332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43" priority="5"/>
  </conditionalFormatting>
  <conditionalFormatting sqref="A3:A24">
    <cfRule type="duplicateValues" dxfId="42" priority="7"/>
  </conditionalFormatting>
  <conditionalFormatting sqref="A27:A1048576">
    <cfRule type="duplicateValues" dxfId="41" priority="6"/>
  </conditionalFormatting>
  <conditionalFormatting sqref="C1:C1048576">
    <cfRule type="duplicateValues" dxfId="40" priority="1"/>
    <cfRule type="duplicateValues" dxfId="39" priority="2"/>
  </conditionalFormatting>
  <conditionalFormatting sqref="D3:D19">
    <cfRule type="duplicateValues" dxfId="38" priority="8"/>
  </conditionalFormatting>
  <conditionalFormatting sqref="I2:M2">
    <cfRule type="duplicateValues" dxfId="37" priority="4"/>
  </conditionalFormatting>
  <conditionalFormatting sqref="N1">
    <cfRule type="duplicateValues" dxfId="36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35" priority="4"/>
  </conditionalFormatting>
  <conditionalFormatting sqref="A3:A17">
    <cfRule type="duplicateValues" dxfId="34" priority="6"/>
  </conditionalFormatting>
  <conditionalFormatting sqref="A20:A1048576">
    <cfRule type="duplicateValues" dxfId="33" priority="5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3" sqref="O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513</v>
      </c>
      <c r="B3" s="18" t="s">
        <v>514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515</v>
      </c>
      <c r="B4" s="18" t="s">
        <v>516</v>
      </c>
      <c r="C4" s="19" t="s">
        <v>202</v>
      </c>
      <c r="D4" s="20" t="s">
        <v>517</v>
      </c>
      <c r="E4" s="21" t="s">
        <v>518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519</v>
      </c>
      <c r="B6" s="18" t="s">
        <v>520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325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521</v>
      </c>
      <c r="B8" s="18" t="s">
        <v>522</v>
      </c>
      <c r="C8" s="19" t="s">
        <v>523</v>
      </c>
      <c r="D8" s="20" t="s">
        <v>524</v>
      </c>
      <c r="E8" s="21" t="s">
        <v>525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325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526</v>
      </c>
      <c r="B10" s="18" t="s">
        <v>527</v>
      </c>
      <c r="C10" s="19" t="s">
        <v>528</v>
      </c>
      <c r="D10" s="20" t="s">
        <v>529</v>
      </c>
      <c r="E10" s="21" t="s">
        <v>530</v>
      </c>
      <c r="F10" s="22">
        <v>20</v>
      </c>
      <c r="G10" s="23">
        <v>2</v>
      </c>
      <c r="H10" s="24">
        <v>2</v>
      </c>
      <c r="I10" s="25" t="s">
        <v>531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246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29" priority="5"/>
  </conditionalFormatting>
  <conditionalFormatting sqref="A3:A20">
    <cfRule type="duplicateValues" dxfId="28" priority="7"/>
  </conditionalFormatting>
  <conditionalFormatting sqref="A23:A1048576">
    <cfRule type="duplicateValues" dxfId="27" priority="6"/>
  </conditionalFormatting>
  <conditionalFormatting sqref="C1:C1048576">
    <cfRule type="duplicateValues" dxfId="26" priority="1"/>
    <cfRule type="duplicateValues" dxfId="25" priority="2"/>
  </conditionalFormatting>
  <conditionalFormatting sqref="I2:M2">
    <cfRule type="duplicateValues" dxfId="24" priority="4"/>
  </conditionalFormatting>
  <conditionalFormatting sqref="N1">
    <cfRule type="duplicateValues" dxfId="23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G12" sqref="G12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532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533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534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535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536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537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538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539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46189</v>
      </c>
    </row>
    <row r="15" spans="1:15" s="3" customFormat="1" ht="70" customHeight="1" x14ac:dyDescent="0.35">
      <c r="A15" s="17" t="s">
        <v>540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541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542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22" priority="8"/>
  </conditionalFormatting>
  <conditionalFormatting sqref="A20">
    <cfRule type="duplicateValues" dxfId="21" priority="1"/>
    <cfRule type="duplicateValues" dxfId="20" priority="2"/>
  </conditionalFormatting>
  <conditionalFormatting sqref="A21:A23 A3:A19">
    <cfRule type="duplicateValues" dxfId="19" priority="7"/>
  </conditionalFormatting>
  <conditionalFormatting sqref="A26:A1048576">
    <cfRule type="duplicateValues" dxfId="18" priority="6"/>
  </conditionalFormatting>
  <conditionalFormatting sqref="C1:C1048576">
    <cfRule type="duplicateValues" dxfId="17" priority="3"/>
    <cfRule type="duplicateValues" dxfId="16" priority="4"/>
  </conditionalFormatting>
  <conditionalFormatting sqref="I2:M2">
    <cfRule type="duplicateValues" dxfId="15" priority="9"/>
  </conditionalFormatting>
  <conditionalFormatting sqref="N1">
    <cfRule type="duplicateValues" dxfId="14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773E-A39E-4B13-B24A-BDA1F62B9A92}">
  <sheetPr filterMode="1">
    <tabColor theme="4"/>
  </sheetPr>
  <dimension ref="A1:O666"/>
  <sheetViews>
    <sheetView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9" sqref="O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3" style="2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543</v>
      </c>
      <c r="B3" s="18" t="str">
        <f>VLOOKUP(A3,'[2]master plan'!A:C,3,0)</f>
        <v>RPRO-260610-0504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250</v>
      </c>
      <c r="G3" s="23">
        <f>VLOOKUP(A3,'[2]master plan'!A:W,23,0)</f>
        <v>6</v>
      </c>
      <c r="H3" s="24">
        <f>VLOOKUP(A3,'[2]master plan'!A:W,23,0)</f>
        <v>6</v>
      </c>
      <c r="I3" s="25" t="str">
        <f>VLOOKUP($A3,'[2]master plan'!$A:$N,12,0)</f>
        <v>ADIDAS</v>
      </c>
      <c r="J3" s="25" t="str">
        <f>VLOOKUP($A3,'[2]master plan'!$A:$N,13,0)</f>
        <v>SSO-2606-00410/00419 - URGENT (6-14)</v>
      </c>
      <c r="K3" s="25" t="str">
        <f>VLOOKUP($A3,'[2]master plan'!$A:$N,14,0)</f>
        <v>Flat sheet</v>
      </c>
      <c r="L3" s="26">
        <v>6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544</v>
      </c>
      <c r="B5" s="18" t="str">
        <f>VLOOKUP(A5,'[2]master plan'!A:C,3,0)</f>
        <v>RPRO-260610-0508</v>
      </c>
      <c r="C5" s="19" t="str">
        <f>VLOOKUP($A5,'[2]master plan'!$A:$N,5,0)</f>
        <v>BDB-000058</v>
      </c>
      <c r="D5" s="20" t="str">
        <f>VLOOKUP($A5,'[2]master plan'!$A:$N,6,0)</f>
        <v>PVN-001277</v>
      </c>
      <c r="E5" s="21" t="str">
        <f>VLOOKUP(A5,'[2]master plan'!A:G,7,0)</f>
        <v>OrthoLite Ultra GREEN/16-5932TPX Flat Sheet 0.085D 25+/-4 Asker C 1.1M 2M 4mm</v>
      </c>
      <c r="F5" s="22">
        <f>VLOOKUP(A5,'[2]master plan'!A:H,8,0)</f>
        <v>30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ADIDAS</v>
      </c>
      <c r="J5" s="25" t="str">
        <f>VLOOKUP($A5,'[2]master plan'!$A:$N,13,0)</f>
        <v>SSO-2606-00356 - URGENT (6-14)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46188</v>
      </c>
      <c r="O5" s="3" t="s">
        <v>246</v>
      </c>
    </row>
    <row r="6" spans="1:15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5" s="3" customFormat="1" ht="70" customHeight="1" x14ac:dyDescent="0.35">
      <c r="A7" s="17" t="s">
        <v>545</v>
      </c>
      <c r="B7" s="18" t="str">
        <f>VLOOKUP(A7,'[2]master plan'!A:C,3,0)</f>
        <v>RPRO-260610-0503</v>
      </c>
      <c r="C7" s="19" t="str">
        <f>VLOOKUP($A7,'[2]master plan'!$A:$N,5,0)</f>
        <v>BDB-000331</v>
      </c>
      <c r="D7" s="20" t="str">
        <f>VLOOKUP($A7,'[2]master plan'!$A:$N,6,0)</f>
        <v>PVN-004446</v>
      </c>
      <c r="E7" s="21" t="str">
        <f>VLOOKUP(A7,'[2]master plan'!A:G,7,0)</f>
        <v>OrthoLite X-35-Nike FOSSIL/17-0909TPX 0.145D 25+/-4 Asker C 1.1M 2M 4.5mm</v>
      </c>
      <c r="F7" s="22">
        <f>VLOOKUP(A7,'[2]master plan'!A:H,8,0)</f>
        <v>20</v>
      </c>
      <c r="G7" s="23">
        <f>VLOOKUP(A7,'[2]master plan'!A:W,23,0)</f>
        <v>1</v>
      </c>
      <c r="H7" s="24">
        <f>VLOOKUP(A7,'[2]master plan'!A:W,23,0)</f>
        <v>1</v>
      </c>
      <c r="I7" s="25" t="str">
        <f>VLOOKUP($A7,'[2]master plan'!$A:$N,12,0)</f>
        <v>NIKE</v>
      </c>
      <c r="J7" s="25" t="str">
        <f>VLOOKUP($A7,'[2]master plan'!$A:$N,13,0)</f>
        <v>Sample</v>
      </c>
      <c r="K7" s="25" t="str">
        <f>VLOOKUP($A7,'[2]master plan'!$A:$N,14,0)</f>
        <v>MOLDED</v>
      </c>
      <c r="L7" s="26">
        <v>1</v>
      </c>
      <c r="M7" s="27"/>
      <c r="N7" s="28">
        <f>_xlfn.IFNA(VLOOKUP(A7,'[2]master plan'!A:R,18,0),"")</f>
        <v>46192</v>
      </c>
      <c r="O7" s="58">
        <v>46332</v>
      </c>
    </row>
    <row r="8" spans="1:15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70"/>
      <c r="L8" s="71"/>
      <c r="M8" s="72"/>
      <c r="N8" s="76"/>
    </row>
    <row r="9" spans="1:15" s="3" customFormat="1" ht="70" customHeight="1" x14ac:dyDescent="0.35">
      <c r="A9" s="17" t="s">
        <v>546</v>
      </c>
      <c r="B9" s="18" t="str">
        <f>VLOOKUP(A9,'[2]master plan'!A:C,3,0)</f>
        <v>RPRO-260610-0505</v>
      </c>
      <c r="C9" s="19" t="str">
        <f>VLOOKUP($A9,'[2]master plan'!$A:$N,5,0)</f>
        <v>BDB-000055</v>
      </c>
      <c r="D9" s="20" t="str">
        <f>VLOOKUP($A9,'[2]master plan'!$A:$N,6,0)</f>
        <v>PVN-004155</v>
      </c>
      <c r="E9" s="21" t="str">
        <f>VLOOKUP(A9,'[2]master plan'!A:G,7,0)</f>
        <v>OrthoLite X-40 TRUE BLUE/19-4057TPX Flat Sheet 0.16D 35+/-4 Asker C 1.1M 1.7M 3.2mm</v>
      </c>
      <c r="F9" s="22">
        <f>VLOOKUP(A9,'[2]master plan'!A:H,8,0)</f>
        <v>10</v>
      </c>
      <c r="G9" s="23">
        <f>VLOOKUP(A9,'[2]master plan'!A:W,23,0)</f>
        <v>1</v>
      </c>
      <c r="H9" s="24">
        <f>VLOOKUP(A9,'[2]master plan'!A:W,23,0)</f>
        <v>1</v>
      </c>
      <c r="I9" s="25" t="str">
        <f>VLOOKUP($A9,'[2]master plan'!$A:$N,12,0)</f>
        <v>ADIDAS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40"/>
      <c r="N9" s="28">
        <f>_xlfn.IFNA(VLOOKUP(A9,'[2]master plan'!A:R,18,0),"")</f>
        <v>46192</v>
      </c>
      <c r="O9" s="58">
        <v>46332</v>
      </c>
    </row>
    <row r="10" spans="1:15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3"/>
      <c r="N10" s="76"/>
    </row>
    <row r="11" spans="1:15" s="3" customFormat="1" ht="70" customHeight="1" x14ac:dyDescent="0.35">
      <c r="A11" s="17" t="s">
        <v>547</v>
      </c>
      <c r="B11" s="18" t="str">
        <f>VLOOKUP(A11,'[2]master plan'!A:C,3,0)</f>
        <v>RPRO-260610-0506</v>
      </c>
      <c r="C11" s="19" t="str">
        <f>VLOOKUP($A11,'[2]master plan'!$A:$N,5,0)</f>
        <v>BDB-000209</v>
      </c>
      <c r="D11" s="20" t="str">
        <f>VLOOKUP($A11,'[2]master plan'!$A:$N,6,0)</f>
        <v>PVN-003537</v>
      </c>
      <c r="E11" s="21" t="str">
        <f>VLOOKUP(A11,'[2]master plan'!A:G,7,0)</f>
        <v>OrthoLite HybridPlus-Recycled MINT GREEN/11-4805TPX Hybrid 0.12D 25+/-4 Asker C 1.1M 2M 4.5mm</v>
      </c>
      <c r="F11" s="22">
        <f>VLOOKUP(A11,'[2]master plan'!A:H,8,0)</f>
        <v>30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AKU</v>
      </c>
      <c r="J11" s="25" t="str">
        <f>VLOOKUP($A11,'[2]master plan'!$A:$N,13,0)</f>
        <v>SSO-2606-00451</v>
      </c>
      <c r="K11" s="25" t="str">
        <f>VLOOKUP($A11,'[2]master plan'!$A:$N,14,0)</f>
        <v>OE-0111A</v>
      </c>
      <c r="L11" s="26">
        <v>1</v>
      </c>
      <c r="M11" s="27"/>
      <c r="N11" s="28">
        <f>_xlfn.IFNA(VLOOKUP(A11,'[2]master plan'!A:R,18,0),"")</f>
        <v>46192</v>
      </c>
      <c r="O11" s="3" t="s">
        <v>320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5" s="3" customFormat="1" ht="72" customHeight="1" x14ac:dyDescent="0.35">
      <c r="A13" s="17" t="s">
        <v>548</v>
      </c>
      <c r="B13" s="18" t="str">
        <f>VLOOKUP(A13,'[2]master plan'!A:C,3,0)</f>
        <v>RPRO-260610-0507</v>
      </c>
      <c r="C13" s="19" t="str">
        <f>VLOOKUP($A13,'[2]master plan'!$A:$N,5,0)</f>
        <v>BDB-000083</v>
      </c>
      <c r="D13" s="20" t="str">
        <f>VLOOKUP($A13,'[2]master plan'!$A:$N,6,0)</f>
        <v>PVN-000935</v>
      </c>
      <c r="E13" s="21" t="str">
        <f>VLOOKUP(A13,'[2]master plan'!A:G,7,0)</f>
        <v>OrthoLite Eco LT 300C(ADIDAS BLUEBIRD) Flat Sheet 0.11D 25+/-4 Asker C 1.1M 2M 4mm</v>
      </c>
      <c r="F13" s="22">
        <f>VLOOKUP(A13,'[2]master plan'!A:H,8,0)</f>
        <v>200</v>
      </c>
      <c r="G13" s="23">
        <f>VLOOKUP(A13,'[2]master plan'!A:W,23,0)</f>
        <v>6</v>
      </c>
      <c r="H13" s="24">
        <f>VLOOKUP(A13,'[2]master plan'!A:W,23,0)</f>
        <v>6</v>
      </c>
      <c r="I13" s="25" t="str">
        <f>VLOOKUP($A13,'[2]master plan'!$A:$N,12,0)</f>
        <v>ADIDAS</v>
      </c>
      <c r="J13" s="25" t="str">
        <f>VLOOKUP($A13,'[2]master plan'!$A:$N,13,0)</f>
        <v>SSO-2606-00449 - URGENT (6-20)</v>
      </c>
      <c r="K13" s="25" t="str">
        <f>VLOOKUP($A13,'[2]master plan'!$A:$N,14,0)</f>
        <v>Flat sheet</v>
      </c>
      <c r="L13" s="26">
        <v>6</v>
      </c>
      <c r="M13" s="27"/>
      <c r="N13" s="28">
        <f>_xlfn.IFNA(VLOOKUP(A13,'[2]master plan'!A:R,18,0),"")</f>
        <v>46189</v>
      </c>
      <c r="O13" s="3" t="s">
        <v>246</v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1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10-0503"/>
        <filter val="RPRO-260610-0504"/>
        <filter val="RPRO-260610-0505"/>
        <filter val="RPRO-260610-0506"/>
        <filter val="RPRO-260610-0507"/>
        <filter val="RPRO-260610-0508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2">
    <cfRule type="duplicateValues" dxfId="12" priority="7"/>
  </conditionalFormatting>
  <conditionalFormatting sqref="A25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4445-2753-4923-9E08-9ABF18A5016D}">
  <sheetPr filterMode="1">
    <tabColor theme="4"/>
  </sheetPr>
  <dimension ref="A1:N670"/>
  <sheetViews>
    <sheetView tabSelected="1"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21" sqref="M20:M2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46186.471634490743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21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549</v>
      </c>
      <c r="B3" s="18" t="str">
        <f>VLOOKUP(A3,'[2]master plan'!A:C,3,0)</f>
        <v>RPRO-260612-0059</v>
      </c>
      <c r="C3" s="19" t="str">
        <f>VLOOKUP($A3,'[2]master plan'!$A:$N,5,0)</f>
        <v>BDB-000375</v>
      </c>
      <c r="D3" s="20" t="str">
        <f>VLOOKUP($A3,'[2]master plan'!$A:$N,6,0)</f>
        <v>PVN-004319</v>
      </c>
      <c r="E3" s="21" t="str">
        <f>VLOOKUP(A3,'[2]master plan'!A:G,7,0)</f>
        <v>OrthoLite X-25-Nike SEEDPEARL/12-0703TPX Flat Sheet 0.12D 20+/-4 Asker C 1.1M 2M 4mm</v>
      </c>
      <c r="F3" s="22">
        <f>VLOOKUP(A3,'[2]master plan'!A:H,8,0)</f>
        <v>30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NIKE</v>
      </c>
      <c r="J3" s="25" t="str">
        <f>VLOOKUP($A3,'[2]master plan'!$A:$N,13,0)</f>
        <v>Sample</v>
      </c>
      <c r="K3" s="25" t="str">
        <f>VLOOKUP($A3,'[2]master plan'!$A:$N,14,0)</f>
        <v>DIE CUT</v>
      </c>
      <c r="L3" s="26">
        <v>1</v>
      </c>
      <c r="M3" s="27" t="s">
        <v>561</v>
      </c>
      <c r="N3" s="28">
        <f>_xlfn.IFNA(VLOOKUP(A3,'[2]master plan'!A:R,18,0),"")</f>
        <v>46192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27" t="str">
        <f>IFERROR(VLOOKUP(C4,'[3]12.6'!$A:$G,7,0),"")</f>
        <v/>
      </c>
      <c r="N4" s="76"/>
    </row>
    <row r="5" spans="1:14" s="3" customFormat="1" ht="70" customHeight="1" x14ac:dyDescent="0.35">
      <c r="A5" s="17" t="s">
        <v>550</v>
      </c>
      <c r="B5" s="18" t="str">
        <f>VLOOKUP(A5,'[2]master plan'!A:C,3,0)</f>
        <v>RPRO-260612-0060</v>
      </c>
      <c r="C5" s="19" t="str">
        <f>VLOOKUP($A5,'[2]master plan'!$A:$N,5,0)</f>
        <v>BDB-000348</v>
      </c>
      <c r="D5" s="20" t="str">
        <f>VLOOKUP($A5,'[2]master plan'!$A:$N,6,0)</f>
        <v>PVN-004405</v>
      </c>
      <c r="E5" s="21" t="str">
        <f>VLOOKUP(A5,'[2]master plan'!A:G,7,0)</f>
        <v>OrthoLite IMPERIAL SEEDPEARL/12-0703TPX Flat Sheet 0.22D 25+/-4 Asker C 1.1M 1.47M 6mm</v>
      </c>
      <c r="F5" s="22">
        <f>VLOOKUP(A5,'[2]master plan'!A:H,8,0)</f>
        <v>30</v>
      </c>
      <c r="G5" s="23">
        <f>VLOOKUP(A5,'[2]master plan'!A:W,23,0)</f>
        <v>2</v>
      </c>
      <c r="H5" s="24">
        <f>VLOOKUP(A5,'[2]master plan'!A:W,23,0)</f>
        <v>2</v>
      </c>
      <c r="I5" s="25" t="str">
        <f>VLOOKUP($A5,'[2]master plan'!$A:$N,12,0)</f>
        <v>ADIDAS</v>
      </c>
      <c r="J5" s="25" t="str">
        <f>VLOOKUP($A5,'[2]master plan'!$A:$N,13,0)</f>
        <v>SSO-2606-00379 - URGENT (6-18)</v>
      </c>
      <c r="K5" s="25" t="str">
        <f>VLOOKUP($A5,'[2]master plan'!$A:$N,14,0)</f>
        <v>Flat sheet</v>
      </c>
      <c r="L5" s="26">
        <v>5</v>
      </c>
      <c r="M5" s="27">
        <f>IFERROR(VLOOKUP(C5,'[3]12.6'!$A:$G,7,0),"")</f>
        <v>0</v>
      </c>
      <c r="N5" s="28">
        <f>_xlfn.IFNA(VLOOKUP(A5,'[2]master plan'!A:R,18,0),"")</f>
        <v>46192</v>
      </c>
    </row>
    <row r="6" spans="1:14" s="3" customFormat="1" ht="70" customHeight="1" x14ac:dyDescent="0.35">
      <c r="A6" s="17" t="s">
        <v>551</v>
      </c>
      <c r="B6" s="18" t="str">
        <f>VLOOKUP(A6,'[2]master plan'!A:C,3,0)</f>
        <v>RPRO-260612-0061</v>
      </c>
      <c r="C6" s="19" t="str">
        <f>VLOOKUP($A6,'[2]master plan'!$A:$N,5,0)</f>
        <v>BDB-000348</v>
      </c>
      <c r="D6" s="20" t="str">
        <f>VLOOKUP($A6,'[2]master plan'!$A:$N,6,0)</f>
        <v>PVN-004195</v>
      </c>
      <c r="E6" s="21" t="str">
        <f>VLOOKUP(A6,'[2]master plan'!A:G,7,0)</f>
        <v>OrthoLite IMPERIAL SEEDPEARL/12-0703TPX Flat Sheet 0.22D 25+/-4 Asker C 1.1M 1.47M 4mm</v>
      </c>
      <c r="F6" s="22">
        <f>VLOOKUP(A6,'[2]master plan'!A:H,8,0)</f>
        <v>100</v>
      </c>
      <c r="G6" s="23">
        <f>VLOOKUP(A6,'[2]master plan'!A:W,23,0)</f>
        <v>3</v>
      </c>
      <c r="H6" s="24">
        <f>VLOOKUP(A6,'[2]master plan'!A:W,23,0)</f>
        <v>3</v>
      </c>
      <c r="I6" s="25" t="str">
        <f>VLOOKUP($A6,'[2]master plan'!$A:$N,12,0)</f>
        <v>ADIDAS</v>
      </c>
      <c r="J6" s="25" t="str">
        <f>VLOOKUP($A6,'[2]master plan'!$A:$N,13,0)</f>
        <v>SSO-2606-00491 - URGENT (6-18)</v>
      </c>
      <c r="K6" s="25" t="str">
        <f>VLOOKUP($A6,'[2]master plan'!$A:$N,14,0)</f>
        <v>Flat sheet</v>
      </c>
      <c r="L6" s="26"/>
      <c r="M6" s="27">
        <f>IFERROR(VLOOKUP(C6,'[3]12.6'!$A:$G,7,0),"")</f>
        <v>0</v>
      </c>
      <c r="N6" s="28">
        <f>_xlfn.IFNA(VLOOKUP(A6,'[2]master plan'!A:R,18,0),"")</f>
        <v>46192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27" t="str">
        <f>IFERROR(VLOOKUP(C7,'[3]12.6'!$A:$G,7,0),"")</f>
        <v/>
      </c>
      <c r="N7" s="76"/>
    </row>
    <row r="8" spans="1:14" s="3" customFormat="1" ht="70" customHeight="1" x14ac:dyDescent="0.35">
      <c r="A8" s="17" t="s">
        <v>552</v>
      </c>
      <c r="B8" s="18" t="str">
        <f>VLOOKUP(A8,'[2]master plan'!A:C,3,0)</f>
        <v>RPRO-260612-0066</v>
      </c>
      <c r="C8" s="19" t="str">
        <f>VLOOKUP($A8,'[2]master plan'!$A:$N,5,0)</f>
        <v>BDB-000033</v>
      </c>
      <c r="D8" s="20" t="str">
        <f>VLOOKUP($A8,'[2]master plan'!$A:$N,6,0)</f>
        <v>PVN-003858</v>
      </c>
      <c r="E8" s="21" t="str">
        <f>VLOOKUP(A8,'[2]master plan'!A:G,7,0)</f>
        <v>OrthoLite Regular SEEDPEARL/12-0703TPX Flat Sheet 0.13D 35+/-4 Asker C 1.1M 2M 5mm</v>
      </c>
      <c r="F8" s="22">
        <f>VLOOKUP(A8,'[2]master plan'!A:H,8,0)</f>
        <v>10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SSO-2606-00519 - URGENT (6-22)</v>
      </c>
      <c r="K8" s="25" t="str">
        <f>VLOOKUP($A8,'[2]master plan'!$A:$N,14,0)</f>
        <v>Flat sheet</v>
      </c>
      <c r="L8" s="26">
        <v>1</v>
      </c>
      <c r="M8" s="83" t="s">
        <v>563</v>
      </c>
      <c r="N8" s="28">
        <f>_xlfn.IFNA(VLOOKUP(A8,'[2]master plan'!A:R,18,0),"")</f>
        <v>46192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27" t="str">
        <f>IFERROR(VLOOKUP(C9,'[3]12.6'!$A:$G,7,0),"")</f>
        <v/>
      </c>
      <c r="N9" s="76"/>
    </row>
    <row r="10" spans="1:14" s="3" customFormat="1" ht="70" customHeight="1" x14ac:dyDescent="0.35">
      <c r="A10" s="17" t="s">
        <v>553</v>
      </c>
      <c r="B10" s="18" t="str">
        <f>VLOOKUP(A10,'[2]master plan'!A:C,3,0)</f>
        <v>RPRO-260612-0067</v>
      </c>
      <c r="C10" s="19" t="str">
        <f>VLOOKUP($A10,'[2]master plan'!$A:$N,5,0)</f>
        <v>BDB-000209</v>
      </c>
      <c r="D10" s="20" t="str">
        <f>VLOOKUP($A10,'[2]master plan'!$A:$N,6,0)</f>
        <v>PVN-003550</v>
      </c>
      <c r="E10" s="21" t="str">
        <f>VLOOKUP(A10,'[2]master plan'!A:G,7,0)</f>
        <v>OrthoLite HybridPlus-Recycled MINT GREEN/11-4805TPX Hybrid Flat Sheet 0.12D 25+/-4 Asker C 1.1M 2M 6mm</v>
      </c>
      <c r="F10" s="22">
        <f>VLOOKUP(A10,'[2]master plan'!A:H,8,0)</f>
        <v>2</v>
      </c>
      <c r="G10" s="23">
        <f>VLOOKUP(A10,'[2]master plan'!A:W,23,0)</f>
        <v>1</v>
      </c>
      <c r="H10" s="24">
        <f>VLOOKUP(A10,'[2]master plan'!A:W,23,0)</f>
        <v>1</v>
      </c>
      <c r="I10" s="25" t="str">
        <f>VLOOKUP($A10,'[2]master plan'!$A:$N,12,0)</f>
        <v>ON RUNNING</v>
      </c>
      <c r="J10" s="25">
        <f>VLOOKUP($A10,'[2]master plan'!$A:$N,13,0)</f>
        <v>0</v>
      </c>
      <c r="K10" s="25" t="str">
        <f>VLOOKUP($A10,'[2]master plan'!$A:$N,14,0)</f>
        <v>INSOLE/ MOLDED</v>
      </c>
      <c r="L10" s="26">
        <v>1</v>
      </c>
      <c r="M10" s="27" t="s">
        <v>561</v>
      </c>
      <c r="N10" s="28">
        <f>_xlfn.IFNA(VLOOKUP(A10,'[2]master plan'!A:R,18,0),"")</f>
        <v>46192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27" t="str">
        <f>IFERROR(VLOOKUP(C11,'[3]12.6'!$A:$G,7,0),"")</f>
        <v/>
      </c>
      <c r="N11" s="76"/>
    </row>
    <row r="12" spans="1:14" s="3" customFormat="1" ht="70" customHeight="1" x14ac:dyDescent="0.35">
      <c r="A12" s="17" t="s">
        <v>554</v>
      </c>
      <c r="B12" s="18" t="str">
        <f>VLOOKUP(A12,'[2]master plan'!A:C,3,0)</f>
        <v>RPRO-260612-0068</v>
      </c>
      <c r="C12" s="19" t="str">
        <f>VLOOKUP($A12,'[2]master plan'!$A:$N,5,0)</f>
        <v>BDB-000123</v>
      </c>
      <c r="D12" s="20" t="str">
        <f>VLOOKUP($A12,'[2]master plan'!$A:$N,6,0)</f>
        <v>PVN-003815</v>
      </c>
      <c r="E12" s="21" t="str">
        <f>VLOOKUP(A12,'[2]master plan'!A:G,7,0)</f>
        <v>OrthoLite Ultra-Hybrid SEEDPEARL/12-0703TPX Hybrid Flat Sheet 0.085D 25+/-4 Asker C 1.1M 2M 6mm</v>
      </c>
      <c r="F12" s="22">
        <f>VLOOKUP(A12,'[2]master plan'!A:H,8,0)</f>
        <v>2</v>
      </c>
      <c r="G12" s="23">
        <f>VLOOKUP(A12,'[2]master plan'!A:W,23,0)</f>
        <v>1</v>
      </c>
      <c r="H12" s="24">
        <f>VLOOKUP(A12,'[2]master plan'!A:W,23,0)</f>
        <v>1</v>
      </c>
      <c r="I12" s="25" t="str">
        <f>VLOOKUP($A12,'[2]master plan'!$A:$N,12,0)</f>
        <v>ON RUNNING</v>
      </c>
      <c r="J12" s="25">
        <f>VLOOKUP($A12,'[2]master plan'!$A:$N,13,0)</f>
        <v>0</v>
      </c>
      <c r="K12" s="25" t="str">
        <f>VLOOKUP($A12,'[2]master plan'!$A:$N,14,0)</f>
        <v>INSOLE/ MOLDED</v>
      </c>
      <c r="L12" s="26">
        <v>1</v>
      </c>
      <c r="M12" s="27" t="s">
        <v>561</v>
      </c>
      <c r="N12" s="28">
        <f>_xlfn.IFNA(VLOOKUP(A12,'[2]master plan'!A:R,18,0),"")</f>
        <v>46192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70"/>
      <c r="K13" s="70"/>
      <c r="L13" s="71"/>
      <c r="M13" s="27" t="str">
        <f>IFERROR(VLOOKUP(C13,'[3]12.6'!$A:$G,7,0),"")</f>
        <v/>
      </c>
      <c r="N13" s="76"/>
    </row>
    <row r="14" spans="1:14" s="3" customFormat="1" ht="70" customHeight="1" x14ac:dyDescent="0.35">
      <c r="A14" s="17" t="s">
        <v>555</v>
      </c>
      <c r="B14" s="18" t="str">
        <f>VLOOKUP(A14,'[2]master plan'!A:C,3,0)</f>
        <v>RPRO-260612-0069</v>
      </c>
      <c r="C14" s="19" t="str">
        <f>VLOOKUP($A14,'[2]master plan'!$A:$N,5,0)</f>
        <v>BDB-000229</v>
      </c>
      <c r="D14" s="20" t="str">
        <f>VLOOKUP($A14,'[2]master plan'!$A:$N,6,0)</f>
        <v>PVN-004448</v>
      </c>
      <c r="E14" s="21" t="str">
        <f>VLOOKUP(A14,'[2]master plan'!A:G,7,0)</f>
        <v>OrthoLite Ultra-Hybrid SEEDPEARL/12-0703TPX Hybrid Flat Sheet 0.095D 33+/-4 Asker C 1.1M 2M 6mm</v>
      </c>
      <c r="F14" s="22">
        <f>VLOOKUP(A14,'[2]master plan'!A:H,8,0)</f>
        <v>2</v>
      </c>
      <c r="G14" s="23">
        <f>VLOOKUP(A14,'[2]master plan'!A:W,23,0)</f>
        <v>1</v>
      </c>
      <c r="H14" s="24">
        <f>VLOOKUP(A14,'[2]master plan'!A:W,23,0)</f>
        <v>1</v>
      </c>
      <c r="I14" s="25" t="str">
        <f>VLOOKUP($A14,'[2]master plan'!$A:$N,12,0)</f>
        <v>ON RUNNING</v>
      </c>
      <c r="J14" s="25">
        <f>VLOOKUP($A14,'[2]master plan'!$A:$N,13,0)</f>
        <v>0</v>
      </c>
      <c r="K14" s="25" t="str">
        <f>VLOOKUP($A14,'[2]master plan'!$A:$N,14,0)</f>
        <v>INSOLE/ MOLDED</v>
      </c>
      <c r="L14" s="26">
        <v>1</v>
      </c>
      <c r="M14" s="83" t="s">
        <v>562</v>
      </c>
      <c r="N14" s="28">
        <f>_xlfn.IFNA(VLOOKUP(A14,'[2]master plan'!A:R,18,0),"")</f>
        <v>46192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70"/>
      <c r="K15" s="70"/>
      <c r="L15" s="71"/>
      <c r="M15" s="27" t="str">
        <f>IFERROR(VLOOKUP(C15,'[3]12.6'!$A:$G,7,0),"")</f>
        <v/>
      </c>
      <c r="N15" s="76"/>
    </row>
    <row r="16" spans="1:14" s="3" customFormat="1" ht="70" customHeight="1" x14ac:dyDescent="0.35">
      <c r="A16" s="17" t="s">
        <v>556</v>
      </c>
      <c r="B16" s="18" t="str">
        <f>VLOOKUP(A16,'[2]master plan'!A:C,3,0)</f>
        <v>RPRO-260612-0058</v>
      </c>
      <c r="C16" s="19" t="str">
        <f>VLOOKUP($A16,'[2]master plan'!$A:$N,5,0)</f>
        <v>BDB-000212</v>
      </c>
      <c r="D16" s="20" t="str">
        <f>VLOOKUP($A16,'[2]master plan'!$A:$N,6,0)</f>
        <v>PVN-004055</v>
      </c>
      <c r="E16" s="21" t="str">
        <f>VLOOKUP(A16,'[2]master plan'!A:G,7,0)</f>
        <v>OrthoLite X-25-Hybrid SEEDPEARL/12-0703TPX Hybrid Flat Sheet 0.12D 20+/-4 Asker C 1.1M 2M 9mm</v>
      </c>
      <c r="F16" s="22">
        <f>VLOOKUP(A16,'[2]master plan'!A:H,8,0)</f>
        <v>20</v>
      </c>
      <c r="G16" s="23">
        <f>VLOOKUP(A16,'[2]master plan'!A:W,23,0)</f>
        <v>2</v>
      </c>
      <c r="H16" s="24">
        <f>VLOOKUP(A16,'[2]master plan'!A:W,23,0)</f>
        <v>2</v>
      </c>
      <c r="I16" s="25" t="str">
        <f>VLOOKUP($A16,'[2]master plan'!$A:$N,12,0)</f>
        <v>MILLET</v>
      </c>
      <c r="J16" s="25" t="str">
        <f>VLOOKUP($A16,'[2]master plan'!$A:$N,13,0)</f>
        <v>SSO-2606-00494</v>
      </c>
      <c r="K16" s="25" t="str">
        <f>VLOOKUP($A16,'[2]master plan'!$A:$N,14,0)</f>
        <v>OE-0111A</v>
      </c>
      <c r="L16" s="26">
        <v>2</v>
      </c>
      <c r="M16" s="83" t="s">
        <v>563</v>
      </c>
      <c r="N16" s="28">
        <f>_xlfn.IFNA(VLOOKUP(A16,'[2]master plan'!A:R,18,0),"")</f>
        <v>46193</v>
      </c>
    </row>
    <row r="17" spans="1:14" s="3" customFormat="1" ht="70" customHeight="1" x14ac:dyDescent="0.35">
      <c r="A17" s="62"/>
      <c r="B17" s="63"/>
      <c r="C17" s="64"/>
      <c r="D17" s="65"/>
      <c r="E17" s="66"/>
      <c r="F17" s="67"/>
      <c r="G17" s="68"/>
      <c r="H17" s="69"/>
      <c r="I17" s="70"/>
      <c r="J17" s="70"/>
      <c r="K17" s="70"/>
      <c r="L17" s="71"/>
      <c r="M17" s="27" t="str">
        <f>IFERROR(VLOOKUP(C17,'[3]12.6'!$A:$G,7,0),"")</f>
        <v/>
      </c>
      <c r="N17" s="76"/>
    </row>
    <row r="18" spans="1:14" s="3" customFormat="1" ht="70" customHeight="1" x14ac:dyDescent="0.35">
      <c r="A18" s="17" t="s">
        <v>557</v>
      </c>
      <c r="B18" s="18" t="str">
        <f>VLOOKUP(A18,'[2]master plan'!A:C,3,0)</f>
        <v>RPRO-260612-0062</v>
      </c>
      <c r="C18" s="19" t="str">
        <f>VLOOKUP($A18,'[2]master plan'!$A:$N,5,0)</f>
        <v>BDB-000011</v>
      </c>
      <c r="D18" s="20" t="str">
        <f>VLOOKUP($A18,'[2]master plan'!$A:$N,6,0)</f>
        <v>PVN-000128</v>
      </c>
      <c r="E18" s="21" t="str">
        <f>VLOOKUP(A18,'[2]master plan'!A:G,7,0)</f>
        <v>OrthoLite Regular AIR BLUE/16-4134TPX 0.13D 35+/-4 Asker C 1.1M 2M 6mm</v>
      </c>
      <c r="F18" s="22">
        <f>VLOOKUP(A18,'[2]master plan'!A:H,8,0)</f>
        <v>40</v>
      </c>
      <c r="G18" s="23">
        <f>VLOOKUP(A18,'[2]master plan'!A:W,23,0)</f>
        <v>2</v>
      </c>
      <c r="H18" s="24">
        <f>VLOOKUP(A18,'[2]master plan'!A:W,23,0)</f>
        <v>2</v>
      </c>
      <c r="I18" s="25" t="str">
        <f>VLOOKUP($A18,'[2]master plan'!$A:$N,12,0)</f>
        <v>ASICS</v>
      </c>
      <c r="J18" s="25" t="str">
        <f>VLOOKUP($A18,'[2]master plan'!$A:$N,13,0)</f>
        <v>Sample</v>
      </c>
      <c r="K18" s="25" t="str">
        <f>VLOOKUP($A18,'[2]master plan'!$A:$N,14,0)</f>
        <v>MOLDED</v>
      </c>
      <c r="L18" s="26">
        <v>2</v>
      </c>
      <c r="M18" s="27" t="s">
        <v>561</v>
      </c>
      <c r="N18" s="28">
        <f>_xlfn.IFNA(VLOOKUP(A18,'[2]master plan'!A:R,18,0),"")</f>
        <v>46193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70"/>
      <c r="K19" s="70"/>
      <c r="L19" s="71"/>
      <c r="M19" s="27" t="str">
        <f>IFERROR(VLOOKUP(C19,'[3]12.6'!$A:$G,7,0),"")</f>
        <v/>
      </c>
      <c r="N19" s="76"/>
    </row>
    <row r="20" spans="1:14" s="3" customFormat="1" ht="70" customHeight="1" x14ac:dyDescent="0.35">
      <c r="A20" s="17" t="s">
        <v>558</v>
      </c>
      <c r="B20" s="18" t="str">
        <f>VLOOKUP(A20,'[2]master plan'!A:C,3,0)</f>
        <v>RPRO-260612-0063</v>
      </c>
      <c r="C20" s="19" t="str">
        <f>VLOOKUP($A20,'[2]master plan'!$A:$N,5,0)</f>
        <v>BDB-000113</v>
      </c>
      <c r="D20" s="20" t="str">
        <f>VLOOKUP($A20,'[2]master plan'!$A:$N,6,0)</f>
        <v>PVN-002688</v>
      </c>
      <c r="E20" s="21" t="str">
        <f>VLOOKUP(A20,'[2]master plan'!A:G,7,0)</f>
        <v>OrthoLite Regular-Hybrid SEEDPEARL/12-0703TPX Hybrid 0.11D 25+/-4 Asker C 1.1M 2M 6mm</v>
      </c>
      <c r="F20" s="22">
        <f>VLOOKUP(A20,'[2]master plan'!A:H,8,0)</f>
        <v>80</v>
      </c>
      <c r="G20" s="23">
        <f>VLOOKUP(A20,'[2]master plan'!A:W,23,0)</f>
        <v>4</v>
      </c>
      <c r="H20" s="24">
        <f>VLOOKUP(A20,'[2]master plan'!A:W,23,0)</f>
        <v>4</v>
      </c>
      <c r="I20" s="25" t="str">
        <f>VLOOKUP($A20,'[2]master plan'!$A:$N,12,0)</f>
        <v>ASICS</v>
      </c>
      <c r="J20" s="25" t="str">
        <f>VLOOKUP($A20,'[2]master plan'!$A:$N,13,0)</f>
        <v>Sample</v>
      </c>
      <c r="K20" s="25" t="str">
        <f>VLOOKUP($A20,'[2]master plan'!$A:$N,14,0)</f>
        <v>MOLDED</v>
      </c>
      <c r="L20" s="26">
        <v>5</v>
      </c>
      <c r="M20" s="27" t="s">
        <v>564</v>
      </c>
      <c r="N20" s="28">
        <f>_xlfn.IFNA(VLOOKUP(A20,'[2]master plan'!A:R,18,0),"")</f>
        <v>46193</v>
      </c>
    </row>
    <row r="21" spans="1:14" s="3" customFormat="1" ht="70" customHeight="1" x14ac:dyDescent="0.35">
      <c r="A21" s="17" t="s">
        <v>559</v>
      </c>
      <c r="B21" s="18" t="str">
        <f>VLOOKUP(A21,'[2]master plan'!A:C,3,0)</f>
        <v>RPRO-260612-0065</v>
      </c>
      <c r="C21" s="19" t="str">
        <f>VLOOKUP($A21,'[2]master plan'!$A:$N,5,0)</f>
        <v>BDB-000113</v>
      </c>
      <c r="D21" s="20" t="str">
        <f>VLOOKUP($A21,'[2]master plan'!$A:$N,6,0)</f>
        <v>PVN-002501</v>
      </c>
      <c r="E21" s="21" t="str">
        <f>VLOOKUP(A21,'[2]master plan'!A:G,7,0)</f>
        <v>OrthoLite Regular-Hybrid SEEDPEARL/12-0703TPX Hybrid Flat Sheet 0.11D 25+/-4 Asker C 1.1M 2M 2mm</v>
      </c>
      <c r="F21" s="22">
        <f>VLOOKUP(A21,'[2]master plan'!A:H,8,0)</f>
        <v>20</v>
      </c>
      <c r="G21" s="23">
        <f>VLOOKUP(A21,'[2]master plan'!A:W,23,0)</f>
        <v>1</v>
      </c>
      <c r="H21" s="24">
        <f>VLOOKUP(A21,'[2]master plan'!A:W,23,0)</f>
        <v>1</v>
      </c>
      <c r="I21" s="25" t="str">
        <f>VLOOKUP($A21,'[2]master plan'!$A:$N,12,0)</f>
        <v>ASICS</v>
      </c>
      <c r="J21" s="25" t="str">
        <f>VLOOKUP($A21,'[2]master plan'!$A:$N,13,0)</f>
        <v>Sample</v>
      </c>
      <c r="K21" s="25" t="str">
        <f>VLOOKUP($A21,'[2]master plan'!$A:$N,14,0)</f>
        <v>FL SHEET</v>
      </c>
      <c r="L21" s="26"/>
      <c r="M21" s="27">
        <f>IFERROR(VLOOKUP(C21,'[3]12.6'!$A:$G,7,0),"")</f>
        <v>0</v>
      </c>
      <c r="N21" s="28">
        <f>_xlfn.IFNA(VLOOKUP(A21,'[2]master plan'!A:R,18,0),"")</f>
        <v>46193</v>
      </c>
    </row>
    <row r="22" spans="1:14" s="3" customFormat="1" ht="70" customHeight="1" x14ac:dyDescent="0.35">
      <c r="A22" s="62"/>
      <c r="B22" s="63"/>
      <c r="C22" s="64"/>
      <c r="D22" s="65"/>
      <c r="E22" s="66"/>
      <c r="F22" s="67"/>
      <c r="G22" s="68"/>
      <c r="H22" s="69"/>
      <c r="I22" s="70"/>
      <c r="J22" s="70"/>
      <c r="K22" s="70"/>
      <c r="L22" s="71"/>
      <c r="M22" s="27" t="str">
        <f>IFERROR(VLOOKUP(C22,'[3]12.6'!$A:$G,7,0),"")</f>
        <v/>
      </c>
      <c r="N22" s="76"/>
    </row>
    <row r="23" spans="1:14" s="3" customFormat="1" ht="70" customHeight="1" x14ac:dyDescent="0.35">
      <c r="A23" s="17" t="s">
        <v>560</v>
      </c>
      <c r="B23" s="18" t="str">
        <f>VLOOKUP(A23,'[2]master plan'!A:C,3,0)</f>
        <v>RPRO-260612-0064</v>
      </c>
      <c r="C23" s="19" t="str">
        <f>VLOOKUP($A23,'[2]master plan'!$A:$N,5,0)</f>
        <v>BDB-000008</v>
      </c>
      <c r="D23" s="20" t="str">
        <f>VLOOKUP($A23,'[2]master plan'!$A:$N,6,0)</f>
        <v>PVN-000457</v>
      </c>
      <c r="E23" s="21" t="str">
        <f>VLOOKUP(A23,'[2]master plan'!A:G,7,0)</f>
        <v>OrthoLite Regular LIME GREEN/14-0452TPX 0.11D 25+/-4 Asker C 1.1M 2M 6mm</v>
      </c>
      <c r="F23" s="22">
        <f>VLOOKUP(A23,'[2]master plan'!A:H,8,0)</f>
        <v>30</v>
      </c>
      <c r="G23" s="23">
        <f>VLOOKUP(A23,'[2]master plan'!A:W,23,0)</f>
        <v>2</v>
      </c>
      <c r="H23" s="24">
        <f>VLOOKUP(A23,'[2]master plan'!A:W,23,0)</f>
        <v>2</v>
      </c>
      <c r="I23" s="25" t="str">
        <f>VLOOKUP($A23,'[2]master plan'!$A:$N,12,0)</f>
        <v>ASICS</v>
      </c>
      <c r="J23" s="25" t="str">
        <f>VLOOKUP($A23,'[2]master plan'!$A:$N,13,0)</f>
        <v>Sample</v>
      </c>
      <c r="K23" s="25" t="str">
        <f>VLOOKUP($A23,'[2]master plan'!$A:$N,14,0)</f>
        <v>MOLDED</v>
      </c>
      <c r="L23" s="26">
        <v>2</v>
      </c>
      <c r="M23" s="27" t="s">
        <v>561</v>
      </c>
      <c r="N23" s="28">
        <f>_xlfn.IFNA(VLOOKUP(A23,'[2]master plan'!A:R,18,0),"")</f>
        <v>46193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0" hidden="1" customHeight="1" x14ac:dyDescent="0.35">
      <c r="A26" s="17"/>
      <c r="B26" s="18" t="e">
        <f>VLOOKUP(A26,'[2]master plan'!A:C,3,0)</f>
        <v>#N/A</v>
      </c>
      <c r="C26" s="19" t="e">
        <f>VLOOKUP($A26,'[2]master plan'!$A:$N,5,0)</f>
        <v>#N/A</v>
      </c>
      <c r="D26" s="20" t="e">
        <f>VLOOKUP($A26,'[2]master plan'!$A:$N,6,0)</f>
        <v>#N/A</v>
      </c>
      <c r="E26" s="21" t="e">
        <f>VLOOKUP(A26,'[2]master plan'!A:G,7,0)</f>
        <v>#N/A</v>
      </c>
      <c r="F26" s="22" t="e">
        <f>VLOOKUP(A26,'[2]master plan'!A:H,8,0)</f>
        <v>#N/A</v>
      </c>
      <c r="G26" s="23" t="e">
        <f>VLOOKUP(A26,'[2]master plan'!A:W,23,0)</f>
        <v>#N/A</v>
      </c>
      <c r="H26" s="24" t="e">
        <f>VLOOKUP(A26,'[2]master plan'!A:W,23,0)</f>
        <v>#N/A</v>
      </c>
      <c r="I26" s="25" t="e">
        <f>VLOOKUP($A26,'[2]master plan'!$A:$N,12,0)</f>
        <v>#N/A</v>
      </c>
      <c r="J26" s="25" t="e">
        <f>VLOOKUP($A26,'[2]master plan'!$A:$N,13,0)</f>
        <v>#N/A</v>
      </c>
      <c r="K26" s="25" t="e">
        <f>VLOOKUP($A26,'[2]master plan'!$A:$N,14,0)</f>
        <v>#N/A</v>
      </c>
      <c r="L26" s="26"/>
      <c r="M26" s="40"/>
      <c r="N26" s="28" t="str">
        <f>_xlfn.IFNA(VLOOKUP(A26,'[2]master plan'!A:R,18,0),"")</f>
        <v/>
      </c>
    </row>
    <row r="27" spans="1:14" s="3" customFormat="1" ht="72" customHeight="1" x14ac:dyDescent="0.35">
      <c r="A27" s="41"/>
      <c r="B27" s="42"/>
      <c r="C27" s="43"/>
      <c r="D27" s="43"/>
      <c r="E27" s="44"/>
      <c r="F27" s="45"/>
      <c r="G27" s="45"/>
      <c r="H27" s="45"/>
      <c r="I27" s="46"/>
      <c r="J27" s="47"/>
      <c r="K27" s="48"/>
      <c r="L27" s="49"/>
      <c r="M27" s="50"/>
      <c r="N27" s="51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54" customFormat="1" ht="74.25" customHeight="1" x14ac:dyDescent="0.35">
      <c r="A31" s="2"/>
      <c r="B31" s="52"/>
      <c r="C31" s="2"/>
      <c r="D31" s="2"/>
      <c r="E31" s="59" t="s">
        <v>21</v>
      </c>
      <c r="G31" s="55"/>
      <c r="I31" s="53"/>
      <c r="J31" s="53"/>
      <c r="K31" s="53"/>
      <c r="L31" s="56"/>
      <c r="M31" s="57"/>
      <c r="N31" s="58"/>
    </row>
    <row r="32" spans="1:14" ht="74.25" customHeight="1" x14ac:dyDescent="0.35">
      <c r="L32" s="56"/>
    </row>
    <row r="33" spans="1:14" ht="74.25" customHeight="1" x14ac:dyDescent="0.35">
      <c r="L33" s="56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70" spans="1:14" s="54" customFormat="1" ht="74.25" customHeight="1" x14ac:dyDescent="0.35">
      <c r="A670" s="2"/>
      <c r="B670" s="52"/>
      <c r="C670" s="2"/>
      <c r="D670" s="2"/>
      <c r="E670" s="60"/>
      <c r="H670" s="55"/>
      <c r="I670" s="53"/>
      <c r="J670" s="53"/>
      <c r="K670" s="53"/>
      <c r="L670" s="61"/>
      <c r="M670" s="57"/>
      <c r="N670" s="58"/>
    </row>
  </sheetData>
  <protectedRanges>
    <protectedRange algorithmName="SHA-512" hashValue="e1FOu1UlwA7reaiyQlEGzbU6dAFPyHPlKfgo6VzFBBobawyOfUsh2c/+wjC8bICpcXVPmRerMGA9+qKsw5p7Iw==" saltValue="UD2tVZrxqZTGI3vDzMBrHw==" spinCount="100000" sqref="E3:E26" name="Range1_1"/>
  </protectedRanges>
  <autoFilter ref="A2:N27" xr:uid="{E2BC4C4A-3703-4A99-A30B-53817C3A378F}">
    <filterColumn colId="1">
      <filters blank="1">
        <filter val="RPRO-260612-0058"/>
        <filter val="RPRO-260612-0059"/>
        <filter val="RPRO-260612-0060"/>
        <filter val="RPRO-260612-0061"/>
        <filter val="RPRO-260612-0062"/>
        <filter val="RPRO-260612-0063"/>
        <filter val="RPRO-260612-0064"/>
        <filter val="RPRO-260612-0065"/>
        <filter val="RPRO-260612-0066"/>
        <filter val="RPRO-260612-0067"/>
        <filter val="RPRO-260612-0068"/>
        <filter val="RPRO-260612-0069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6">
    <cfRule type="duplicateValues" dxfId="5" priority="7"/>
  </conditionalFormatting>
  <conditionalFormatting sqref="A29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7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36</vt:i4>
      </vt:variant>
    </vt:vector>
  </HeadingPairs>
  <TitlesOfParts>
    <vt:vector size="54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10.6</vt:lpstr>
      <vt:lpstr>12.6</vt:lpstr>
      <vt:lpstr>'1.6'!Print_Area</vt:lpstr>
      <vt:lpstr>'10.6'!Print_Area</vt:lpstr>
      <vt:lpstr>'12.6'!Print_Area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'10.6'!Print_Titles</vt:lpstr>
      <vt:lpstr>'12.6'!Print_Titles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2026-06-12T03:34:38Z</cp:lastPrinted>
  <dcterms:created xsi:type="dcterms:W3CDTF">2026-05-13T09:21:12Z</dcterms:created>
  <dcterms:modified xsi:type="dcterms:W3CDTF">2026-06-13T04:19:09Z</dcterms:modified>
</cp:coreProperties>
</file>