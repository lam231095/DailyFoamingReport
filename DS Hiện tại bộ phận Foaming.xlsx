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rtholitevietnam-my.sharepoint.com/personal/lam_dv2_ortholite_vn/Documents/PROJECT LÂM/DailyFoamingReport/"/>
    </mc:Choice>
  </mc:AlternateContent>
  <xr:revisionPtr revIDLastSave="72" documentId="13_ncr:1_{E7AC9B5B-8808-463F-A1B6-5E43E5806A92}" xr6:coauthVersionLast="47" xr6:coauthVersionMax="47" xr10:uidLastSave="{8106C8A1-D269-4B33-BA3C-3A6C373BC1B3}"/>
  <bookViews>
    <workbookView xWindow="-110" yWindow="-110" windowWidth="19420" windowHeight="11500" xr2:uid="{3841106A-7DEB-4CF0-913D-81EEFFBEFE28}"/>
  </bookViews>
  <sheets>
    <sheet name="Tháng 04.2026" sheetId="1" r:id="rId1"/>
  </sheets>
  <externalReferences>
    <externalReference r:id="rId2"/>
  </externalReferences>
  <definedNames>
    <definedName name="\0">#REF!</definedName>
    <definedName name="\a">#REF!</definedName>
    <definedName name="\b">#REF!</definedName>
    <definedName name="\c">#REF!</definedName>
    <definedName name="\j">#REF!</definedName>
    <definedName name="\k">#REF!</definedName>
    <definedName name="\p">#REF!</definedName>
    <definedName name="\v">#REF!</definedName>
    <definedName name="_22_0_F" hidden="1">#REF!</definedName>
    <definedName name="_2Module3_.Record3">#REF!</definedName>
    <definedName name="_3M画面移動_.マスターメンテナンスメニュー">#REF!</definedName>
    <definedName name="_4M画面移動_.メニュー画面">#REF!</definedName>
    <definedName name="_50票製造部区分3___a">#REF!</definedName>
    <definedName name="_Fill" hidden="1">#REF!</definedName>
    <definedName name="_xlnm._FilterDatabase" localSheetId="0" hidden="1">'Tháng 04.2026'!$A$21:$K$142</definedName>
    <definedName name="_Key1" hidden="1">#REF!</definedName>
    <definedName name="_M18">#REF!</definedName>
    <definedName name="_Order1" hidden="1">0</definedName>
    <definedName name="_Order2" hidden="1">1</definedName>
    <definedName name="_P10">#REF!</definedName>
    <definedName name="_Parse_Out" hidden="1">#REF!</definedName>
    <definedName name="_Sort" hidden="1">#REF!</definedName>
    <definedName name="_SX1021">#REF!</definedName>
    <definedName name="１１_分類ｺｰﾄﾞ別集計">#REF!</definedName>
    <definedName name="a">#REF!</definedName>
    <definedName name="AA">#REF!</definedName>
    <definedName name="AB">#REF!</definedName>
    <definedName name="AC">#REF!</definedName>
    <definedName name="ActionStatus">#REF!</definedName>
    <definedName name="AD">#REF!</definedName>
    <definedName name="ADPSL">#REF!</definedName>
    <definedName name="AE">#REF!</definedName>
    <definedName name="AF">#REF!</definedName>
    <definedName name="AG">#REF!</definedName>
    <definedName name="AH">#REF!</definedName>
    <definedName name="AI">#REF!</definedName>
    <definedName name="AM">#REF!</definedName>
    <definedName name="B">#REF!</definedName>
    <definedName name="BA">#REF!</definedName>
    <definedName name="BANGCONG">#REF!</definedName>
    <definedName name="BAOHIEM">#REF!</definedName>
    <definedName name="BenhDaiNgay">#REF!</definedName>
    <definedName name="BloodGroup">#REF!</definedName>
    <definedName name="Boolean">#REF!</definedName>
    <definedName name="C_">#REF!</definedName>
    <definedName name="CA">#REF!</definedName>
    <definedName name="CasePrio">#REF!</definedName>
    <definedName name="CC">#REF!</definedName>
    <definedName name="Com_FileInput_DialogSet">#REF!</definedName>
    <definedName name="Com_FileInput_DirChg">#REF!</definedName>
    <definedName name="Com_FileInput_DrvChg">#REF!</definedName>
    <definedName name="Com_FileInput_FileChg">#REF!</definedName>
    <definedName name="Com_FileNameDialogSet">#REF!</definedName>
    <definedName name="Com_FileNameDirChg">#REF!</definedName>
    <definedName name="Com_FileNameDrvChg">#REF!</definedName>
    <definedName name="Com_FileNameFileChg">#REF!</definedName>
    <definedName name="Com_FormNoSet">#REF!</definedName>
    <definedName name="Com_MenuDisp">#REF!</definedName>
    <definedName name="Com_SystemEnd">#REF!</definedName>
    <definedName name="Com_ZoomListDisp">#REF!</definedName>
    <definedName name="CONGDOAN">#REF!</definedName>
    <definedName name="Countries">#REF!</definedName>
    <definedName name="Cutting_Leader">#REF!</definedName>
    <definedName name="D">#REF!</definedName>
    <definedName name="DA">#REF!</definedName>
    <definedName name="Database1">#N/A</definedName>
    <definedName name="DB">#REF!</definedName>
    <definedName name="DECPC_425sxLP">#REF!</definedName>
    <definedName name="Dept">OFFSET(#REF!,0,0,COUNTA(#REF!),1)</definedName>
    <definedName name="Diachi">#REF!</definedName>
    <definedName name="Diachicutru">#REF!</definedName>
    <definedName name="dienthoai">#REF!</definedName>
    <definedName name="dispbox3">#REF!</definedName>
    <definedName name="DMNV">OFFSET(INDIRECT(ADDRESS(3,2,1,1,"DMNV")),0,0,COUNTA(#REF!),38)</definedName>
    <definedName name="DocumentType">#REF!</definedName>
    <definedName name="E">#REF!</definedName>
    <definedName name="EEPAY">#REF!</definedName>
    <definedName name="Eight">#REF!</definedName>
    <definedName name="Eleven">#REF!</definedName>
    <definedName name="EmployeeType">#REF!</definedName>
    <definedName name="entstatus">#REF!</definedName>
    <definedName name="execs1">#REF!</definedName>
    <definedName name="_xlnm.Extract">#REF!</definedName>
    <definedName name="F">#REF!</definedName>
    <definedName name="Fabric_Purchase">#REF!</definedName>
    <definedName name="Five">#REF!</definedName>
    <definedName name="Four">#REF!:#REF!</definedName>
    <definedName name="FREQUENCY">#REF!</definedName>
    <definedName name="G">#REF!</definedName>
    <definedName name="Gender">#REF!</definedName>
    <definedName name="Giamdoc">#REF!</definedName>
    <definedName name="GL">#REF!</definedName>
    <definedName name="H">#REF!</definedName>
    <definedName name="I">#REF!</definedName>
    <definedName name="input">#REF!</definedName>
    <definedName name="J">#REF!</definedName>
    <definedName name="K">#REF!</definedName>
    <definedName name="L">#REF!</definedName>
    <definedName name="m">#REF!</definedName>
    <definedName name="M_C_ZoomListSet">#REF!</definedName>
    <definedName name="M_FileInput.Com_FileInput_DialogSet">#REF!</definedName>
    <definedName name="M_FileInput.Com_FileInput_DirChg">#REF!</definedName>
    <definedName name="M_FileInput.Com_FileInput_DrvChg">#REF!</definedName>
    <definedName name="M_FileInput.Com_FileInput_FileChg">#REF!</definedName>
    <definedName name="M_H1_SearchDisp">#REF!</definedName>
    <definedName name="M_H2_CList">#REF!</definedName>
    <definedName name="M_H2_CSelect">#REF!</definedName>
    <definedName name="M_H2_HinsyuAdd">#REF!</definedName>
    <definedName name="M_H2_HinsyuCancel">#REF!</definedName>
    <definedName name="M_H2_HinsyuDel">#REF!</definedName>
    <definedName name="M_H2_HinsyuEntry">#REF!</definedName>
    <definedName name="M_H2_JList">#REF!</definedName>
    <definedName name="M_H2_KList">#REF!</definedName>
    <definedName name="M_H2_KSelect">#REF!</definedName>
    <definedName name="M_H2_MList">#REF!</definedName>
    <definedName name="M_H2_ModeChg">#REF!</definedName>
    <definedName name="M_H2_MSelect">#REF!</definedName>
    <definedName name="M_H2_RSelect">#REF!</definedName>
    <definedName name="M_H4_TeikeiMake">#REF!</definedName>
    <definedName name="M_H7_InfoEnd">#REF!</definedName>
    <definedName name="M_H7_SheetSel">#REF!</definedName>
    <definedName name="M_H8_PassWdDisp">#REF!</definedName>
    <definedName name="M_H8_PassWdGo">#REF!</definedName>
    <definedName name="M_H8_TkSearchDisp">#REF!</definedName>
    <definedName name="M_InfEntry">#REF!</definedName>
    <definedName name="M_InfRead">#REF!</definedName>
    <definedName name="M_Tools.M_ToolsDisp">#REF!</definedName>
    <definedName name="M_Tools.M_ToolsOK">#REF!</definedName>
    <definedName name="M_ToolsDisp">#REF!</definedName>
    <definedName name="M_ToolsOK">#REF!</definedName>
    <definedName name="Macro2">#REF!</definedName>
    <definedName name="Manhanvien">OFFSET(INDIRECT(ADDRESS(3,2,1,1,"DMNV")),0,0,COUNTA(#REF!),1)</definedName>
    <definedName name="MaritalStatus">#REF!</definedName>
    <definedName name="masothue">#REF!</definedName>
    <definedName name="master2">#REF!</definedName>
    <definedName name="MNG">#REF!</definedName>
    <definedName name="Movement">OFFSET(#REF!,0,0,COUNTA(#REF!),1)</definedName>
    <definedName name="N">#REF!</definedName>
    <definedName name="Nam">#REF!</definedName>
    <definedName name="Ngaysinh">#REF!</definedName>
    <definedName name="NhomHuong">#REF!</definedName>
    <definedName name="Nine">#REF!</definedName>
    <definedName name="O">#REF!</definedName>
    <definedName name="One">#REF!</definedName>
    <definedName name="oooo">#REF!</definedName>
    <definedName name="OrgType">#REF!</definedName>
    <definedName name="P">#REF!</definedName>
    <definedName name="PaymentMethod">#REF!</definedName>
    <definedName name="PAYSLIP">#REF!</definedName>
    <definedName name="_xlnm.Print_Area">#REF!</definedName>
    <definedName name="PRINT_AREA_MI1">#REF!</definedName>
    <definedName name="Ｑ">#REF!</definedName>
    <definedName name="Q_新ｼｬｯﾀｰ">#REF!</definedName>
    <definedName name="R_">#REF!</definedName>
    <definedName name="Record10">#REF!</definedName>
    <definedName name="Record11">#REF!</definedName>
    <definedName name="Record13">#REF!</definedName>
    <definedName name="Record3">#REF!</definedName>
    <definedName name="Record7">#REF!</definedName>
    <definedName name="Record76">#REF!</definedName>
    <definedName name="_xlnm.Recorder">#REF!</definedName>
    <definedName name="reports">#REF!</definedName>
    <definedName name="roto">"ボタン 32"</definedName>
    <definedName name="RR">#REF!</definedName>
    <definedName name="s">#REF!</definedName>
    <definedName name="SalaryType">#REF!</definedName>
    <definedName name="SCMT">#REF!</definedName>
    <definedName name="SetColor">#REF!</definedName>
    <definedName name="Seven">#REF!</definedName>
    <definedName name="SHEET_COPY">#REF!</definedName>
    <definedName name="Six">#REF!</definedName>
    <definedName name="special">#REF!</definedName>
    <definedName name="StatusPlan">#REF!</definedName>
    <definedName name="SUPriority">#REF!</definedName>
    <definedName name="T">#REF!</definedName>
    <definedName name="Ten">#REF!</definedName>
    <definedName name="ten_tinh">#REF!</definedName>
    <definedName name="Tendoanhnghiep">#REF!</definedName>
    <definedName name="Three">#REF!</definedName>
    <definedName name="THUETNCN">#REF!</definedName>
    <definedName name="thuy">#REF!</definedName>
    <definedName name="thy">#REF!</definedName>
    <definedName name="Tinh">#REF!</definedName>
    <definedName name="TuyenBenhVien">#REF!</definedName>
    <definedName name="Twelve">#REF!</definedName>
    <definedName name="Two">#REF!</definedName>
    <definedName name="U">#REF!</definedName>
    <definedName name="VALIDITY">#REF!</definedName>
    <definedName name="variable">#REF!</definedName>
    <definedName name="W">#REF!</definedName>
    <definedName name="WorkingType">#REF!</definedName>
    <definedName name="wrn.１９９５厨房短期計画." hidden="1">{#N/A,#N/A,TRUE,"月別販売計画Ａ";#N/A,#N/A,TRUE,"品種群別出荷量展開Ｂ";#N/A,#N/A,TRUE,"工場別出荷数量Ｃ";#N/A,#N/A,TRUE,"在庫指数計画Ｄ";#N/A,#N/A,TRUE,"月別生産計画Ｅ";#N/A,#N/A,TRUE,"生出在一覧  Ｆ";#N/A,#N/A,TRUE,"NewCRDトップ生産計画Ｇ";#N/A,#N/A,TRUE,"NewLSトップ生産計画Ｈ";#N/A,#N/A,TRUE,"NewCRD扉生産計画Ｉ";#N/A,#N/A,TRUE,"NewLS扉生産計画Ｊ"}</definedName>
    <definedName name="X">#REF!</definedName>
    <definedName name="XLTLOGINRP">162529292</definedName>
    <definedName name="XLTLOGOUT">-1352859635</definedName>
    <definedName name="Y">#REF!</definedName>
    <definedName name="Yes">#REF!</definedName>
    <definedName name="YesNo">#REF!</definedName>
    <definedName name="YN">#REF!</definedName>
    <definedName name="Z">#REF!</definedName>
    <definedName name="Z_APM00_1">#REF!</definedName>
    <definedName name="Z_APM00_2">#REF!</definedName>
    <definedName name="クエリー1">#REF!</definedName>
    <definedName name="ﾃﾞｰﾀ">#REF!</definedName>
    <definedName name="ドロップ1_Change">#REF!</definedName>
    <definedName name="フロー報告用">#REF!</definedName>
    <definedName name="マスター">#REF!</definedName>
    <definedName name="予定">#REF!</definedName>
    <definedName name="予実">#REF!</definedName>
    <definedName name="事業所ﾏｽﾀ">#REF!</definedName>
    <definedName name="事業拡大">#REF!</definedName>
    <definedName name="事業計画">#REF!</definedName>
    <definedName name="作成日">#REF!</definedName>
    <definedName name="修正7ー2">#REF!</definedName>
    <definedName name="全体表紙">#REF!</definedName>
    <definedName name="出庫総原価へ">#REF!</definedName>
    <definedName name="出庫総原価単へ">#REF!</definedName>
    <definedName name="単累変更">#REF!</definedName>
    <definedName name="単累変更２">#REF!</definedName>
    <definedName name="単累変更３">#REF!</definedName>
    <definedName name="単累変更４">#REF!</definedName>
    <definedName name="印刷">#REF!</definedName>
    <definedName name="印鑑捺印ﾏｸﾛ">#REF!</definedName>
    <definedName name="原価表">#REF!</definedName>
    <definedName name="取消">#REF!</definedName>
    <definedName name="品番DB">#REF!</definedName>
    <definedName name="商本印">#REF!</definedName>
    <definedName name="営本印">#REF!</definedName>
    <definedName name="在籍人員へ">#REF!</definedName>
    <definedName name="戻る">#REF!</definedName>
    <definedName name="改訂版">#REF!</definedName>
    <definedName name="条件">#REF!</definedName>
    <definedName name="条件範囲">#REF!</definedName>
    <definedName name="業製印">#REF!</definedName>
    <definedName name="業連へ">#REF!</definedName>
    <definedName name="歩留実績へ">#REF!</definedName>
    <definedName name="決定日">#REF!</definedName>
    <definedName name="決定表">#REF!</definedName>
    <definedName name="生産労務費単へ">#REF!</definedName>
    <definedName name="生産印">#REF!</definedName>
    <definedName name="生産原価細目へ">#REF!</definedName>
    <definedName name="生産固定比率へ">#REF!</definedName>
    <definedName name="生産固定費単へ">#REF!</definedName>
    <definedName name="生産固定費額へ">#REF!</definedName>
    <definedName name="生産売上高単へ">#REF!</definedName>
    <definedName name="生産製造原価単へ">#REF!</definedName>
    <definedName name="生産製造粗利単へ">#REF!</definedName>
    <definedName name="生産費目別へ">#REF!</definedName>
    <definedName name="確認印">#REF!</definedName>
    <definedName name="窓品番ﾏｽﾀ">#REF!</definedName>
    <definedName name="窓額縁開発依頼書">#REF!</definedName>
    <definedName name="結果４">#REF!</definedName>
    <definedName name="解除">#REF!</definedName>
    <definedName name="計画表２">#REF!</definedName>
    <definedName name="設計原価管理体系表.XLS">#REF!</definedName>
    <definedName name="設計原価管理体系表990816.XLS">#REF!</definedName>
    <definedName name="販売中止（削除1）">#REF!</definedName>
    <definedName name="費消率グラフへ">#REF!</definedName>
    <definedName name="限量経営内RC">#REF!</definedName>
    <definedName name="限量経営工場計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1" i="1" l="1"/>
  <c r="J140" i="1"/>
  <c r="J142" i="1"/>
  <c r="C142" i="1"/>
  <c r="C141" i="1" l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J120" i="1"/>
  <c r="C120" i="1"/>
  <c r="J61" i="1"/>
  <c r="C61" i="1"/>
  <c r="J118" i="1"/>
  <c r="C118" i="1"/>
  <c r="J117" i="1"/>
  <c r="C117" i="1"/>
  <c r="J116" i="1"/>
  <c r="C116" i="1"/>
  <c r="J115" i="1"/>
  <c r="C115" i="1"/>
  <c r="J114" i="1"/>
  <c r="C114" i="1"/>
  <c r="J113" i="1"/>
  <c r="C113" i="1"/>
  <c r="J112" i="1"/>
  <c r="C112" i="1"/>
  <c r="J111" i="1"/>
  <c r="C111" i="1"/>
  <c r="J110" i="1"/>
  <c r="C110" i="1"/>
  <c r="J109" i="1"/>
  <c r="C109" i="1"/>
  <c r="J108" i="1"/>
  <c r="C108" i="1"/>
  <c r="J107" i="1"/>
  <c r="C107" i="1"/>
  <c r="J106" i="1"/>
  <c r="C106" i="1"/>
  <c r="J105" i="1"/>
  <c r="C105" i="1"/>
  <c r="J104" i="1"/>
  <c r="C104" i="1"/>
  <c r="J103" i="1"/>
  <c r="C103" i="1"/>
  <c r="J23" i="1"/>
  <c r="C23" i="1"/>
  <c r="J101" i="1"/>
  <c r="C101" i="1"/>
  <c r="J100" i="1"/>
  <c r="C100" i="1"/>
  <c r="J99" i="1"/>
  <c r="C99" i="1"/>
  <c r="J98" i="1"/>
  <c r="C98" i="1"/>
  <c r="J97" i="1"/>
  <c r="C97" i="1"/>
  <c r="J96" i="1"/>
  <c r="C96" i="1"/>
  <c r="J95" i="1"/>
  <c r="C95" i="1"/>
  <c r="J94" i="1"/>
  <c r="C94" i="1"/>
  <c r="J93" i="1"/>
  <c r="C93" i="1"/>
  <c r="J92" i="1"/>
  <c r="C92" i="1"/>
  <c r="J60" i="1"/>
  <c r="C60" i="1"/>
  <c r="J90" i="1"/>
  <c r="C90" i="1"/>
  <c r="J89" i="1"/>
  <c r="C89" i="1"/>
  <c r="J88" i="1"/>
  <c r="C88" i="1"/>
  <c r="J87" i="1"/>
  <c r="C87" i="1"/>
  <c r="J86" i="1"/>
  <c r="C86" i="1"/>
  <c r="J85" i="1"/>
  <c r="C85" i="1"/>
  <c r="J84" i="1"/>
  <c r="C84" i="1"/>
  <c r="J30" i="1"/>
  <c r="C30" i="1"/>
  <c r="J82" i="1"/>
  <c r="C82" i="1"/>
  <c r="J81" i="1"/>
  <c r="C81" i="1"/>
  <c r="J80" i="1"/>
  <c r="C80" i="1"/>
  <c r="J79" i="1"/>
  <c r="C79" i="1"/>
  <c r="J45" i="1"/>
  <c r="C45" i="1"/>
  <c r="J77" i="1"/>
  <c r="C77" i="1"/>
  <c r="J76" i="1"/>
  <c r="C76" i="1"/>
  <c r="J44" i="1"/>
  <c r="C44" i="1"/>
  <c r="J119" i="1"/>
  <c r="C119" i="1"/>
  <c r="J41" i="1"/>
  <c r="C41" i="1"/>
  <c r="J102" i="1"/>
  <c r="C102" i="1"/>
  <c r="J57" i="1"/>
  <c r="C57" i="1"/>
  <c r="J55" i="1"/>
  <c r="C55" i="1"/>
  <c r="J69" i="1"/>
  <c r="C69" i="1"/>
  <c r="J68" i="1"/>
  <c r="C68" i="1"/>
  <c r="J67" i="1"/>
  <c r="C67" i="1"/>
  <c r="J53" i="1"/>
  <c r="C53" i="1"/>
  <c r="J65" i="1"/>
  <c r="C65" i="1"/>
  <c r="J64" i="1"/>
  <c r="C64" i="1"/>
  <c r="J63" i="1"/>
  <c r="C63" i="1"/>
  <c r="J62" i="1"/>
  <c r="C62" i="1"/>
  <c r="J40" i="1"/>
  <c r="C40" i="1"/>
  <c r="J29" i="1"/>
  <c r="C29" i="1"/>
  <c r="J59" i="1"/>
  <c r="C59" i="1"/>
  <c r="J58" i="1"/>
  <c r="C58" i="1"/>
  <c r="J91" i="1"/>
  <c r="C91" i="1"/>
  <c r="J56" i="1"/>
  <c r="C56" i="1"/>
  <c r="J51" i="1"/>
  <c r="C51" i="1"/>
  <c r="J54" i="1"/>
  <c r="C54" i="1"/>
  <c r="J38" i="1"/>
  <c r="C38" i="1"/>
  <c r="J52" i="1"/>
  <c r="C52" i="1"/>
  <c r="J48" i="1"/>
  <c r="C48" i="1"/>
  <c r="J50" i="1"/>
  <c r="C50" i="1"/>
  <c r="J49" i="1"/>
  <c r="C49" i="1"/>
  <c r="J83" i="1"/>
  <c r="C83" i="1"/>
  <c r="J47" i="1"/>
  <c r="C47" i="1"/>
  <c r="J78" i="1"/>
  <c r="C78" i="1"/>
  <c r="J28" i="1"/>
  <c r="C28" i="1"/>
  <c r="J75" i="1"/>
  <c r="C75" i="1"/>
  <c r="J43" i="1"/>
  <c r="C43" i="1"/>
  <c r="J42" i="1"/>
  <c r="C42" i="1"/>
  <c r="J74" i="1"/>
  <c r="C74" i="1"/>
  <c r="J22" i="1"/>
  <c r="C22" i="1"/>
  <c r="J39" i="1"/>
  <c r="C39" i="1"/>
  <c r="J26" i="1"/>
  <c r="C26" i="1"/>
  <c r="J37" i="1"/>
  <c r="C37" i="1"/>
  <c r="J73" i="1"/>
  <c r="C73" i="1"/>
  <c r="J35" i="1"/>
  <c r="C35" i="1"/>
  <c r="J36" i="1"/>
  <c r="C36" i="1"/>
  <c r="J34" i="1"/>
  <c r="C34" i="1"/>
  <c r="J32" i="1"/>
  <c r="C32" i="1"/>
  <c r="J31" i="1"/>
  <c r="C31" i="1"/>
  <c r="J46" i="1"/>
  <c r="C46" i="1"/>
  <c r="J72" i="1"/>
  <c r="C72" i="1"/>
  <c r="J71" i="1"/>
  <c r="C71" i="1"/>
  <c r="J27" i="1"/>
  <c r="J70" i="1"/>
  <c r="C70" i="1"/>
  <c r="J25" i="1"/>
  <c r="C25" i="1"/>
  <c r="J24" i="1"/>
  <c r="C24" i="1"/>
  <c r="J66" i="1"/>
  <c r="C66" i="1"/>
  <c r="J33" i="1"/>
  <c r="C3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Quy Doan</author>
    <author>Thieu Thi Tu Anh</author>
  </authors>
  <commentList>
    <comment ref="C8" authorId="0" shapeId="0" xr:uid="{E8642158-0140-4810-8A18-6D7A9ECFDA98}">
      <text>
        <r>
          <rPr>
            <b/>
            <sz val="9"/>
            <color indexed="81"/>
            <rFont val="Tahoma"/>
            <family val="2"/>
          </rPr>
          <t>Quy Doan:</t>
        </r>
        <r>
          <rPr>
            <sz val="9"/>
            <color indexed="81"/>
            <rFont val="Tahoma"/>
            <family val="2"/>
          </rPr>
          <t xml:space="preserve">
bh trả</t>
        </r>
      </text>
    </comment>
    <comment ref="C10" authorId="0" shapeId="0" xr:uid="{C93F74CB-967F-46BF-BFED-B4686B339914}">
      <text>
        <r>
          <rPr>
            <b/>
            <sz val="9"/>
            <color indexed="81"/>
            <rFont val="Tahoma"/>
            <family val="2"/>
          </rPr>
          <t>Quy Doan:</t>
        </r>
        <r>
          <rPr>
            <sz val="9"/>
            <color indexed="81"/>
            <rFont val="Tahoma"/>
            <family val="2"/>
          </rPr>
          <t xml:space="preserve">
công ty trả</t>
        </r>
      </text>
    </comment>
    <comment ref="C11" authorId="1" shapeId="0" xr:uid="{FE869207-2A64-483B-AF72-3168AD9AD510}">
      <text>
        <r>
          <rPr>
            <b/>
            <sz val="9"/>
            <color indexed="81"/>
            <rFont val="Tahoma"/>
            <family val="2"/>
          </rPr>
          <t>Thieu Thi Tu Anh:</t>
        </r>
        <r>
          <rPr>
            <sz val="9"/>
            <color indexed="81"/>
            <rFont val="Tahoma"/>
            <family val="2"/>
          </rPr>
          <t xml:space="preserve">
khám thai,trừ nc nhưng ko trừ CC</t>
        </r>
      </text>
    </comment>
  </commentList>
</comments>
</file>

<file path=xl/sharedStrings.xml><?xml version="1.0" encoding="utf-8"?>
<sst xmlns="http://schemas.openxmlformats.org/spreadsheetml/2006/main" count="867" uniqueCount="319">
  <si>
    <t>D</t>
  </si>
  <si>
    <t>Ca đêm 8h</t>
  </si>
  <si>
    <t>AL8</t>
  </si>
  <si>
    <t xml:space="preserve">Nghỉ phép năm 01 ngày </t>
  </si>
  <si>
    <t>AL4</t>
  </si>
  <si>
    <t>Nghỉ nửa ngày phép năm</t>
  </si>
  <si>
    <t>BS</t>
  </si>
  <si>
    <t>Công tác</t>
  </si>
  <si>
    <t>CĐ</t>
  </si>
  <si>
    <t>leave with payment (nghỉ hưởng lương: cưới, tang)</t>
  </si>
  <si>
    <t>SL</t>
  </si>
  <si>
    <t>sick ( BHXH)</t>
  </si>
  <si>
    <t>UP8</t>
  </si>
  <si>
    <t>Absent no salary(nghỉ không hưởng lương)</t>
  </si>
  <si>
    <t>S</t>
  </si>
  <si>
    <t>Materity (Khám thai cty trả)</t>
  </si>
  <si>
    <t>M</t>
  </si>
  <si>
    <t>Materity (Khám thai BH trả)</t>
  </si>
  <si>
    <t>NP</t>
  </si>
  <si>
    <t>Abent without permission(vắng không lý do)</t>
  </si>
  <si>
    <t>TV</t>
  </si>
  <si>
    <t>Resign(thôi việc)</t>
  </si>
  <si>
    <t>H</t>
  </si>
  <si>
    <t>Hoilydays</t>
  </si>
  <si>
    <t>PO</t>
  </si>
  <si>
    <t>Pay Off (Nghỉ hưởng 100% lương)</t>
  </si>
  <si>
    <t>WOT</t>
  </si>
  <si>
    <t>Nghỉ bù(Compensatory leave)</t>
  </si>
  <si>
    <t>CV-19</t>
  </si>
  <si>
    <t>Cách ly tại nhà</t>
  </si>
  <si>
    <t>WH</t>
  </si>
  <si>
    <t>Working home (Làm việc tại nhà)</t>
  </si>
  <si>
    <t>KHÔNG ĐI</t>
  </si>
  <si>
    <t>ĐI</t>
  </si>
  <si>
    <t>STT
 No</t>
  </si>
  <si>
    <t>Code</t>
  </si>
  <si>
    <t>Số Thẻ
Code</t>
  </si>
  <si>
    <t>Họ và Tên
Full Name</t>
  </si>
  <si>
    <t>PHÒNG BAN
Department</t>
  </si>
  <si>
    <t>BỘ PHẬN
Section</t>
  </si>
  <si>
    <t>CHỨC VỤ 
Position</t>
  </si>
  <si>
    <t>NGÀY VÀO LÀM 
Start day worrking</t>
  </si>
  <si>
    <t>Note</t>
  </si>
  <si>
    <t>Nguyễn Văn Thảo</t>
  </si>
  <si>
    <t>F-C003</t>
  </si>
  <si>
    <t>02603</t>
  </si>
  <si>
    <t>Foaming</t>
  </si>
  <si>
    <t>FOAMING Splitting</t>
  </si>
  <si>
    <t>Phan Hoàng Linh</t>
  </si>
  <si>
    <t>01079</t>
  </si>
  <si>
    <t>Team Leader</t>
  </si>
  <si>
    <t>Nguyễn Thị Diễm Trang</t>
  </si>
  <si>
    <t>00295</t>
  </si>
  <si>
    <t>Worker</t>
  </si>
  <si>
    <t>Nguyễn Văn Vạn</t>
  </si>
  <si>
    <t>01221</t>
  </si>
  <si>
    <t>Huỳnh Văn Trường</t>
  </si>
  <si>
    <t>01362</t>
  </si>
  <si>
    <t>Operator</t>
  </si>
  <si>
    <t>Đinh Chí Linh</t>
  </si>
  <si>
    <t>F-C002</t>
  </si>
  <si>
    <t>02075</t>
  </si>
  <si>
    <t>FOAMING Rectangular</t>
  </si>
  <si>
    <t>Hoàng Văn Tuấn</t>
  </si>
  <si>
    <t>02076</t>
  </si>
  <si>
    <t>Trương Văn Đạt</t>
  </si>
  <si>
    <t>02067</t>
  </si>
  <si>
    <t>Phạm Tuấn Dũ</t>
  </si>
  <si>
    <t>02130</t>
  </si>
  <si>
    <t>Nguyễn Văn Trọn</t>
  </si>
  <si>
    <t>02101</t>
  </si>
  <si>
    <t>Đặng Thị Diễm My</t>
  </si>
  <si>
    <t>F-F001</t>
  </si>
  <si>
    <t>02139</t>
  </si>
  <si>
    <t>FOAMING Production control</t>
  </si>
  <si>
    <t>Senior Staff</t>
  </si>
  <si>
    <t>Đặng Minh Dương</t>
  </si>
  <si>
    <t>02133</t>
  </si>
  <si>
    <t>Võ Thị Hồng Quy</t>
  </si>
  <si>
    <t>02150</t>
  </si>
  <si>
    <t>Trần Kim Giàu</t>
  </si>
  <si>
    <t>02165</t>
  </si>
  <si>
    <t>Trần Văn Nhựt</t>
  </si>
  <si>
    <t>02163</t>
  </si>
  <si>
    <t>Nguyễn Văn Hưởng</t>
  </si>
  <si>
    <t>02166</t>
  </si>
  <si>
    <t>Lê Phong Nhã</t>
  </si>
  <si>
    <t>02239</t>
  </si>
  <si>
    <t>Group Leader</t>
  </si>
  <si>
    <t>Nguyễn Hoài Nam</t>
  </si>
  <si>
    <t>02271</t>
  </si>
  <si>
    <t>Associate Specialist</t>
  </si>
  <si>
    <t>Lê Phúc Sang</t>
  </si>
  <si>
    <t>50004</t>
  </si>
  <si>
    <t>Supervisor</t>
  </si>
  <si>
    <t>Lâm Hoàng Đặng</t>
  </si>
  <si>
    <t>02111</t>
  </si>
  <si>
    <t>02107</t>
  </si>
  <si>
    <t>Nguyễn Vũ Em</t>
  </si>
  <si>
    <t>Lê Cao Tài</t>
  </si>
  <si>
    <t>02126</t>
  </si>
  <si>
    <t>Cao Thanh Ngọc</t>
  </si>
  <si>
    <t>02132</t>
  </si>
  <si>
    <t>02167</t>
  </si>
  <si>
    <t>Võ Hữu Nghi</t>
  </si>
  <si>
    <t>Nguyễn Hữu Diện</t>
  </si>
  <si>
    <t>02174</t>
  </si>
  <si>
    <t>Nguyễn Bảo Lăng</t>
  </si>
  <si>
    <t>02190</t>
  </si>
  <si>
    <t>Nguyễn Văn Thịnh</t>
  </si>
  <si>
    <t>02108</t>
  </si>
  <si>
    <t>Thái Thị Trúc Ly</t>
  </si>
  <si>
    <t>02289</t>
  </si>
  <si>
    <t>Nguyễn Thị Ngọc Lan</t>
  </si>
  <si>
    <t>02320</t>
  </si>
  <si>
    <t>Biện Công Phúc Vy</t>
  </si>
  <si>
    <t>02328</t>
  </si>
  <si>
    <t>Lâm Thị Tú Phương</t>
  </si>
  <si>
    <t>02322</t>
  </si>
  <si>
    <t>Nguyễn Văn Khánh</t>
  </si>
  <si>
    <t>02352</t>
  </si>
  <si>
    <t>Skilled worker</t>
  </si>
  <si>
    <t>02336</t>
  </si>
  <si>
    <t>Phạm Hoàng Nam</t>
  </si>
  <si>
    <t>02474</t>
  </si>
  <si>
    <t>Nguyễn Anh Tú</t>
  </si>
  <si>
    <t>Nguyễn Hà Trang</t>
  </si>
  <si>
    <t>02514</t>
  </si>
  <si>
    <t>Nguyễn Xuân Tiến</t>
  </si>
  <si>
    <t>02604</t>
  </si>
  <si>
    <t>Võ Thị Thu Hằng</t>
  </si>
  <si>
    <t>02737</t>
  </si>
  <si>
    <t>Lê Huỳnh Hân</t>
  </si>
  <si>
    <t>02786</t>
  </si>
  <si>
    <t>Khưu Thanh Nhã</t>
  </si>
  <si>
    <t>02793</t>
  </si>
  <si>
    <t>02920</t>
  </si>
  <si>
    <t>Nguyễn Tuấn Kiệt</t>
  </si>
  <si>
    <t>Nguyễn Thị Hoàng Ngọc Phượng</t>
  </si>
  <si>
    <t>02929</t>
  </si>
  <si>
    <t>Lê Hữu Dũng</t>
  </si>
  <si>
    <t>00012</t>
  </si>
  <si>
    <t>Deputy Foaming Manager</t>
  </si>
  <si>
    <t>Nguyễn Việt Hưng</t>
  </si>
  <si>
    <t>03053</t>
  </si>
  <si>
    <t>Nguyễn Ngọc Đức</t>
  </si>
  <si>
    <t>03065</t>
  </si>
  <si>
    <t>Hồ Phú Hữu</t>
  </si>
  <si>
    <t>03071</t>
  </si>
  <si>
    <t>Nguyễn Thị Muội</t>
  </si>
  <si>
    <t>03075</t>
  </si>
  <si>
    <t>Nguyễn Thị Thu Thảo</t>
  </si>
  <si>
    <t>03107</t>
  </si>
  <si>
    <t>Nguyễn Thị Cẩm Nguyên</t>
  </si>
  <si>
    <t>03108</t>
  </si>
  <si>
    <t>Nguyễn Văn Kha</t>
  </si>
  <si>
    <t>03227</t>
  </si>
  <si>
    <t>Lê Duy Khang</t>
  </si>
  <si>
    <t>03267</t>
  </si>
  <si>
    <t>Nguyễn Văn Sáng</t>
  </si>
  <si>
    <t>03363</t>
  </si>
  <si>
    <t>Lê Chí Hiển</t>
  </si>
  <si>
    <t>03366</t>
  </si>
  <si>
    <t>Phan Minh Gạch</t>
  </si>
  <si>
    <t>03373</t>
  </si>
  <si>
    <t>Ngô Vũ Luân</t>
  </si>
  <si>
    <t>03376</t>
  </si>
  <si>
    <t>Giáp Thị Kiều</t>
  </si>
  <si>
    <t>03514</t>
  </si>
  <si>
    <t>Phạm Thị Kim Nhung</t>
  </si>
  <si>
    <t>03515</t>
  </si>
  <si>
    <t>Nguyễn Văn Sành</t>
  </si>
  <si>
    <t>03521</t>
  </si>
  <si>
    <t>Nguyễn Tuấn Vũ</t>
  </si>
  <si>
    <t>03564</t>
  </si>
  <si>
    <t>Phạm Thị Ngọt</t>
  </si>
  <si>
    <t>03575</t>
  </si>
  <si>
    <t>Huỳnh Hữu Trí</t>
  </si>
  <si>
    <t>03651</t>
  </si>
  <si>
    <t>Associate Engineer</t>
  </si>
  <si>
    <t>Nguyễn Thị Bích Duyên</t>
  </si>
  <si>
    <t>02538</t>
  </si>
  <si>
    <t>Hồ Văn Tuốt</t>
  </si>
  <si>
    <t>03783</t>
  </si>
  <si>
    <t>Huỳnh Trọng Kha</t>
  </si>
  <si>
    <t>03781</t>
  </si>
  <si>
    <t>Nguyễn Thị Thanh Tâm</t>
  </si>
  <si>
    <t>03907</t>
  </si>
  <si>
    <t>Staff</t>
  </si>
  <si>
    <t>Nguyễn Văn Sự</t>
  </si>
  <si>
    <t>04004</t>
  </si>
  <si>
    <t>Phạm Việt Hà</t>
  </si>
  <si>
    <t>04043</t>
  </si>
  <si>
    <t>Foaming Operation Director</t>
  </si>
  <si>
    <t>Lý Tuyết Mịnh</t>
  </si>
  <si>
    <t>04044</t>
  </si>
  <si>
    <t>Lê Đoàn Vũ</t>
  </si>
  <si>
    <t>04046</t>
  </si>
  <si>
    <t>Danh Tấn Đức</t>
  </si>
  <si>
    <t>04047</t>
  </si>
  <si>
    <t>Huỳnh Minh An</t>
  </si>
  <si>
    <t>04064</t>
  </si>
  <si>
    <t>Trần Thanh Hùng Em</t>
  </si>
  <si>
    <t>04066</t>
  </si>
  <si>
    <t>Phạm Văn Sang</t>
  </si>
  <si>
    <t>04067</t>
  </si>
  <si>
    <t>Huỳnh Văn Mãi</t>
  </si>
  <si>
    <t>04079</t>
  </si>
  <si>
    <t>Nguyễn Văn Thủy</t>
  </si>
  <si>
    <t>04080</t>
  </si>
  <si>
    <t>04112</t>
  </si>
  <si>
    <t>Trần Thanh Đại</t>
  </si>
  <si>
    <t>04151</t>
  </si>
  <si>
    <t>Đặng Đông Tình</t>
  </si>
  <si>
    <t>04152</t>
  </si>
  <si>
    <t>Nguyễn Hà Sang</t>
  </si>
  <si>
    <t>04195</t>
  </si>
  <si>
    <t>Lê Văn Tươi</t>
  </si>
  <si>
    <t>04196</t>
  </si>
  <si>
    <t>Hồ Quốc Tế</t>
  </si>
  <si>
    <t>04237</t>
  </si>
  <si>
    <t>Phan Kiều Diễm</t>
  </si>
  <si>
    <t>04240</t>
  </si>
  <si>
    <t>Trầm Công Lý</t>
  </si>
  <si>
    <t>Junior Technician</t>
  </si>
  <si>
    <t>04283</t>
  </si>
  <si>
    <t>Lê Trung Lil</t>
  </si>
  <si>
    <t>04313</t>
  </si>
  <si>
    <t>Nguyễn Hồng Thuận</t>
  </si>
  <si>
    <t>04314</t>
  </si>
  <si>
    <t>Nguyễn Trọng Sơn</t>
  </si>
  <si>
    <t>04392</t>
  </si>
  <si>
    <t>Lê Phi Công</t>
  </si>
  <si>
    <t>04393</t>
  </si>
  <si>
    <t>Ngô Vũ Phương</t>
  </si>
  <si>
    <t>04420</t>
  </si>
  <si>
    <t>Nguyễn Quốc Nam</t>
  </si>
  <si>
    <t>04421</t>
  </si>
  <si>
    <t>Lâm Tấn Đạt</t>
  </si>
  <si>
    <t>04424</t>
  </si>
  <si>
    <t>Huỳnh Tài Chánh</t>
  </si>
  <si>
    <t>04425</t>
  </si>
  <si>
    <t>Trương Văn Trong</t>
  </si>
  <si>
    <t>Forklift Driver</t>
  </si>
  <si>
    <t>04462</t>
  </si>
  <si>
    <t>Danh Tiền</t>
  </si>
  <si>
    <t>04464</t>
  </si>
  <si>
    <t>Hà Thành Đạt</t>
  </si>
  <si>
    <t>04465</t>
  </si>
  <si>
    <t>Trần Văn Linh</t>
  </si>
  <si>
    <t>04517</t>
  </si>
  <si>
    <t>Hoàng Văn Anh</t>
  </si>
  <si>
    <t>04546</t>
  </si>
  <si>
    <t>Nguyễn Thái Hoàng</t>
  </si>
  <si>
    <t>04667</t>
  </si>
  <si>
    <t>Hoàng Minh Thuỳ</t>
  </si>
  <si>
    <t xml:space="preserve">Chemical Associate Engineer </t>
  </si>
  <si>
    <t>04681</t>
  </si>
  <si>
    <t>Đoàn Minh Trí</t>
  </si>
  <si>
    <t>04820</t>
  </si>
  <si>
    <t>Trần Tuấn Anh</t>
  </si>
  <si>
    <t>02396</t>
  </si>
  <si>
    <t>Trương Hồng Gấm</t>
  </si>
  <si>
    <t>04926</t>
  </si>
  <si>
    <t>Phan Hải Giang</t>
  </si>
  <si>
    <t>04974</t>
  </si>
  <si>
    <t>Lê Đắc Đức</t>
  </si>
  <si>
    <t>02/03/2026</t>
  </si>
  <si>
    <t>04975</t>
  </si>
  <si>
    <t>Lê Bá Thế Anh</t>
  </si>
  <si>
    <t>04976</t>
  </si>
  <si>
    <t>Huỳnh Đức Trung</t>
  </si>
  <si>
    <t>04981</t>
  </si>
  <si>
    <t>Trần Thanh Phúc</t>
  </si>
  <si>
    <t>04982</t>
  </si>
  <si>
    <t>Đoàn Quốc Lập</t>
  </si>
  <si>
    <t>04983</t>
  </si>
  <si>
    <t>Lê Hà Gia Phát</t>
  </si>
  <si>
    <t>04993</t>
  </si>
  <si>
    <t>Võ Văn Long</t>
  </si>
  <si>
    <t>05/03/2026</t>
  </si>
  <si>
    <t>05001</t>
  </si>
  <si>
    <t>Thạch Som</t>
  </si>
  <si>
    <t>05064</t>
  </si>
  <si>
    <t>Dương Trùng Vương</t>
  </si>
  <si>
    <t>19/03/2026</t>
  </si>
  <si>
    <t>05065</t>
  </si>
  <si>
    <t>Nguyễn Bá Kiên</t>
  </si>
  <si>
    <t>05066</t>
  </si>
  <si>
    <t>Phạm Văn Trường</t>
  </si>
  <si>
    <t>05067</t>
  </si>
  <si>
    <t>Dương Văn Bảo</t>
  </si>
  <si>
    <t>05089</t>
  </si>
  <si>
    <t xml:space="preserve">Dương Đại Vĩ </t>
  </si>
  <si>
    <t>27/03/2026</t>
  </si>
  <si>
    <t>05091</t>
  </si>
  <si>
    <t>Phan Nguyễn Trọng Đức</t>
  </si>
  <si>
    <t>Foaming Manager</t>
  </si>
  <si>
    <t>31/03/2026</t>
  </si>
  <si>
    <t>05094</t>
  </si>
  <si>
    <t>Nguyễn Văn Đầy</t>
  </si>
  <si>
    <t>02/04/2026</t>
  </si>
  <si>
    <t>05110</t>
  </si>
  <si>
    <t>Trịnh Văn Túc</t>
  </si>
  <si>
    <t>05111</t>
  </si>
  <si>
    <t>Châu Hoàng Giang</t>
  </si>
  <si>
    <t>05112</t>
  </si>
  <si>
    <t>Phạm Trọng Nghĩa</t>
  </si>
  <si>
    <t>03406</t>
  </si>
  <si>
    <t>Ngô Thị Mỹ Xuyên</t>
  </si>
  <si>
    <t>Nghỉ thai sản</t>
  </si>
  <si>
    <t>02397</t>
  </si>
  <si>
    <t>Nguyễn Thị Kim Phụng</t>
  </si>
  <si>
    <t>03909</t>
  </si>
  <si>
    <t>Phạm Trương Thanh Hoài</t>
  </si>
  <si>
    <t>Đã nghỉ việc đang tuyển thay thế</t>
  </si>
  <si>
    <t>Dương Vĩnh Lâm</t>
  </si>
  <si>
    <t>Foaming Supervisor</t>
  </si>
  <si>
    <t>18/7/2024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</si>
</sst>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₫_-;\-* #,##0.00\ _₫_-;_-* &quot;-&quot;??\ _₫_-;_-@_-"/>
    <numFmt numFmtId="165" formatCode="_(* #,##0.0_);_(* \(#,##0.0\);_(* &quot;-&quot;??_);_(@_)"/>
    <numFmt numFmtId="166" formatCode="[$-1000000]00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1"/>
      <name val="Times New Roman"/>
      <family val="1"/>
    </font>
    <font>
      <b/>
      <sz val="15"/>
      <name val="Times New Roman"/>
      <family val="1"/>
    </font>
    <font>
      <b/>
      <sz val="9"/>
      <color rgb="FFFF0000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8"/>
      <color theme="1"/>
      <name val="Times New Roman"/>
      <family val="1"/>
    </font>
    <font>
      <sz val="13"/>
      <color theme="1"/>
      <name val="Times New Roman"/>
      <family val="1"/>
    </font>
    <font>
      <sz val="13"/>
      <name val="Times New Roman"/>
      <family val="1"/>
    </font>
    <font>
      <b/>
      <u/>
      <sz val="13"/>
      <name val="Times New Roman"/>
      <family val="1"/>
    </font>
    <font>
      <sz val="7"/>
      <name val="Times New Roman"/>
      <family val="1"/>
    </font>
    <font>
      <sz val="7"/>
      <color theme="1"/>
      <name val="Times New Roman"/>
      <family val="1"/>
    </font>
    <font>
      <b/>
      <u/>
      <sz val="7"/>
      <color rgb="FFFF0000"/>
      <name val="Times New Roman"/>
      <family val="1"/>
    </font>
    <font>
      <b/>
      <sz val="8"/>
      <color theme="1"/>
      <name val="Times New Roman"/>
      <family val="1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0" fontId="18" fillId="0" borderId="0"/>
    <xf numFmtId="0" fontId="1" fillId="0" borderId="0"/>
  </cellStyleXfs>
  <cellXfs count="51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14" fontId="10" fillId="0" borderId="0" xfId="0" applyNumberFormat="1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14" fontId="11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165" fontId="15" fillId="0" borderId="0" xfId="1" applyNumberFormat="1" applyFont="1" applyFill="1" applyAlignment="1">
      <alignment horizontal="center" vertical="center"/>
    </xf>
    <xf numFmtId="165" fontId="14" fillId="0" borderId="0" xfId="1" applyNumberFormat="1" applyFont="1" applyFill="1" applyBorder="1" applyAlignment="1">
      <alignment horizontal="center" vertical="center"/>
    </xf>
    <xf numFmtId="165" fontId="16" fillId="0" borderId="0" xfId="1" applyNumberFormat="1" applyFont="1" applyFill="1" applyAlignment="1">
      <alignment horizontal="left" vertical="center"/>
    </xf>
    <xf numFmtId="165" fontId="15" fillId="0" borderId="0" xfId="1" applyNumberFormat="1" applyFont="1" applyFill="1" applyAlignment="1">
      <alignment horizontal="left" vertical="center"/>
    </xf>
    <xf numFmtId="0" fontId="11" fillId="0" borderId="0" xfId="0" applyFont="1" applyAlignment="1">
      <alignment horizontal="left"/>
    </xf>
    <xf numFmtId="14" fontId="11" fillId="0" borderId="0" xfId="0" applyNumberFormat="1" applyFont="1" applyAlignment="1">
      <alignment horizontal="center"/>
    </xf>
    <xf numFmtId="0" fontId="10" fillId="3" borderId="0" xfId="0" applyFont="1" applyFill="1"/>
    <xf numFmtId="0" fontId="17" fillId="2" borderId="2" xfId="0" applyFont="1" applyFill="1" applyBorder="1" applyAlignment="1">
      <alignment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7" fillId="0" borderId="3" xfId="0" quotePrefix="1" applyFont="1" applyBorder="1" applyAlignment="1">
      <alignment horizontal="center" vertical="center"/>
    </xf>
    <xf numFmtId="2" fontId="7" fillId="0" borderId="3" xfId="0" quotePrefix="1" applyNumberFormat="1" applyFont="1" applyBorder="1" applyAlignment="1">
      <alignment horizontal="center" vertical="center"/>
    </xf>
    <xf numFmtId="166" fontId="7" fillId="0" borderId="1" xfId="2" quotePrefix="1" applyNumberFormat="1" applyFont="1" applyBorder="1" applyAlignment="1">
      <alignment horizontal="center" vertical="center"/>
    </xf>
    <xf numFmtId="0" fontId="7" fillId="0" borderId="1" xfId="2" applyFont="1" applyBorder="1" applyAlignment="1">
      <alignment horizontal="left" vertical="center"/>
    </xf>
    <xf numFmtId="2" fontId="7" fillId="0" borderId="1" xfId="3" applyNumberFormat="1" applyFont="1" applyBorder="1" applyAlignment="1">
      <alignment horizontal="left" vertical="center"/>
    </xf>
    <xf numFmtId="2" fontId="8" fillId="0" borderId="1" xfId="3" applyNumberFormat="1" applyFont="1" applyBorder="1" applyAlignment="1">
      <alignment horizontal="left" vertical="center"/>
    </xf>
    <xf numFmtId="14" fontId="7" fillId="0" borderId="1" xfId="3" applyNumberFormat="1" applyFont="1" applyBorder="1" applyAlignment="1">
      <alignment horizontal="center" vertical="center"/>
    </xf>
    <xf numFmtId="0" fontId="7" fillId="4" borderId="0" xfId="0" applyFont="1" applyFill="1" applyAlignment="1">
      <alignment vertical="center"/>
    </xf>
    <xf numFmtId="166" fontId="8" fillId="0" borderId="1" xfId="0" quotePrefix="1" applyNumberFormat="1" applyFont="1" applyBorder="1" applyAlignment="1">
      <alignment horizontal="center" vertical="center"/>
    </xf>
    <xf numFmtId="166" fontId="7" fillId="3" borderId="1" xfId="2" quotePrefix="1" applyNumberFormat="1" applyFont="1" applyFill="1" applyBorder="1" applyAlignment="1">
      <alignment horizontal="center" vertical="center"/>
    </xf>
    <xf numFmtId="0" fontId="7" fillId="3" borderId="1" xfId="2" applyFont="1" applyFill="1" applyBorder="1" applyAlignment="1">
      <alignment horizontal="left" vertical="center"/>
    </xf>
    <xf numFmtId="166" fontId="8" fillId="0" borderId="1" xfId="2" quotePrefix="1" applyNumberFormat="1" applyFont="1" applyBorder="1" applyAlignment="1">
      <alignment horizontal="center" vertical="center"/>
    </xf>
    <xf numFmtId="14" fontId="7" fillId="0" borderId="1" xfId="3" quotePrefix="1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7" fillId="0" borderId="1" xfId="0" applyFont="1" applyBorder="1" applyAlignment="1">
      <alignment vertical="center"/>
    </xf>
    <xf numFmtId="0" fontId="7" fillId="4" borderId="1" xfId="0" applyFont="1" applyFill="1" applyBorder="1" applyAlignment="1">
      <alignment vertical="center"/>
    </xf>
    <xf numFmtId="0" fontId="0" fillId="0" borderId="1" xfId="0" applyBorder="1"/>
    <xf numFmtId="2" fontId="7" fillId="0" borderId="1" xfId="3" applyNumberFormat="1" applyFont="1" applyBorder="1" applyAlignment="1">
      <alignment horizontal="center" vertical="center"/>
    </xf>
    <xf numFmtId="166" fontId="7" fillId="5" borderId="1" xfId="2" quotePrefix="1" applyNumberFormat="1" applyFont="1" applyFill="1" applyBorder="1" applyAlignment="1">
      <alignment horizontal="center" vertical="center"/>
    </xf>
    <xf numFmtId="0" fontId="7" fillId="5" borderId="1" xfId="2" applyFont="1" applyFill="1" applyBorder="1" applyAlignment="1">
      <alignment horizontal="left" vertical="center"/>
    </xf>
    <xf numFmtId="166" fontId="8" fillId="5" borderId="1" xfId="2" quotePrefix="1" applyNumberFormat="1" applyFont="1" applyFill="1" applyBorder="1" applyAlignment="1">
      <alignment horizontal="center" vertical="center"/>
    </xf>
  </cellXfs>
  <cellStyles count="5">
    <cellStyle name="Comma" xfId="1" builtinId="3"/>
    <cellStyle name="Normal" xfId="0" builtinId="0"/>
    <cellStyle name="Normal 10" xfId="2" xr:uid="{BDD98A39-33DE-4BB8-AA37-B1FB92C90522}"/>
    <cellStyle name="Normal 4" xfId="4" xr:uid="{65BE7283-C593-425E-BBF3-D3B7608B399D}"/>
    <cellStyle name="一般_Sheet1" xfId="3" xr:uid="{FE885AC6-95BF-4FD1-A89B-BE2A4049A73C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ortholitevietnam.sharepoint.com/sites/foaming/Shared%20Documents/Foaming/18.PIC%20T&#226;m/REPORT%20-PIC%20TAM/Danh%20s&#225;ch%20ph&#7843;n%20h&#7891;i%20t&#7893;ng.xlsx" TargetMode="External"/><Relationship Id="rId1" Type="http://schemas.openxmlformats.org/officeDocument/2006/relationships/externalLinkPath" Target="https://ortholitevietnam.sharepoint.com/sites/foaming/Shared%20Documents/Foaming/18.PIC%20T&#226;m/REPORT%20-PIC%20TAM/Danh%20s&#225;ch%20ph&#7843;n%20h&#7891;i%20t&#7893;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aching"/>
      <sheetName val="Trainee-UMM"/>
      <sheetName val="4P Leadership (Insole)"/>
      <sheetName val="4P Leadership (Foaming)"/>
      <sheetName val="Sheet1"/>
      <sheetName val="Sheet2"/>
    </sheetNames>
    <sheetDataSet>
      <sheetData sheetId="0"/>
      <sheetData sheetId="1"/>
      <sheetData sheetId="2"/>
      <sheetData sheetId="3"/>
      <sheetData sheetId="4">
        <row r="1">
          <cell r="C1" t="str">
            <v>Số Thẻ
Code</v>
          </cell>
          <cell r="D1" t="str">
            <v>Họ và Tên
Full Name</v>
          </cell>
          <cell r="E1" t="str">
            <v>PHÒNG BAN
Department</v>
          </cell>
          <cell r="F1" t="str">
            <v>BỘ PHẬN
Section</v>
          </cell>
          <cell r="G1" t="str">
            <v>CHỨC VỤ 
Position</v>
          </cell>
          <cell r="H1" t="str">
            <v>NGÀY VÀO LÀM 
Start day worrking</v>
          </cell>
        </row>
        <row r="2">
          <cell r="C2" t="str">
            <v>00295</v>
          </cell>
          <cell r="D2" t="str">
            <v>Nguyễn Thị Diễm Trang</v>
          </cell>
          <cell r="E2" t="str">
            <v>Foaming</v>
          </cell>
          <cell r="F2" t="str">
            <v>FOAMING Splitting</v>
          </cell>
          <cell r="G2" t="str">
            <v>Worker</v>
          </cell>
          <cell r="H2">
            <v>41690</v>
          </cell>
        </row>
        <row r="3">
          <cell r="C3" t="str">
            <v>01079</v>
          </cell>
          <cell r="D3" t="str">
            <v>Phan Hoàng Linh</v>
          </cell>
          <cell r="E3" t="str">
            <v>Foaming</v>
          </cell>
          <cell r="F3" t="str">
            <v>FOAMING Splitting</v>
          </cell>
          <cell r="G3" t="str">
            <v>Operator</v>
          </cell>
          <cell r="H3">
            <v>43040</v>
          </cell>
        </row>
        <row r="4">
          <cell r="C4" t="str">
            <v>01221</v>
          </cell>
          <cell r="D4" t="str">
            <v>Nguyễn Văn Vạn</v>
          </cell>
          <cell r="E4" t="str">
            <v>Foaming</v>
          </cell>
          <cell r="F4" t="str">
            <v>FOAMING Splitting</v>
          </cell>
          <cell r="G4" t="str">
            <v>Worker</v>
          </cell>
          <cell r="H4">
            <v>43195</v>
          </cell>
        </row>
        <row r="5">
          <cell r="C5" t="str">
            <v>01362</v>
          </cell>
          <cell r="D5" t="str">
            <v>Huỳnh Văn Trường</v>
          </cell>
          <cell r="E5" t="str">
            <v>Foaming</v>
          </cell>
          <cell r="F5" t="str">
            <v>FOAMING Splitting</v>
          </cell>
          <cell r="G5" t="str">
            <v>Operator</v>
          </cell>
          <cell r="H5">
            <v>43356</v>
          </cell>
        </row>
        <row r="6">
          <cell r="C6" t="str">
            <v>02067</v>
          </cell>
          <cell r="D6" t="str">
            <v>Trương Văn Đạt</v>
          </cell>
          <cell r="E6" t="str">
            <v>Foaming</v>
          </cell>
          <cell r="F6" t="str">
            <v>FOAMING Splitting</v>
          </cell>
          <cell r="G6" t="str">
            <v>Operator</v>
          </cell>
          <cell r="H6">
            <v>43803</v>
          </cell>
        </row>
        <row r="7">
          <cell r="C7" t="str">
            <v>02069</v>
          </cell>
          <cell r="D7" t="str">
            <v>Nguyễn Chí Phương</v>
          </cell>
          <cell r="E7" t="str">
            <v>Foaming</v>
          </cell>
          <cell r="F7" t="str">
            <v>FOAMING Splitting</v>
          </cell>
          <cell r="G7" t="str">
            <v>Team Leader</v>
          </cell>
          <cell r="H7">
            <v>43803</v>
          </cell>
        </row>
        <row r="8">
          <cell r="C8" t="str">
            <v>02070</v>
          </cell>
          <cell r="D8" t="str">
            <v>Võ Văn Thanh</v>
          </cell>
          <cell r="E8" t="str">
            <v>Foaming</v>
          </cell>
          <cell r="F8" t="str">
            <v>FOAMING Rectangular</v>
          </cell>
          <cell r="G8" t="str">
            <v>Worker</v>
          </cell>
          <cell r="H8">
            <v>43803</v>
          </cell>
        </row>
        <row r="9">
          <cell r="C9" t="str">
            <v>02075</v>
          </cell>
          <cell r="D9" t="str">
            <v>Đinh Chí Linh</v>
          </cell>
          <cell r="E9" t="str">
            <v>Foaming</v>
          </cell>
          <cell r="F9" t="str">
            <v>FOAMING Rectangular</v>
          </cell>
          <cell r="G9" t="str">
            <v>Senior Team Leader</v>
          </cell>
          <cell r="H9">
            <v>43720</v>
          </cell>
        </row>
        <row r="10">
          <cell r="C10" t="str">
            <v>02076</v>
          </cell>
          <cell r="D10" t="str">
            <v>Hoàng Văn Tuấn</v>
          </cell>
          <cell r="E10" t="str">
            <v>Foaming</v>
          </cell>
          <cell r="F10" t="str">
            <v>FOAMING Splitting</v>
          </cell>
          <cell r="G10" t="str">
            <v>Operator</v>
          </cell>
          <cell r="H10">
            <v>43808</v>
          </cell>
        </row>
        <row r="11">
          <cell r="C11" t="str">
            <v>02101</v>
          </cell>
          <cell r="D11" t="str">
            <v>Nguyễn Văn Trọn</v>
          </cell>
          <cell r="E11" t="str">
            <v>Foaming</v>
          </cell>
          <cell r="F11" t="str">
            <v>FOAMING Splitting</v>
          </cell>
          <cell r="G11" t="str">
            <v>Worker</v>
          </cell>
          <cell r="H11">
            <v>43836</v>
          </cell>
        </row>
        <row r="12">
          <cell r="C12" t="str">
            <v>02130</v>
          </cell>
          <cell r="D12" t="str">
            <v>Phạm Tuấn Dũ</v>
          </cell>
          <cell r="E12" t="str">
            <v>Foaming</v>
          </cell>
          <cell r="F12" t="str">
            <v>FOAMING Rectangular</v>
          </cell>
          <cell r="G12" t="str">
            <v>Operator</v>
          </cell>
          <cell r="H12">
            <v>43867</v>
          </cell>
        </row>
        <row r="13">
          <cell r="C13" t="str">
            <v>02133</v>
          </cell>
          <cell r="D13" t="str">
            <v>Đặng Minh Dương</v>
          </cell>
          <cell r="E13" t="str">
            <v>Foaming</v>
          </cell>
          <cell r="F13" t="str">
            <v>FOAMING Splitting</v>
          </cell>
          <cell r="G13" t="str">
            <v>Team Leader</v>
          </cell>
          <cell r="H13">
            <v>43867</v>
          </cell>
        </row>
        <row r="14">
          <cell r="C14" t="str">
            <v>02139</v>
          </cell>
          <cell r="D14" t="str">
            <v>Đặng Thị Diễm My</v>
          </cell>
          <cell r="E14" t="str">
            <v>Foaming</v>
          </cell>
          <cell r="F14" t="str">
            <v>FOAMING Production control</v>
          </cell>
          <cell r="G14" t="str">
            <v>Senior Staff</v>
          </cell>
          <cell r="H14">
            <v>43871</v>
          </cell>
        </row>
        <row r="15">
          <cell r="C15" t="str">
            <v>02150</v>
          </cell>
          <cell r="D15" t="str">
            <v>Võ Thị Hồng Quy</v>
          </cell>
          <cell r="E15" t="str">
            <v>Foaming</v>
          </cell>
          <cell r="F15" t="str">
            <v>FOAMING Splitting</v>
          </cell>
          <cell r="G15" t="str">
            <v>Team Leader</v>
          </cell>
          <cell r="H15">
            <v>43871</v>
          </cell>
        </row>
        <row r="16">
          <cell r="C16" t="str">
            <v>02163</v>
          </cell>
          <cell r="D16" t="str">
            <v>Trần Văn Nhựt</v>
          </cell>
          <cell r="E16" t="str">
            <v>Foaming</v>
          </cell>
          <cell r="F16" t="str">
            <v>FOAMING Splitting</v>
          </cell>
          <cell r="G16" t="str">
            <v>Operator</v>
          </cell>
          <cell r="H16">
            <v>43875</v>
          </cell>
        </row>
        <row r="17">
          <cell r="C17" t="str">
            <v>02165</v>
          </cell>
          <cell r="D17" t="str">
            <v>Trần Kim Giàu</v>
          </cell>
          <cell r="E17" t="str">
            <v>Foaming</v>
          </cell>
          <cell r="F17" t="str">
            <v>FOAMING Rectangular</v>
          </cell>
          <cell r="G17" t="str">
            <v>Worker</v>
          </cell>
          <cell r="H17">
            <v>43875</v>
          </cell>
        </row>
        <row r="18">
          <cell r="C18" t="str">
            <v>02166</v>
          </cell>
          <cell r="D18" t="str">
            <v>Nguyễn Văn Hưởng</v>
          </cell>
          <cell r="E18" t="str">
            <v>Foaming</v>
          </cell>
          <cell r="F18" t="str">
            <v>FOAMING Splitting</v>
          </cell>
          <cell r="G18" t="str">
            <v>Team Leader</v>
          </cell>
          <cell r="H18">
            <v>43875</v>
          </cell>
        </row>
        <row r="19">
          <cell r="C19" t="str">
            <v>02174</v>
          </cell>
          <cell r="D19" t="str">
            <v>Nguyễn Hữu Diện</v>
          </cell>
          <cell r="E19" t="str">
            <v>Foaming</v>
          </cell>
          <cell r="F19" t="str">
            <v>FOAMING Splitting</v>
          </cell>
          <cell r="G19" t="str">
            <v>Operator</v>
          </cell>
          <cell r="H19">
            <v>43875</v>
          </cell>
        </row>
        <row r="20">
          <cell r="C20" t="str">
            <v>02239</v>
          </cell>
          <cell r="D20" t="str">
            <v>Lê Phong Nhã</v>
          </cell>
          <cell r="E20" t="str">
            <v>Foaming</v>
          </cell>
          <cell r="F20" t="str">
            <v>FOAMING Production control</v>
          </cell>
          <cell r="G20" t="str">
            <v>Senior Group Leader</v>
          </cell>
          <cell r="H20">
            <v>43903</v>
          </cell>
        </row>
        <row r="21">
          <cell r="C21" t="str">
            <v>02271</v>
          </cell>
          <cell r="D21" t="str">
            <v>Nguyễn Hoài Nam</v>
          </cell>
          <cell r="E21" t="str">
            <v>Foaming</v>
          </cell>
          <cell r="F21" t="str">
            <v>FOAMING Production control</v>
          </cell>
          <cell r="G21" t="str">
            <v>Associate Specialist</v>
          </cell>
          <cell r="H21">
            <v>43964</v>
          </cell>
        </row>
        <row r="22">
          <cell r="C22" t="str">
            <v>50004</v>
          </cell>
          <cell r="D22" t="str">
            <v>Lê Phúc Sang</v>
          </cell>
          <cell r="E22" t="str">
            <v>Foaming</v>
          </cell>
          <cell r="F22" t="str">
            <v>FOAMING Production control</v>
          </cell>
          <cell r="G22" t="str">
            <v>Supervisor</v>
          </cell>
          <cell r="H22">
            <v>43672</v>
          </cell>
        </row>
        <row r="23">
          <cell r="C23" t="str">
            <v>02111</v>
          </cell>
          <cell r="D23" t="str">
            <v>Lâm Hoàng Đặng</v>
          </cell>
          <cell r="E23" t="str">
            <v>Foaming</v>
          </cell>
          <cell r="F23" t="str">
            <v>FOAMING Splitting</v>
          </cell>
          <cell r="G23" t="str">
            <v>Operator</v>
          </cell>
          <cell r="H23">
            <v>43846</v>
          </cell>
        </row>
        <row r="24">
          <cell r="C24" t="str">
            <v>02107</v>
          </cell>
          <cell r="D24" t="str">
            <v>Nguyễn Vũ Em</v>
          </cell>
          <cell r="E24" t="str">
            <v>Foaming</v>
          </cell>
          <cell r="F24" t="str">
            <v>FOAMING Rectangular</v>
          </cell>
          <cell r="G24" t="str">
            <v>Worker</v>
          </cell>
          <cell r="H24">
            <v>43844</v>
          </cell>
        </row>
        <row r="25">
          <cell r="C25" t="str">
            <v>02126</v>
          </cell>
          <cell r="D25" t="str">
            <v>Lê Cao Tài</v>
          </cell>
          <cell r="E25" t="str">
            <v>Foaming</v>
          </cell>
          <cell r="F25" t="str">
            <v>FOAMING Rectangular</v>
          </cell>
          <cell r="G25" t="str">
            <v>Worker</v>
          </cell>
          <cell r="H25">
            <v>43867</v>
          </cell>
        </row>
        <row r="26">
          <cell r="C26" t="str">
            <v>02132</v>
          </cell>
          <cell r="D26" t="str">
            <v>Cao Thanh Ngọc</v>
          </cell>
          <cell r="E26" t="str">
            <v>Foaming</v>
          </cell>
          <cell r="F26" t="str">
            <v>FOAMING Splitting</v>
          </cell>
          <cell r="G26" t="str">
            <v>Operator</v>
          </cell>
          <cell r="H26">
            <v>43867</v>
          </cell>
        </row>
        <row r="27">
          <cell r="C27" t="str">
            <v>02167</v>
          </cell>
          <cell r="D27" t="str">
            <v>Võ Hữu Nghi</v>
          </cell>
          <cell r="E27" t="str">
            <v>Foaming</v>
          </cell>
          <cell r="F27" t="str">
            <v>FOAMING Rectangular</v>
          </cell>
          <cell r="G27" t="str">
            <v>Team Leader</v>
          </cell>
          <cell r="H27">
            <v>43875</v>
          </cell>
        </row>
        <row r="28">
          <cell r="C28" t="str">
            <v>02190</v>
          </cell>
          <cell r="D28" t="str">
            <v>Nguyễn Bảo Lăng</v>
          </cell>
          <cell r="E28" t="str">
            <v>Foaming</v>
          </cell>
          <cell r="F28" t="str">
            <v>FOAMING Splitting</v>
          </cell>
          <cell r="G28" t="str">
            <v>Worker</v>
          </cell>
          <cell r="H28">
            <v>43881</v>
          </cell>
        </row>
        <row r="29">
          <cell r="C29" t="str">
            <v>02108</v>
          </cell>
          <cell r="D29" t="str">
            <v>Nguyễn Văn Thịnh</v>
          </cell>
          <cell r="E29" t="str">
            <v>Foaming</v>
          </cell>
          <cell r="F29" t="str">
            <v>FOAMING Splitting</v>
          </cell>
          <cell r="G29" t="str">
            <v>Operator</v>
          </cell>
          <cell r="H29">
            <v>43844</v>
          </cell>
        </row>
        <row r="30">
          <cell r="C30" t="str">
            <v>02289</v>
          </cell>
          <cell r="D30" t="str">
            <v>Thái Thị Trúc Ly</v>
          </cell>
          <cell r="E30" t="str">
            <v>Foaming</v>
          </cell>
          <cell r="F30" t="str">
            <v>FOAMING Splitting</v>
          </cell>
          <cell r="G30" t="str">
            <v>Worker</v>
          </cell>
          <cell r="H30">
            <v>44019</v>
          </cell>
        </row>
        <row r="31">
          <cell r="C31" t="str">
            <v>02320</v>
          </cell>
          <cell r="D31" t="str">
            <v>Nguyễn Thị Ngọc Lan</v>
          </cell>
          <cell r="E31" t="str">
            <v>Foaming</v>
          </cell>
          <cell r="F31" t="str">
            <v>FOAMING Splitting</v>
          </cell>
          <cell r="G31" t="str">
            <v>Worker</v>
          </cell>
          <cell r="H31">
            <v>44025</v>
          </cell>
        </row>
        <row r="32">
          <cell r="C32" t="str">
            <v>02322</v>
          </cell>
          <cell r="D32" t="str">
            <v>Lâm Thị Tú Phương</v>
          </cell>
          <cell r="E32" t="str">
            <v>Foaming</v>
          </cell>
          <cell r="F32" t="str">
            <v>FOAMING Splitting</v>
          </cell>
          <cell r="G32" t="str">
            <v>Worker</v>
          </cell>
          <cell r="H32">
            <v>44025</v>
          </cell>
        </row>
        <row r="33">
          <cell r="C33" t="str">
            <v>02328</v>
          </cell>
          <cell r="D33" t="str">
            <v>Biện Công Phúc Vy</v>
          </cell>
          <cell r="E33" t="str">
            <v>Foaming</v>
          </cell>
          <cell r="F33" t="str">
            <v>FOAMING Rectangular</v>
          </cell>
          <cell r="G33" t="str">
            <v>Operator</v>
          </cell>
          <cell r="H33">
            <v>44029</v>
          </cell>
        </row>
        <row r="34">
          <cell r="C34" t="str">
            <v>02336</v>
          </cell>
          <cell r="D34" t="str">
            <v>Phạm Hoàng Nam</v>
          </cell>
          <cell r="E34" t="str">
            <v>Foaming</v>
          </cell>
          <cell r="F34" t="str">
            <v>FOAMING Splitting</v>
          </cell>
          <cell r="G34" t="str">
            <v>Worker</v>
          </cell>
          <cell r="H34">
            <v>44033</v>
          </cell>
        </row>
        <row r="35">
          <cell r="C35" t="str">
            <v>02352</v>
          </cell>
          <cell r="D35" t="str">
            <v>Nguyễn Văn Khánh</v>
          </cell>
          <cell r="E35" t="str">
            <v>Foaming</v>
          </cell>
          <cell r="F35" t="str">
            <v>FOAMING Rectangular</v>
          </cell>
          <cell r="G35" t="str">
            <v>Skilled worker</v>
          </cell>
          <cell r="H35">
            <v>44043</v>
          </cell>
        </row>
        <row r="36">
          <cell r="C36" t="str">
            <v>02397</v>
          </cell>
          <cell r="D36" t="str">
            <v>Nguyễn Thị Kim phụng</v>
          </cell>
          <cell r="E36" t="str">
            <v>Foaming</v>
          </cell>
          <cell r="F36" t="str">
            <v>FOAMING Splitting</v>
          </cell>
          <cell r="G36" t="str">
            <v>Worker</v>
          </cell>
          <cell r="H36">
            <v>44048</v>
          </cell>
        </row>
        <row r="37">
          <cell r="C37" t="str">
            <v>02474</v>
          </cell>
          <cell r="D37" t="str">
            <v>Nguyễn Anh Tú</v>
          </cell>
          <cell r="E37" t="str">
            <v>Foaming</v>
          </cell>
          <cell r="F37" t="str">
            <v>FOAMING Rectangular</v>
          </cell>
          <cell r="G37" t="str">
            <v>Operator</v>
          </cell>
          <cell r="H37">
            <v>44077</v>
          </cell>
        </row>
        <row r="38">
          <cell r="C38" t="str">
            <v>02514</v>
          </cell>
          <cell r="D38" t="str">
            <v>Nguyễn Hà Trang</v>
          </cell>
          <cell r="E38" t="str">
            <v>Foaming</v>
          </cell>
          <cell r="F38" t="str">
            <v>FOAMING Splitting</v>
          </cell>
          <cell r="G38" t="str">
            <v>Worker</v>
          </cell>
          <cell r="H38">
            <v>44144</v>
          </cell>
        </row>
        <row r="39">
          <cell r="C39" t="str">
            <v>02603</v>
          </cell>
          <cell r="D39" t="str">
            <v>Nguyễn Văn Thảo</v>
          </cell>
          <cell r="E39" t="str">
            <v>Foaming</v>
          </cell>
          <cell r="F39" t="str">
            <v>FOAMING Splitting</v>
          </cell>
          <cell r="G39" t="str">
            <v>Senior Team Leader</v>
          </cell>
          <cell r="H39">
            <v>44118</v>
          </cell>
        </row>
        <row r="40">
          <cell r="C40" t="str">
            <v>02604</v>
          </cell>
          <cell r="D40" t="str">
            <v>Nguyễn Xuân Tiến</v>
          </cell>
          <cell r="E40" t="str">
            <v>Foaming</v>
          </cell>
          <cell r="F40" t="str">
            <v>FOAMING Splitting</v>
          </cell>
          <cell r="G40" t="str">
            <v>Operator</v>
          </cell>
          <cell r="H40">
            <v>44118</v>
          </cell>
        </row>
        <row r="41">
          <cell r="C41" t="str">
            <v>02737</v>
          </cell>
          <cell r="D41" t="str">
            <v>Võ Thị Thu Hằng</v>
          </cell>
          <cell r="E41" t="str">
            <v>Foaming</v>
          </cell>
          <cell r="F41" t="str">
            <v>FOAMING Splitting</v>
          </cell>
          <cell r="G41" t="str">
            <v>Worker</v>
          </cell>
          <cell r="H41">
            <v>44249</v>
          </cell>
        </row>
        <row r="42">
          <cell r="C42" t="str">
            <v>02758</v>
          </cell>
          <cell r="D42" t="str">
            <v>Phạm Thị Thùy Trang</v>
          </cell>
          <cell r="E42" t="str">
            <v>Foaming</v>
          </cell>
          <cell r="F42" t="str">
            <v>FOAMING Splitting</v>
          </cell>
          <cell r="G42" t="str">
            <v>Worker</v>
          </cell>
          <cell r="H42">
            <v>44252</v>
          </cell>
        </row>
        <row r="43">
          <cell r="C43" t="str">
            <v>02786</v>
          </cell>
          <cell r="D43" t="str">
            <v>Lê Huỳnh Hân</v>
          </cell>
          <cell r="E43" t="str">
            <v>Foaming</v>
          </cell>
          <cell r="F43" t="str">
            <v>FOAMING Splitting</v>
          </cell>
          <cell r="G43" t="str">
            <v>Worker</v>
          </cell>
          <cell r="H43">
            <v>44256</v>
          </cell>
        </row>
        <row r="44">
          <cell r="C44" t="str">
            <v>02793</v>
          </cell>
          <cell r="D44" t="str">
            <v>Khưu Thanh Nhã</v>
          </cell>
          <cell r="E44" t="str">
            <v>Foaming</v>
          </cell>
          <cell r="F44" t="str">
            <v>FOAMING Rectangular</v>
          </cell>
          <cell r="G44" t="str">
            <v>Team Leader</v>
          </cell>
          <cell r="H44">
            <v>44256</v>
          </cell>
        </row>
        <row r="45">
          <cell r="C45" t="str">
            <v>02920</v>
          </cell>
          <cell r="D45" t="str">
            <v>Nguyễn Tuấn Kiệt</v>
          </cell>
          <cell r="E45" t="str">
            <v>Foaming</v>
          </cell>
          <cell r="F45" t="str">
            <v>FOAMING Rectangular</v>
          </cell>
          <cell r="G45" t="str">
            <v>Skilled worker</v>
          </cell>
          <cell r="H45">
            <v>44312</v>
          </cell>
        </row>
        <row r="46">
          <cell r="C46" t="str">
            <v>02929</v>
          </cell>
          <cell r="D46" t="str">
            <v>Nguyễn Thị Hoàng Ngọc Phượng</v>
          </cell>
          <cell r="E46" t="str">
            <v>Foaming</v>
          </cell>
          <cell r="F46" t="str">
            <v>FOAMING Production control</v>
          </cell>
          <cell r="G46" t="str">
            <v>Senior Staff</v>
          </cell>
          <cell r="H46">
            <v>44321</v>
          </cell>
        </row>
        <row r="47">
          <cell r="C47" t="str">
            <v>00012</v>
          </cell>
          <cell r="D47" t="str">
            <v>Lê Hữu Dũng</v>
          </cell>
          <cell r="E47" t="str">
            <v>Foaming</v>
          </cell>
          <cell r="F47" t="str">
            <v>FOAMING Production control</v>
          </cell>
          <cell r="G47" t="str">
            <v>Deputy Foaming Manager</v>
          </cell>
          <cell r="H47">
            <v>41246</v>
          </cell>
        </row>
        <row r="48">
          <cell r="C48" t="str">
            <v>03053</v>
          </cell>
          <cell r="D48" t="str">
            <v>Nguyễn Việt Hưng</v>
          </cell>
          <cell r="E48" t="str">
            <v>Foaming</v>
          </cell>
          <cell r="F48" t="str">
            <v>FOAMING Rectangular</v>
          </cell>
          <cell r="G48" t="str">
            <v>Worker</v>
          </cell>
          <cell r="H48">
            <v>44504</v>
          </cell>
        </row>
        <row r="49">
          <cell r="C49" t="str">
            <v>03065</v>
          </cell>
          <cell r="D49" t="str">
            <v>Nguyễn Ngọc Đức</v>
          </cell>
          <cell r="E49" t="str">
            <v>Foaming</v>
          </cell>
          <cell r="F49" t="str">
            <v>FOAMING Splitting</v>
          </cell>
          <cell r="G49" t="str">
            <v>Worker</v>
          </cell>
          <cell r="H49">
            <v>44511</v>
          </cell>
        </row>
        <row r="50">
          <cell r="C50" t="str">
            <v>03071</v>
          </cell>
          <cell r="D50" t="str">
            <v>Hồ Phú Hữu</v>
          </cell>
          <cell r="E50" t="str">
            <v>Foaming</v>
          </cell>
          <cell r="F50" t="str">
            <v>FOAMING Rectangular</v>
          </cell>
          <cell r="G50" t="str">
            <v>Operator</v>
          </cell>
          <cell r="H50">
            <v>44516</v>
          </cell>
        </row>
        <row r="51">
          <cell r="C51" t="str">
            <v>03075</v>
          </cell>
          <cell r="D51" t="str">
            <v>Nguyễn Thị Muội</v>
          </cell>
          <cell r="E51" t="str">
            <v>Foaming</v>
          </cell>
          <cell r="F51" t="str">
            <v>FOAMING Splitting</v>
          </cell>
          <cell r="G51" t="str">
            <v>Worker</v>
          </cell>
          <cell r="H51">
            <v>44516</v>
          </cell>
        </row>
        <row r="52">
          <cell r="C52" t="str">
            <v>03107</v>
          </cell>
          <cell r="D52" t="str">
            <v>Nguyễn Thị Thu Thảo</v>
          </cell>
          <cell r="E52" t="str">
            <v>Foaming</v>
          </cell>
          <cell r="F52" t="str">
            <v>FOAMING Splitting</v>
          </cell>
          <cell r="G52" t="str">
            <v>Worker</v>
          </cell>
          <cell r="H52">
            <v>44529</v>
          </cell>
        </row>
        <row r="53">
          <cell r="C53" t="str">
            <v>03108</v>
          </cell>
          <cell r="D53" t="str">
            <v>Nguyễn Thị Cẩm Nguyên</v>
          </cell>
          <cell r="E53" t="str">
            <v>Foaming</v>
          </cell>
          <cell r="F53" t="str">
            <v>FOAMING Splitting</v>
          </cell>
          <cell r="G53" t="str">
            <v>Worker</v>
          </cell>
          <cell r="H53">
            <v>44529</v>
          </cell>
        </row>
        <row r="54">
          <cell r="C54" t="str">
            <v>03227</v>
          </cell>
          <cell r="D54" t="str">
            <v>Nguyễn Văn Kha</v>
          </cell>
          <cell r="E54" t="str">
            <v>Foaming</v>
          </cell>
          <cell r="F54" t="str">
            <v>FOAMING Rectangular</v>
          </cell>
          <cell r="G54" t="str">
            <v>Worker</v>
          </cell>
          <cell r="H54">
            <v>44603</v>
          </cell>
        </row>
        <row r="55">
          <cell r="C55" t="str">
            <v>03267</v>
          </cell>
          <cell r="D55" t="str">
            <v>Lê Duy Khang</v>
          </cell>
          <cell r="E55" t="str">
            <v>Foaming</v>
          </cell>
          <cell r="F55" t="str">
            <v>FOAMING Rectangular</v>
          </cell>
          <cell r="G55" t="str">
            <v>Operator</v>
          </cell>
          <cell r="H55">
            <v>44610</v>
          </cell>
        </row>
        <row r="56">
          <cell r="C56" t="str">
            <v>03363</v>
          </cell>
          <cell r="D56" t="str">
            <v>Nguyễn Văn Sáng</v>
          </cell>
          <cell r="E56" t="str">
            <v>Foaming</v>
          </cell>
          <cell r="F56" t="str">
            <v>FOAMING Splitting</v>
          </cell>
          <cell r="G56" t="str">
            <v>Operator</v>
          </cell>
          <cell r="H56">
            <v>44630</v>
          </cell>
        </row>
        <row r="57">
          <cell r="C57" t="str">
            <v>03366</v>
          </cell>
          <cell r="D57" t="str">
            <v>Lê Chí Hiển</v>
          </cell>
          <cell r="E57" t="str">
            <v>Foaming</v>
          </cell>
          <cell r="F57" t="str">
            <v>FOAMING Rectangular</v>
          </cell>
          <cell r="G57" t="str">
            <v>Skilled worker</v>
          </cell>
          <cell r="H57">
            <v>44630</v>
          </cell>
        </row>
        <row r="58">
          <cell r="C58" t="str">
            <v>03373</v>
          </cell>
          <cell r="D58" t="str">
            <v>Phan Minh Gạch</v>
          </cell>
          <cell r="E58" t="str">
            <v>Foaming</v>
          </cell>
          <cell r="F58" t="str">
            <v>FOAMING Splitting</v>
          </cell>
          <cell r="G58" t="str">
            <v>Operator</v>
          </cell>
          <cell r="H58">
            <v>44634</v>
          </cell>
        </row>
        <row r="59">
          <cell r="C59" t="str">
            <v>03375</v>
          </cell>
          <cell r="D59" t="str">
            <v>Trần Thanh Quang</v>
          </cell>
          <cell r="E59" t="str">
            <v>Foaming</v>
          </cell>
          <cell r="F59" t="str">
            <v>FOAMING Splitting</v>
          </cell>
          <cell r="G59" t="str">
            <v>Operator</v>
          </cell>
          <cell r="H59">
            <v>44634</v>
          </cell>
        </row>
        <row r="60">
          <cell r="C60" t="str">
            <v>03376</v>
          </cell>
          <cell r="D60" t="str">
            <v>Ngô Vũ Luân</v>
          </cell>
          <cell r="E60" t="str">
            <v>Foaming</v>
          </cell>
          <cell r="F60" t="str">
            <v>FOAMING Rectangular</v>
          </cell>
          <cell r="G60" t="str">
            <v>Skilled worker</v>
          </cell>
          <cell r="H60">
            <v>44634</v>
          </cell>
        </row>
        <row r="61">
          <cell r="C61" t="str">
            <v>03406</v>
          </cell>
          <cell r="D61" t="str">
            <v>Ngô Thị Mỹ Xuyên</v>
          </cell>
          <cell r="E61" t="str">
            <v>Foaming</v>
          </cell>
          <cell r="F61" t="str">
            <v>FOAMING Splitting</v>
          </cell>
          <cell r="G61" t="str">
            <v>Worker</v>
          </cell>
          <cell r="H61">
            <v>44648</v>
          </cell>
        </row>
        <row r="62">
          <cell r="C62" t="str">
            <v>03514</v>
          </cell>
          <cell r="D62" t="str">
            <v>Giáp Thị Kiều</v>
          </cell>
          <cell r="E62" t="str">
            <v>Foaming</v>
          </cell>
          <cell r="F62" t="str">
            <v>FOAMING Splitting</v>
          </cell>
          <cell r="G62" t="str">
            <v>Worker</v>
          </cell>
          <cell r="H62">
            <v>44704</v>
          </cell>
        </row>
        <row r="63">
          <cell r="C63" t="str">
            <v>03515</v>
          </cell>
          <cell r="D63" t="str">
            <v>Phạm Thị Kim Nhung</v>
          </cell>
          <cell r="E63" t="str">
            <v>Foaming</v>
          </cell>
          <cell r="F63" t="str">
            <v>FOAMING Splitting</v>
          </cell>
          <cell r="G63" t="str">
            <v>Worker</v>
          </cell>
          <cell r="H63">
            <v>44704</v>
          </cell>
        </row>
        <row r="64">
          <cell r="C64" t="str">
            <v>03521</v>
          </cell>
          <cell r="D64" t="str">
            <v>Nguyễn Văn Sành</v>
          </cell>
          <cell r="E64" t="str">
            <v>Foaming</v>
          </cell>
          <cell r="F64" t="str">
            <v>FOAMING Rectangular</v>
          </cell>
          <cell r="G64" t="str">
            <v>Skilled worker</v>
          </cell>
          <cell r="H64">
            <v>44707</v>
          </cell>
        </row>
        <row r="65">
          <cell r="C65" t="str">
            <v>03564</v>
          </cell>
          <cell r="D65" t="str">
            <v>Nguyễn Tuấn Vũ</v>
          </cell>
          <cell r="E65" t="str">
            <v>Foaming</v>
          </cell>
          <cell r="F65" t="str">
            <v>FOAMING Rectangular</v>
          </cell>
          <cell r="G65" t="str">
            <v>Worker</v>
          </cell>
          <cell r="H65">
            <v>44719</v>
          </cell>
        </row>
        <row r="66">
          <cell r="C66" t="str">
            <v>03575</v>
          </cell>
          <cell r="D66" t="str">
            <v>Phạm Thị Ngọt</v>
          </cell>
          <cell r="E66" t="str">
            <v>Foaming</v>
          </cell>
          <cell r="F66" t="str">
            <v>FOAMING Splitting</v>
          </cell>
          <cell r="G66" t="str">
            <v>Worker</v>
          </cell>
          <cell r="H66">
            <v>44728</v>
          </cell>
        </row>
        <row r="67">
          <cell r="C67" t="str">
            <v>03651</v>
          </cell>
          <cell r="D67" t="str">
            <v>Huỳnh Hữu Trí</v>
          </cell>
          <cell r="E67" t="str">
            <v>Foaming</v>
          </cell>
          <cell r="F67" t="str">
            <v>FOAMING Production control</v>
          </cell>
          <cell r="G67" t="str">
            <v>Associate Engineer</v>
          </cell>
          <cell r="H67">
            <v>44809</v>
          </cell>
        </row>
        <row r="68">
          <cell r="C68" t="str">
            <v>02538</v>
          </cell>
          <cell r="D68" t="str">
            <v>Nguyễn Thị Bích Duyên</v>
          </cell>
          <cell r="E68" t="str">
            <v>Foaming</v>
          </cell>
          <cell r="F68" t="str">
            <v>FOAMING Splitting</v>
          </cell>
          <cell r="G68" t="str">
            <v>Worker</v>
          </cell>
          <cell r="H68">
            <v>44090</v>
          </cell>
        </row>
        <row r="69">
          <cell r="C69" t="str">
            <v>03783</v>
          </cell>
          <cell r="D69" t="str">
            <v>Hồ Văn Tuốt</v>
          </cell>
          <cell r="E69" t="str">
            <v>Foaming</v>
          </cell>
          <cell r="F69" t="str">
            <v>FOAMING Rectangular</v>
          </cell>
          <cell r="G69" t="str">
            <v>Team Leader</v>
          </cell>
          <cell r="H69">
            <v>44993</v>
          </cell>
        </row>
        <row r="70">
          <cell r="C70" t="str">
            <v>03781</v>
          </cell>
          <cell r="D70" t="str">
            <v>Huỳnh Trọng Kha</v>
          </cell>
          <cell r="E70" t="str">
            <v>Foaming</v>
          </cell>
          <cell r="F70" t="str">
            <v>FOAMING Production control</v>
          </cell>
          <cell r="G70" t="str">
            <v>Associate Engineer</v>
          </cell>
          <cell r="H70">
            <v>44993</v>
          </cell>
        </row>
        <row r="71">
          <cell r="C71" t="str">
            <v>03785</v>
          </cell>
          <cell r="D71" t="str">
            <v>Ngô Thị Lượng</v>
          </cell>
          <cell r="E71" t="str">
            <v>Foaming</v>
          </cell>
          <cell r="F71" t="str">
            <v>FOAMING Splitting</v>
          </cell>
          <cell r="G71" t="str">
            <v>Worker</v>
          </cell>
          <cell r="H71">
            <v>44999</v>
          </cell>
        </row>
        <row r="72">
          <cell r="C72" t="str">
            <v>03907</v>
          </cell>
          <cell r="D72" t="str">
            <v>Nguyễn Thị Thanh Tâm</v>
          </cell>
          <cell r="E72" t="str">
            <v>Foaming</v>
          </cell>
          <cell r="F72" t="str">
            <v>FOAMING Production control</v>
          </cell>
          <cell r="G72" t="str">
            <v>Staff</v>
          </cell>
          <cell r="H72">
            <v>45138</v>
          </cell>
        </row>
        <row r="73">
          <cell r="C73" t="str">
            <v>03909</v>
          </cell>
          <cell r="D73" t="str">
            <v>Phạm Trương Thanh Hoài</v>
          </cell>
          <cell r="E73" t="str">
            <v>Foaming</v>
          </cell>
          <cell r="F73" t="str">
            <v>FOAMING Production control</v>
          </cell>
          <cell r="G73" t="str">
            <v>Staff</v>
          </cell>
          <cell r="H73">
            <v>45147</v>
          </cell>
        </row>
        <row r="74">
          <cell r="C74" t="str">
            <v>04004</v>
          </cell>
          <cell r="D74" t="str">
            <v>Nguyễn Văn Sự</v>
          </cell>
          <cell r="E74" t="str">
            <v>Foaming</v>
          </cell>
          <cell r="F74" t="str">
            <v>FOAMING Rectangular</v>
          </cell>
          <cell r="G74" t="str">
            <v>Worker</v>
          </cell>
          <cell r="H74">
            <v>45225</v>
          </cell>
        </row>
        <row r="75">
          <cell r="C75" t="str">
            <v>04043</v>
          </cell>
          <cell r="D75" t="str">
            <v>Phạm Việt Hà</v>
          </cell>
          <cell r="E75" t="str">
            <v>Foaming</v>
          </cell>
          <cell r="F75" t="str">
            <v>FOAMING Production control</v>
          </cell>
          <cell r="G75" t="str">
            <v>Foaming Operation Director</v>
          </cell>
          <cell r="H75">
            <v>45355</v>
          </cell>
        </row>
        <row r="76">
          <cell r="C76" t="str">
            <v>04044</v>
          </cell>
          <cell r="D76" t="str">
            <v>Lý Tuyết Mịnh</v>
          </cell>
          <cell r="E76" t="str">
            <v>Foaming</v>
          </cell>
          <cell r="F76" t="str">
            <v>FOAMING Splitting</v>
          </cell>
          <cell r="G76" t="str">
            <v>Worker</v>
          </cell>
          <cell r="H76">
            <v>45358</v>
          </cell>
        </row>
        <row r="77">
          <cell r="C77" t="str">
            <v>04046</v>
          </cell>
          <cell r="D77" t="str">
            <v>Lê Đoàn Vũ</v>
          </cell>
          <cell r="E77" t="str">
            <v>Foaming</v>
          </cell>
          <cell r="F77" t="str">
            <v>FOAMING Splitting</v>
          </cell>
          <cell r="G77" t="str">
            <v>Worker</v>
          </cell>
          <cell r="H77">
            <v>45358</v>
          </cell>
        </row>
        <row r="78">
          <cell r="C78" t="str">
            <v>04047</v>
          </cell>
          <cell r="D78" t="str">
            <v>Danh Tấn Đức</v>
          </cell>
          <cell r="E78" t="str">
            <v>Foaming</v>
          </cell>
          <cell r="F78" t="str">
            <v>FOAMING Splitting</v>
          </cell>
          <cell r="G78" t="str">
            <v>Worker</v>
          </cell>
          <cell r="H78">
            <v>45358</v>
          </cell>
        </row>
        <row r="79">
          <cell r="C79" t="str">
            <v>04064</v>
          </cell>
          <cell r="D79" t="str">
            <v>Huỳnh Minh An</v>
          </cell>
          <cell r="E79" t="str">
            <v>Foaming</v>
          </cell>
          <cell r="F79" t="str">
            <v>FOAMING Rectangular</v>
          </cell>
          <cell r="G79" t="str">
            <v>Operator</v>
          </cell>
          <cell r="H79">
            <v>45372</v>
          </cell>
        </row>
        <row r="80">
          <cell r="C80" t="str">
            <v>04066</v>
          </cell>
          <cell r="D80" t="str">
            <v>Trần Thanh Hùng Em</v>
          </cell>
          <cell r="E80" t="str">
            <v>Foaming</v>
          </cell>
          <cell r="F80" t="str">
            <v>FOAMING Rectangular</v>
          </cell>
          <cell r="G80" t="str">
            <v>Worker</v>
          </cell>
          <cell r="H80">
            <v>45372</v>
          </cell>
        </row>
        <row r="81">
          <cell r="C81" t="str">
            <v>04067</v>
          </cell>
          <cell r="D81" t="str">
            <v>Phạm Văn Sang</v>
          </cell>
          <cell r="E81" t="str">
            <v>Foaming</v>
          </cell>
          <cell r="F81" t="str">
            <v>FOAMING Rectangular</v>
          </cell>
          <cell r="G81" t="str">
            <v>Worker</v>
          </cell>
          <cell r="H81">
            <v>45372</v>
          </cell>
        </row>
        <row r="82">
          <cell r="C82" t="str">
            <v>04079</v>
          </cell>
          <cell r="D82" t="str">
            <v>Huỳnh Văn Mãi</v>
          </cell>
          <cell r="E82" t="str">
            <v>Foaming</v>
          </cell>
          <cell r="F82" t="str">
            <v>FOAMING Splitting</v>
          </cell>
          <cell r="G82" t="str">
            <v>Worker</v>
          </cell>
          <cell r="H82">
            <v>45377</v>
          </cell>
        </row>
        <row r="83">
          <cell r="C83" t="str">
            <v>04080</v>
          </cell>
          <cell r="D83" t="str">
            <v>Nguyễn Văn Thủy</v>
          </cell>
          <cell r="E83" t="str">
            <v>Foaming</v>
          </cell>
          <cell r="F83" t="str">
            <v>FOAMING Splitting</v>
          </cell>
          <cell r="G83" t="str">
            <v>Worker</v>
          </cell>
          <cell r="H83">
            <v>45377</v>
          </cell>
        </row>
        <row r="84">
          <cell r="C84" t="str">
            <v>00188</v>
          </cell>
          <cell r="D84" t="str">
            <v>Trần Thị Thúy Huỳnh</v>
          </cell>
          <cell r="E84" t="str">
            <v>Foaming</v>
          </cell>
          <cell r="F84" t="str">
            <v>FOAMING Splitting</v>
          </cell>
          <cell r="G84" t="str">
            <v>Worker</v>
          </cell>
          <cell r="H84">
            <v>41683</v>
          </cell>
        </row>
        <row r="85">
          <cell r="C85" t="str">
            <v>04112</v>
          </cell>
          <cell r="D85" t="str">
            <v>Trần Thanh Đại</v>
          </cell>
          <cell r="E85" t="str">
            <v>Foaming</v>
          </cell>
          <cell r="F85" t="str">
            <v>FOAMING Splitting</v>
          </cell>
          <cell r="G85" t="str">
            <v>Worker</v>
          </cell>
          <cell r="H85">
            <v>45453</v>
          </cell>
        </row>
        <row r="86">
          <cell r="C86" t="str">
            <v>04151</v>
          </cell>
          <cell r="D86" t="str">
            <v>Đặng Đông Tình</v>
          </cell>
          <cell r="E86" t="str">
            <v>Foaming</v>
          </cell>
          <cell r="F86" t="str">
            <v>FOAMING Splitting</v>
          </cell>
          <cell r="G86" t="str">
            <v>Worker</v>
          </cell>
          <cell r="H86" t="str">
            <v>15/08/2024</v>
          </cell>
        </row>
        <row r="87">
          <cell r="C87" t="str">
            <v>04152</v>
          </cell>
          <cell r="D87" t="str">
            <v>Nguyễn Hà Sang</v>
          </cell>
          <cell r="E87" t="str">
            <v>Foaming</v>
          </cell>
          <cell r="F87" t="str">
            <v>FOAMING Splitting</v>
          </cell>
          <cell r="G87" t="str">
            <v>Worker</v>
          </cell>
          <cell r="H87" t="str">
            <v>15/08/2024</v>
          </cell>
        </row>
        <row r="88">
          <cell r="C88" t="str">
            <v>04195</v>
          </cell>
          <cell r="D88" t="str">
            <v>Lê Văn Tươi</v>
          </cell>
          <cell r="E88" t="str">
            <v>Foaming</v>
          </cell>
          <cell r="F88" t="str">
            <v>FOAMING Rectangular</v>
          </cell>
          <cell r="G88" t="str">
            <v>Worker</v>
          </cell>
          <cell r="H88" t="str">
            <v>19/09/2024</v>
          </cell>
        </row>
        <row r="89">
          <cell r="C89" t="str">
            <v>04196</v>
          </cell>
          <cell r="D89" t="str">
            <v>Hồ Quốc Tế</v>
          </cell>
          <cell r="E89" t="str">
            <v>Foaming</v>
          </cell>
          <cell r="F89" t="str">
            <v>FOAMING Rectangular</v>
          </cell>
          <cell r="G89" t="str">
            <v>Worker</v>
          </cell>
          <cell r="H89" t="str">
            <v>19/09/2024</v>
          </cell>
        </row>
        <row r="90">
          <cell r="C90" t="str">
            <v>04237</v>
          </cell>
          <cell r="D90" t="str">
            <v>Phan Kiều Diễm</v>
          </cell>
          <cell r="E90" t="str">
            <v>Foaming</v>
          </cell>
          <cell r="F90" t="str">
            <v>FOAMING Production control</v>
          </cell>
          <cell r="G90" t="str">
            <v>Staff</v>
          </cell>
          <cell r="H90" t="str">
            <v>26/09/2024</v>
          </cell>
        </row>
        <row r="91">
          <cell r="C91" t="str">
            <v>04240</v>
          </cell>
          <cell r="D91" t="str">
            <v>Trầm Công Lý</v>
          </cell>
          <cell r="E91" t="str">
            <v>Foaming</v>
          </cell>
          <cell r="F91" t="str">
            <v>FOAMING Production control</v>
          </cell>
          <cell r="G91" t="str">
            <v>Junior Technician</v>
          </cell>
          <cell r="H91" t="str">
            <v>30/09/2024</v>
          </cell>
        </row>
        <row r="92">
          <cell r="C92" t="str">
            <v>04283</v>
          </cell>
          <cell r="D92" t="str">
            <v>Lê Trung Lil</v>
          </cell>
          <cell r="E92" t="str">
            <v>Foaming</v>
          </cell>
          <cell r="F92" t="str">
            <v>FOAMING Splitting</v>
          </cell>
          <cell r="G92" t="str">
            <v>Worker</v>
          </cell>
          <cell r="H92" t="str">
            <v>15/10/2024</v>
          </cell>
        </row>
        <row r="93">
          <cell r="C93" t="str">
            <v>04313</v>
          </cell>
          <cell r="D93" t="str">
            <v>Nguyễn Hồng Thuận</v>
          </cell>
          <cell r="E93" t="str">
            <v>Foaming</v>
          </cell>
          <cell r="F93" t="str">
            <v>FOAMING Rectangular</v>
          </cell>
          <cell r="G93" t="str">
            <v>Worker</v>
          </cell>
          <cell r="H93" t="str">
            <v>21/10/2024</v>
          </cell>
        </row>
        <row r="94">
          <cell r="C94" t="str">
            <v>04314</v>
          </cell>
          <cell r="D94" t="str">
            <v>Nguyễn Trọng Sơn</v>
          </cell>
          <cell r="E94" t="str">
            <v>Foaming</v>
          </cell>
          <cell r="F94" t="str">
            <v>FOAMING Rectangular</v>
          </cell>
          <cell r="G94" t="str">
            <v>Worker</v>
          </cell>
          <cell r="H94" t="str">
            <v>21/10/2024</v>
          </cell>
        </row>
        <row r="95">
          <cell r="C95" t="str">
            <v>04375</v>
          </cell>
          <cell r="D95" t="str">
            <v>Phạm Phương Toàn</v>
          </cell>
          <cell r="E95" t="str">
            <v>Foaming</v>
          </cell>
          <cell r="F95" t="str">
            <v>FOAMING Rectangular</v>
          </cell>
          <cell r="G95" t="str">
            <v>Skilled worker</v>
          </cell>
          <cell r="H95" t="str">
            <v>16/12/2024</v>
          </cell>
        </row>
        <row r="96">
          <cell r="C96" t="str">
            <v>04392</v>
          </cell>
          <cell r="D96" t="str">
            <v>Lê Phi Công</v>
          </cell>
          <cell r="E96" t="str">
            <v>Foaming</v>
          </cell>
          <cell r="F96" t="str">
            <v>FOAMING Splitting</v>
          </cell>
          <cell r="G96" t="str">
            <v>Worker</v>
          </cell>
          <cell r="H96" t="str">
            <v>02/01/2025</v>
          </cell>
        </row>
        <row r="97">
          <cell r="C97" t="str">
            <v>04393</v>
          </cell>
          <cell r="D97" t="str">
            <v>Ngô Vũ Phương</v>
          </cell>
          <cell r="E97" t="str">
            <v>Foaming</v>
          </cell>
          <cell r="F97" t="str">
            <v>FOAMING Splitting</v>
          </cell>
          <cell r="G97" t="str">
            <v>Worker</v>
          </cell>
          <cell r="H97" t="str">
            <v>02/01/2025</v>
          </cell>
        </row>
        <row r="98">
          <cell r="C98" t="str">
            <v>04420</v>
          </cell>
          <cell r="D98" t="str">
            <v>Nguyễn Quốc Nam</v>
          </cell>
          <cell r="E98" t="str">
            <v>Foaming</v>
          </cell>
          <cell r="F98" t="str">
            <v>FOAMING Splitting</v>
          </cell>
          <cell r="G98" t="str">
            <v>Worker</v>
          </cell>
          <cell r="H98" t="str">
            <v>17/02/2025</v>
          </cell>
        </row>
        <row r="99">
          <cell r="C99" t="str">
            <v>04421</v>
          </cell>
          <cell r="D99" t="str">
            <v>Lâm Tấn Đạt</v>
          </cell>
          <cell r="E99" t="str">
            <v>Foaming</v>
          </cell>
          <cell r="F99" t="str">
            <v>FOAMING Splitting</v>
          </cell>
          <cell r="G99" t="str">
            <v>Worker</v>
          </cell>
          <cell r="H99" t="str">
            <v>17/02/2025</v>
          </cell>
        </row>
        <row r="100">
          <cell r="C100" t="str">
            <v>04424</v>
          </cell>
          <cell r="D100" t="str">
            <v>Huỳnh Tài Chánh</v>
          </cell>
          <cell r="E100" t="str">
            <v>Foaming</v>
          </cell>
          <cell r="F100" t="str">
            <v>FOAMING Rectangular</v>
          </cell>
          <cell r="G100" t="str">
            <v>Worker</v>
          </cell>
          <cell r="H100" t="str">
            <v>17/02/2025</v>
          </cell>
        </row>
        <row r="101">
          <cell r="C101" t="str">
            <v>04425</v>
          </cell>
          <cell r="D101" t="str">
            <v>Trương Văn Trong</v>
          </cell>
          <cell r="E101" t="str">
            <v>Foaming</v>
          </cell>
          <cell r="F101" t="str">
            <v>FOAMING Rectangular</v>
          </cell>
          <cell r="G101" t="str">
            <v>Worker</v>
          </cell>
          <cell r="H101" t="str">
            <v>17/02/2025</v>
          </cell>
        </row>
        <row r="102">
          <cell r="C102" t="str">
            <v>04462</v>
          </cell>
          <cell r="D102" t="str">
            <v>Danh Tiền</v>
          </cell>
          <cell r="E102" t="str">
            <v>Foaming</v>
          </cell>
          <cell r="F102" t="str">
            <v>FOAMING Splitting</v>
          </cell>
          <cell r="G102" t="str">
            <v>Worker</v>
          </cell>
          <cell r="H102" t="str">
            <v>26/02/2025</v>
          </cell>
        </row>
        <row r="103">
          <cell r="C103" t="str">
            <v>04464</v>
          </cell>
          <cell r="D103" t="str">
            <v>Hà Thành Đạt</v>
          </cell>
          <cell r="E103" t="str">
            <v>Foaming</v>
          </cell>
          <cell r="F103" t="str">
            <v>FOAMING Rectangular</v>
          </cell>
          <cell r="G103" t="str">
            <v>Worker</v>
          </cell>
          <cell r="H103" t="str">
            <v>26/02/2025</v>
          </cell>
        </row>
        <row r="104">
          <cell r="C104" t="str">
            <v>04465</v>
          </cell>
          <cell r="D104" t="str">
            <v>Trần Văn Linh</v>
          </cell>
          <cell r="E104" t="str">
            <v>Foaming</v>
          </cell>
          <cell r="F104" t="str">
            <v>FOAMING Rectangular</v>
          </cell>
          <cell r="G104" t="str">
            <v>Worker</v>
          </cell>
          <cell r="H104" t="str">
            <v>26/02/2025</v>
          </cell>
        </row>
        <row r="105">
          <cell r="C105" t="str">
            <v>04517</v>
          </cell>
          <cell r="D105" t="str">
            <v>Hoàng Văn Anh</v>
          </cell>
          <cell r="E105" t="str">
            <v>Foaming</v>
          </cell>
          <cell r="F105" t="str">
            <v>FOAMING Rectangular</v>
          </cell>
          <cell r="G105" t="str">
            <v>Worker</v>
          </cell>
          <cell r="H105" t="str">
            <v>05/03/2025</v>
          </cell>
        </row>
        <row r="106">
          <cell r="C106" t="str">
            <v>04529</v>
          </cell>
          <cell r="D106" t="str">
            <v>Nguyễn Văn Hiếu</v>
          </cell>
          <cell r="E106" t="str">
            <v>Foaming</v>
          </cell>
          <cell r="F106" t="str">
            <v>FOAMING Production control</v>
          </cell>
          <cell r="G106" t="str">
            <v>Deputy Foaming Manager</v>
          </cell>
          <cell r="H106">
            <v>45933</v>
          </cell>
        </row>
        <row r="107">
          <cell r="C107" t="str">
            <v>04546</v>
          </cell>
          <cell r="D107" t="str">
            <v>Nguyễn Thái Hoàng</v>
          </cell>
          <cell r="E107" t="str">
            <v>Foaming</v>
          </cell>
          <cell r="F107" t="str">
            <v>FOAMING Rectangular</v>
          </cell>
          <cell r="G107" t="str">
            <v>Worker</v>
          </cell>
          <cell r="H107" t="str">
            <v>14/03/2025</v>
          </cell>
        </row>
        <row r="108">
          <cell r="C108" t="str">
            <v>04571</v>
          </cell>
          <cell r="D108" t="str">
            <v>Nguyễn Văn Uy</v>
          </cell>
          <cell r="E108" t="str">
            <v>Foaming</v>
          </cell>
          <cell r="F108" t="str">
            <v>FOAMING Rectangular</v>
          </cell>
          <cell r="G108" t="str">
            <v>Worker</v>
          </cell>
          <cell r="H108" t="str">
            <v>28/03/2025</v>
          </cell>
        </row>
        <row r="109">
          <cell r="C109" t="str">
            <v>04667</v>
          </cell>
          <cell r="D109" t="str">
            <v>Hoàng Minh Thuỳ</v>
          </cell>
          <cell r="E109" t="str">
            <v>Foaming</v>
          </cell>
          <cell r="F109" t="str">
            <v>FOAMING Production control</v>
          </cell>
          <cell r="G109" t="str">
            <v>Associate Engineer</v>
          </cell>
          <cell r="H109" t="str">
            <v>26/06/2025</v>
          </cell>
        </row>
        <row r="110">
          <cell r="C110" t="str">
            <v>04681</v>
          </cell>
          <cell r="D110" t="str">
            <v>Đoàn Minh Trí</v>
          </cell>
          <cell r="E110" t="str">
            <v>Foaming</v>
          </cell>
          <cell r="F110" t="str">
            <v>FOAMING Splitting</v>
          </cell>
          <cell r="G110" t="str">
            <v>Forklift Driver</v>
          </cell>
          <cell r="H110" t="str">
            <v>21/07/2025</v>
          </cell>
        </row>
        <row r="111">
          <cell r="C111" t="str">
            <v>04740</v>
          </cell>
          <cell r="D111" t="str">
            <v>Thân Việt Cường</v>
          </cell>
          <cell r="E111" t="str">
            <v>Foaming</v>
          </cell>
          <cell r="F111" t="str">
            <v>FOAMING Rectangular</v>
          </cell>
          <cell r="G111" t="str">
            <v>Supervisor</v>
          </cell>
          <cell r="H111" t="str">
            <v>31/07/2025</v>
          </cell>
        </row>
        <row r="112">
          <cell r="C112" t="str">
            <v>04820</v>
          </cell>
          <cell r="D112" t="str">
            <v>Trần Tuấn Anh</v>
          </cell>
          <cell r="E112" t="str">
            <v>Foaming</v>
          </cell>
          <cell r="F112" t="str">
            <v>FOAMING Splitting</v>
          </cell>
          <cell r="G112" t="str">
            <v>Supervisor</v>
          </cell>
          <cell r="H112" t="str">
            <v>29/09/2025</v>
          </cell>
        </row>
        <row r="113">
          <cell r="C113" t="str">
            <v>02396</v>
          </cell>
          <cell r="D113" t="str">
            <v>Trương Hồng Gấm</v>
          </cell>
          <cell r="E113" t="str">
            <v>Foaming</v>
          </cell>
          <cell r="F113" t="str">
            <v>FOAMING Splitting</v>
          </cell>
          <cell r="G113" t="str">
            <v>Worker</v>
          </cell>
          <cell r="H113"/>
        </row>
      </sheetData>
      <sheetData sheetId="5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77B87-320E-4CAC-BE20-C9B51A590042}">
  <sheetPr filterMode="1">
    <tabColor rgb="FFFF0000"/>
  </sheetPr>
  <dimension ref="A1:K143"/>
  <sheetViews>
    <sheetView tabSelected="1" topLeftCell="C1" zoomScale="70" zoomScaleNormal="70" workbookViewId="0">
      <pane xSplit="5" ySplit="21" topLeftCell="H39" activePane="bottomRight" state="frozen"/>
      <selection pane="topRight" activeCell="H1" sqref="H1"/>
      <selection pane="bottomLeft" activeCell="C22" sqref="C22"/>
      <selection pane="bottomRight" activeCell="E112" sqref="E112:F112"/>
    </sheetView>
  </sheetViews>
  <sheetFormatPr defaultColWidth="9.08984375" defaultRowHeight="14.5" x14ac:dyDescent="0.35"/>
  <cols>
    <col min="1" max="1" width="27.6328125" hidden="1" customWidth="1"/>
    <col min="2" max="2" width="15.54296875" hidden="1" customWidth="1"/>
    <col min="3" max="3" width="7" customWidth="1"/>
    <col min="4" max="4" width="10.453125" customWidth="1"/>
    <col min="5" max="5" width="15.6328125" customWidth="1"/>
    <col min="6" max="6" width="27.6328125" bestFit="1" customWidth="1"/>
    <col min="7" max="7" width="17.54296875" style="43" customWidth="1"/>
    <col min="8" max="8" width="27.54296875" style="43" customWidth="1"/>
    <col min="9" max="9" width="19.54296875" style="43" customWidth="1"/>
    <col min="10" max="10" width="18.453125" customWidth="1"/>
    <col min="11" max="11" width="31.453125" bestFit="1" customWidth="1"/>
  </cols>
  <sheetData>
    <row r="1" spans="3:9" s="1" customFormat="1" ht="32.25" customHeight="1" x14ac:dyDescent="0.4">
      <c r="E1" s="2"/>
      <c r="F1" s="3"/>
      <c r="G1" s="3"/>
      <c r="H1" s="3"/>
      <c r="I1" s="3"/>
    </row>
    <row r="2" spans="3:9" s="1" customFormat="1" ht="19" x14ac:dyDescent="0.4">
      <c r="E2" s="2"/>
      <c r="F2" s="2"/>
      <c r="G2" s="4"/>
      <c r="H2" s="3"/>
      <c r="I2" s="4"/>
    </row>
    <row r="3" spans="3:9" s="7" customFormat="1" ht="12" hidden="1" customHeight="1" x14ac:dyDescent="0.35">
      <c r="C3" s="5" t="s">
        <v>0</v>
      </c>
      <c r="D3" s="6" t="s">
        <v>1</v>
      </c>
      <c r="F3" s="6"/>
      <c r="G3" s="8"/>
      <c r="H3" s="9"/>
      <c r="I3" s="9"/>
    </row>
    <row r="4" spans="3:9" s="7" customFormat="1" ht="12" hidden="1" customHeight="1" x14ac:dyDescent="0.35">
      <c r="C4" s="5" t="s">
        <v>2</v>
      </c>
      <c r="D4" s="10" t="s">
        <v>3</v>
      </c>
      <c r="F4" s="10"/>
      <c r="G4" s="8"/>
      <c r="H4" s="9"/>
      <c r="I4" s="9"/>
    </row>
    <row r="5" spans="3:9" s="7" customFormat="1" ht="12" hidden="1" customHeight="1" x14ac:dyDescent="0.35">
      <c r="C5" s="5" t="s">
        <v>4</v>
      </c>
      <c r="D5" s="10" t="s">
        <v>5</v>
      </c>
      <c r="F5" s="10"/>
      <c r="G5" s="8"/>
      <c r="H5" s="9"/>
      <c r="I5" s="9"/>
    </row>
    <row r="6" spans="3:9" s="7" customFormat="1" ht="12" hidden="1" customHeight="1" x14ac:dyDescent="0.35">
      <c r="C6" s="5" t="s">
        <v>6</v>
      </c>
      <c r="D6" s="10" t="s">
        <v>7</v>
      </c>
      <c r="F6" s="11"/>
      <c r="G6" s="8"/>
      <c r="H6" s="9"/>
      <c r="I6" s="9"/>
    </row>
    <row r="7" spans="3:9" s="7" customFormat="1" ht="12" hidden="1" customHeight="1" x14ac:dyDescent="0.35">
      <c r="C7" s="5" t="s">
        <v>8</v>
      </c>
      <c r="D7" s="10" t="s">
        <v>9</v>
      </c>
      <c r="F7" s="10"/>
      <c r="G7" s="8"/>
      <c r="H7" s="9"/>
      <c r="I7" s="9"/>
    </row>
    <row r="8" spans="3:9" s="7" customFormat="1" ht="12" hidden="1" customHeight="1" x14ac:dyDescent="0.35">
      <c r="C8" s="5" t="s">
        <v>10</v>
      </c>
      <c r="D8" s="10" t="s">
        <v>11</v>
      </c>
      <c r="F8" s="10"/>
      <c r="G8" s="8"/>
      <c r="H8" s="9"/>
      <c r="I8" s="9"/>
    </row>
    <row r="9" spans="3:9" s="7" customFormat="1" ht="12" hidden="1" customHeight="1" x14ac:dyDescent="0.35">
      <c r="C9" s="5" t="s">
        <v>12</v>
      </c>
      <c r="D9" s="10" t="s">
        <v>13</v>
      </c>
      <c r="F9" s="11"/>
      <c r="G9" s="8"/>
      <c r="H9" s="9"/>
      <c r="I9" s="9"/>
    </row>
    <row r="10" spans="3:9" s="7" customFormat="1" ht="12" hidden="1" customHeight="1" x14ac:dyDescent="0.35">
      <c r="C10" s="5" t="s">
        <v>14</v>
      </c>
      <c r="D10" s="10" t="s">
        <v>15</v>
      </c>
      <c r="F10" s="10"/>
      <c r="G10" s="8"/>
      <c r="H10" s="9"/>
      <c r="I10" s="9"/>
    </row>
    <row r="11" spans="3:9" s="7" customFormat="1" ht="12" hidden="1" customHeight="1" x14ac:dyDescent="0.35">
      <c r="C11" s="5" t="s">
        <v>16</v>
      </c>
      <c r="D11" s="10" t="s">
        <v>17</v>
      </c>
      <c r="F11" s="10"/>
      <c r="G11" s="8"/>
      <c r="H11" s="9"/>
      <c r="I11" s="9"/>
    </row>
    <row r="12" spans="3:9" s="7" customFormat="1" ht="12" hidden="1" customHeight="1" x14ac:dyDescent="0.35">
      <c r="C12" s="5" t="s">
        <v>18</v>
      </c>
      <c r="D12" s="10" t="s">
        <v>19</v>
      </c>
      <c r="F12" s="10"/>
      <c r="G12" s="8"/>
      <c r="H12" s="9"/>
      <c r="I12" s="9"/>
    </row>
    <row r="13" spans="3:9" s="7" customFormat="1" ht="12" hidden="1" customHeight="1" x14ac:dyDescent="0.35">
      <c r="C13" s="5" t="s">
        <v>20</v>
      </c>
      <c r="D13" s="10" t="s">
        <v>21</v>
      </c>
      <c r="F13" s="10"/>
      <c r="G13" s="8"/>
      <c r="H13" s="9"/>
      <c r="I13" s="9"/>
    </row>
    <row r="14" spans="3:9" s="7" customFormat="1" ht="12" hidden="1" customHeight="1" x14ac:dyDescent="0.35">
      <c r="C14" s="5" t="s">
        <v>22</v>
      </c>
      <c r="D14" s="10" t="s">
        <v>23</v>
      </c>
      <c r="F14" s="10"/>
      <c r="G14" s="8"/>
      <c r="H14" s="9"/>
      <c r="I14" s="9"/>
    </row>
    <row r="15" spans="3:9" s="7" customFormat="1" ht="12" hidden="1" customHeight="1" x14ac:dyDescent="0.35">
      <c r="C15" s="5" t="s">
        <v>24</v>
      </c>
      <c r="D15" s="10" t="s">
        <v>25</v>
      </c>
      <c r="F15" s="10"/>
      <c r="G15" s="8"/>
      <c r="H15" s="9"/>
      <c r="I15" s="9"/>
    </row>
    <row r="16" spans="3:9" s="7" customFormat="1" ht="12" hidden="1" customHeight="1" x14ac:dyDescent="0.35">
      <c r="C16" s="5" t="s">
        <v>26</v>
      </c>
      <c r="D16" s="10" t="s">
        <v>27</v>
      </c>
      <c r="F16" s="10"/>
      <c r="G16" s="8"/>
      <c r="H16" s="9"/>
      <c r="I16" s="9"/>
    </row>
    <row r="17" spans="1:11" s="7" customFormat="1" ht="12" hidden="1" customHeight="1" x14ac:dyDescent="0.35">
      <c r="C17" s="5" t="s">
        <v>28</v>
      </c>
      <c r="D17" s="10" t="s">
        <v>29</v>
      </c>
      <c r="F17" s="10"/>
      <c r="G17" s="8"/>
      <c r="H17" s="9"/>
      <c r="I17" s="9"/>
    </row>
    <row r="18" spans="1:11" s="7" customFormat="1" ht="15" hidden="1" customHeight="1" x14ac:dyDescent="0.35">
      <c r="C18" s="5" t="s">
        <v>30</v>
      </c>
      <c r="D18" s="6" t="s">
        <v>31</v>
      </c>
      <c r="F18" s="10"/>
      <c r="G18" s="8"/>
      <c r="H18" s="9"/>
      <c r="I18" s="9"/>
      <c r="J18" s="12">
        <v>46107</v>
      </c>
    </row>
    <row r="19" spans="1:11" s="13" customFormat="1" ht="21.75" customHeight="1" x14ac:dyDescent="0.35">
      <c r="F19" s="14"/>
      <c r="G19" s="15"/>
      <c r="H19" s="16"/>
      <c r="I19" s="16"/>
      <c r="J19" s="17"/>
    </row>
    <row r="20" spans="1:11" s="19" customFormat="1" ht="27.75" customHeight="1" x14ac:dyDescent="0.35">
      <c r="C20" s="20"/>
      <c r="D20" s="20"/>
      <c r="E20" s="20"/>
      <c r="F20" s="20"/>
      <c r="G20" s="21"/>
      <c r="H20" s="22"/>
      <c r="I20" s="23"/>
      <c r="J20" s="24"/>
    </row>
    <row r="21" spans="1:11" s="25" customFormat="1" ht="75" customHeight="1" x14ac:dyDescent="0.25">
      <c r="A21" s="25" t="s">
        <v>32</v>
      </c>
      <c r="B21" s="25" t="s">
        <v>33</v>
      </c>
      <c r="C21" s="26" t="s">
        <v>34</v>
      </c>
      <c r="D21" s="27" t="s">
        <v>35</v>
      </c>
      <c r="E21" s="28" t="s">
        <v>36</v>
      </c>
      <c r="F21" s="28" t="s">
        <v>37</v>
      </c>
      <c r="G21" s="28" t="s">
        <v>38</v>
      </c>
      <c r="H21" s="28" t="s">
        <v>39</v>
      </c>
      <c r="I21" s="28" t="s">
        <v>40</v>
      </c>
      <c r="J21" s="28" t="s">
        <v>41</v>
      </c>
      <c r="K21" s="28" t="s">
        <v>42</v>
      </c>
    </row>
    <row r="22" spans="1:11" s="18" customFormat="1" ht="30.75" hidden="1" customHeight="1" x14ac:dyDescent="0.35">
      <c r="A22" s="18" t="e">
        <v>#N/A</v>
      </c>
      <c r="B22" s="18" t="s">
        <v>92</v>
      </c>
      <c r="C22" s="29">
        <f>IF(E22&lt;&gt;"",SUBTOTAL(103,E$22:E22),"")</f>
        <v>0</v>
      </c>
      <c r="D22" s="30" t="s">
        <v>72</v>
      </c>
      <c r="E22" s="31" t="s">
        <v>93</v>
      </c>
      <c r="F22" s="32" t="s">
        <v>92</v>
      </c>
      <c r="G22" s="33" t="s">
        <v>46</v>
      </c>
      <c r="H22" s="33" t="s">
        <v>74</v>
      </c>
      <c r="I22" s="34" t="s">
        <v>94</v>
      </c>
      <c r="J22" s="35">
        <f>+IFERROR(VLOOKUP(E22,[1]Sheet1!C:H,6,0),"")</f>
        <v>43672</v>
      </c>
      <c r="K22" s="45"/>
    </row>
    <row r="23" spans="1:11" s="18" customFormat="1" ht="30.75" hidden="1" customHeight="1" x14ac:dyDescent="0.35">
      <c r="A23"/>
      <c r="B23"/>
      <c r="C23" s="29">
        <f>IF(E23&lt;&gt;"",SUBTOTAL(103,E$22:E23),"")</f>
        <v>0</v>
      </c>
      <c r="D23" s="30" t="s">
        <v>72</v>
      </c>
      <c r="E23" s="31" t="s">
        <v>222</v>
      </c>
      <c r="F23" s="32" t="s">
        <v>223</v>
      </c>
      <c r="G23" s="33" t="s">
        <v>46</v>
      </c>
      <c r="H23" s="33" t="s">
        <v>74</v>
      </c>
      <c r="I23" s="34" t="s">
        <v>224</v>
      </c>
      <c r="J23" s="35" t="str">
        <f>+IFERROR(VLOOKUP(E23,[1]Sheet1!C:H,6,0),"")</f>
        <v>30/09/2024</v>
      </c>
      <c r="K23" s="47"/>
    </row>
    <row r="24" spans="1:11" s="18" customFormat="1" ht="27.75" hidden="1" customHeight="1" x14ac:dyDescent="0.35">
      <c r="A24" s="18" t="e">
        <v>#N/A</v>
      </c>
      <c r="B24" s="18" t="s">
        <v>51</v>
      </c>
      <c r="C24" s="29">
        <f>IF(E24&lt;&gt;"",SUBTOTAL(103,E$22:E24),"")</f>
        <v>0</v>
      </c>
      <c r="D24" s="30" t="s">
        <v>44</v>
      </c>
      <c r="E24" s="37" t="s">
        <v>52</v>
      </c>
      <c r="F24" s="32" t="s">
        <v>51</v>
      </c>
      <c r="G24" s="33" t="s">
        <v>46</v>
      </c>
      <c r="H24" s="33" t="s">
        <v>47</v>
      </c>
      <c r="I24" s="34" t="s">
        <v>53</v>
      </c>
      <c r="J24" s="35">
        <f>+IFERROR(VLOOKUP(E24,[1]Sheet1!C:H,6,0),"")</f>
        <v>41690</v>
      </c>
      <c r="K24" s="44"/>
    </row>
    <row r="25" spans="1:11" s="18" customFormat="1" ht="27.75" hidden="1" customHeight="1" x14ac:dyDescent="0.35">
      <c r="A25" s="18" t="e">
        <v>#N/A</v>
      </c>
      <c r="B25" s="18" t="s">
        <v>54</v>
      </c>
      <c r="C25" s="29">
        <f>IF(E25&lt;&gt;"",SUBTOTAL(103,E$22:E25),"")</f>
        <v>0</v>
      </c>
      <c r="D25" s="30" t="s">
        <v>44</v>
      </c>
      <c r="E25" s="37" t="s">
        <v>55</v>
      </c>
      <c r="F25" s="32" t="s">
        <v>54</v>
      </c>
      <c r="G25" s="33" t="s">
        <v>46</v>
      </c>
      <c r="H25" s="33" t="s">
        <v>47</v>
      </c>
      <c r="I25" s="34" t="s">
        <v>53</v>
      </c>
      <c r="J25" s="35">
        <f>+IFERROR(VLOOKUP(E25,[1]Sheet1!C:H,6,0),"")</f>
        <v>43195</v>
      </c>
      <c r="K25" s="44"/>
    </row>
    <row r="26" spans="1:11" s="36" customFormat="1" ht="30.9" hidden="1" customHeight="1" x14ac:dyDescent="0.35">
      <c r="A26" s="18" t="e">
        <v>#N/A</v>
      </c>
      <c r="B26" s="18" t="s">
        <v>86</v>
      </c>
      <c r="C26" s="29">
        <f>IF(E26&lt;&gt;"",SUBTOTAL(103,E$22:E26),"")</f>
        <v>0</v>
      </c>
      <c r="D26" s="30" t="s">
        <v>72</v>
      </c>
      <c r="E26" s="31" t="s">
        <v>87</v>
      </c>
      <c r="F26" s="32" t="s">
        <v>86</v>
      </c>
      <c r="G26" s="33" t="s">
        <v>46</v>
      </c>
      <c r="H26" s="33" t="s">
        <v>74</v>
      </c>
      <c r="I26" s="34" t="s">
        <v>88</v>
      </c>
      <c r="J26" s="35">
        <f>+IFERROR(VLOOKUP(E26,[1]Sheet1!C:H,6,0),"")</f>
        <v>43903</v>
      </c>
      <c r="K26" s="45"/>
    </row>
    <row r="27" spans="1:11" s="36" customFormat="1" ht="30.9" hidden="1" customHeight="1" x14ac:dyDescent="0.35">
      <c r="A27" s="18" t="s">
        <v>59</v>
      </c>
      <c r="B27" s="18" t="e">
        <v>#N/A</v>
      </c>
      <c r="C27" s="29">
        <v>1</v>
      </c>
      <c r="D27" s="30" t="s">
        <v>60</v>
      </c>
      <c r="E27" s="48" t="s">
        <v>61</v>
      </c>
      <c r="F27" s="49" t="s">
        <v>59</v>
      </c>
      <c r="G27" s="33" t="s">
        <v>46</v>
      </c>
      <c r="H27" s="33" t="s">
        <v>62</v>
      </c>
      <c r="I27" s="34" t="s">
        <v>50</v>
      </c>
      <c r="J27" s="35">
        <f>+IFERROR(VLOOKUP(E27,[1]Sheet1!C:H,6,0),"")</f>
        <v>43720</v>
      </c>
      <c r="K27" s="45"/>
    </row>
    <row r="28" spans="1:11" s="36" customFormat="1" ht="30.9" hidden="1" customHeight="1" x14ac:dyDescent="0.35">
      <c r="A28" s="18" t="e">
        <v>#N/A</v>
      </c>
      <c r="B28" s="18" t="e">
        <v>#N/A</v>
      </c>
      <c r="C28" s="29">
        <f>IF(E28&lt;&gt;"",SUBTOTAL(103,E$22:E28),"")</f>
        <v>0</v>
      </c>
      <c r="D28" s="30" t="s">
        <v>60</v>
      </c>
      <c r="E28" s="31" t="s">
        <v>103</v>
      </c>
      <c r="F28" s="32" t="s">
        <v>104</v>
      </c>
      <c r="G28" s="33" t="s">
        <v>46</v>
      </c>
      <c r="H28" s="33" t="s">
        <v>62</v>
      </c>
      <c r="I28" s="34" t="s">
        <v>50</v>
      </c>
      <c r="J28" s="35">
        <f>+IFERROR(VLOOKUP(E28,[1]Sheet1!C:H,6,0),"")</f>
        <v>43875</v>
      </c>
      <c r="K28" s="45"/>
    </row>
    <row r="29" spans="1:11" s="36" customFormat="1" ht="30.9" hidden="1" customHeight="1" x14ac:dyDescent="0.35">
      <c r="A29" s="18" t="e">
        <v>#N/A</v>
      </c>
      <c r="B29" s="18" t="s">
        <v>134</v>
      </c>
      <c r="C29" s="29">
        <f>IF(E29&lt;&gt;"",SUBTOTAL(103,E$22:E29),"")</f>
        <v>0</v>
      </c>
      <c r="D29" s="30" t="s">
        <v>60</v>
      </c>
      <c r="E29" s="31" t="s">
        <v>135</v>
      </c>
      <c r="F29" s="32" t="s">
        <v>134</v>
      </c>
      <c r="G29" s="33" t="s">
        <v>46</v>
      </c>
      <c r="H29" s="33" t="s">
        <v>62</v>
      </c>
      <c r="I29" s="34" t="s">
        <v>50</v>
      </c>
      <c r="J29" s="35">
        <f>+IFERROR(VLOOKUP(E29,[1]Sheet1!C:H,6,0),"")</f>
        <v>44256</v>
      </c>
      <c r="K29" s="45"/>
    </row>
    <row r="30" spans="1:11" s="36" customFormat="1" ht="30.9" hidden="1" customHeight="1" x14ac:dyDescent="0.35">
      <c r="A30" s="18" t="s">
        <v>182</v>
      </c>
      <c r="B30" s="18" t="e">
        <v>#N/A</v>
      </c>
      <c r="C30" s="29">
        <f>IF(E30&lt;&gt;"",SUBTOTAL(103,E$22:E30),"")</f>
        <v>0</v>
      </c>
      <c r="D30" s="30" t="s">
        <v>60</v>
      </c>
      <c r="E30" s="31" t="s">
        <v>183</v>
      </c>
      <c r="F30" s="34" t="s">
        <v>182</v>
      </c>
      <c r="G30" s="33" t="s">
        <v>46</v>
      </c>
      <c r="H30" s="33" t="s">
        <v>62</v>
      </c>
      <c r="I30" s="34" t="s">
        <v>50</v>
      </c>
      <c r="J30" s="35">
        <f>+IFERROR(VLOOKUP(E30,[1]Sheet1!C:H,6,0),"")</f>
        <v>44993</v>
      </c>
      <c r="K30" s="45"/>
    </row>
    <row r="31" spans="1:11" s="36" customFormat="1" ht="30.9" hidden="1" customHeight="1" x14ac:dyDescent="0.35">
      <c r="A31" s="18" t="e">
        <v>#N/A</v>
      </c>
      <c r="B31" s="18" t="s">
        <v>69</v>
      </c>
      <c r="C31" s="29">
        <f>IF(E31&lt;&gt;"",SUBTOTAL(103,E$22:E31),"")</f>
        <v>0</v>
      </c>
      <c r="D31" s="30" t="s">
        <v>44</v>
      </c>
      <c r="E31" s="31" t="s">
        <v>70</v>
      </c>
      <c r="F31" s="32" t="s">
        <v>69</v>
      </c>
      <c r="G31" s="33" t="s">
        <v>46</v>
      </c>
      <c r="H31" s="33" t="s">
        <v>47</v>
      </c>
      <c r="I31" s="34" t="s">
        <v>53</v>
      </c>
      <c r="J31" s="35">
        <f>+IFERROR(VLOOKUP(E31,[1]Sheet1!C:H,6,0),"")</f>
        <v>43836</v>
      </c>
      <c r="K31" s="45"/>
    </row>
    <row r="32" spans="1:11" s="36" customFormat="1" ht="30.9" hidden="1" customHeight="1" x14ac:dyDescent="0.35">
      <c r="A32" s="18" t="e">
        <v>#N/A</v>
      </c>
      <c r="B32" s="18" t="s">
        <v>71</v>
      </c>
      <c r="C32" s="29">
        <f>IF(E32&lt;&gt;"",SUBTOTAL(103,E$22:E32),"")</f>
        <v>0</v>
      </c>
      <c r="D32" s="30" t="s">
        <v>72</v>
      </c>
      <c r="E32" s="31" t="s">
        <v>73</v>
      </c>
      <c r="F32" s="32" t="s">
        <v>71</v>
      </c>
      <c r="G32" s="33" t="s">
        <v>46</v>
      </c>
      <c r="H32" s="33" t="s">
        <v>74</v>
      </c>
      <c r="I32" s="34" t="s">
        <v>75</v>
      </c>
      <c r="J32" s="35">
        <f>+IFERROR(VLOOKUP(E32,[1]Sheet1!C:H,6,0),"")</f>
        <v>43871</v>
      </c>
      <c r="K32" s="45"/>
    </row>
    <row r="33" spans="1:11" s="36" customFormat="1" ht="30.9" hidden="1" customHeight="1" x14ac:dyDescent="0.35">
      <c r="A33" s="18" t="e">
        <v>#N/A</v>
      </c>
      <c r="B33" s="18" t="s">
        <v>43</v>
      </c>
      <c r="C33" s="29">
        <f>IF(E33&lt;&gt;"",SUBTOTAL(103,E$22:E33),"")</f>
        <v>0</v>
      </c>
      <c r="D33" s="30" t="s">
        <v>44</v>
      </c>
      <c r="E33" s="48" t="s">
        <v>45</v>
      </c>
      <c r="F33" s="49" t="s">
        <v>43</v>
      </c>
      <c r="G33" s="33" t="s">
        <v>46</v>
      </c>
      <c r="H33" s="33" t="s">
        <v>47</v>
      </c>
      <c r="I33" s="34" t="s">
        <v>50</v>
      </c>
      <c r="J33" s="35">
        <f>+IFERROR(VLOOKUP(E33,[1]Sheet1!C:H,6,0),"")</f>
        <v>44118</v>
      </c>
      <c r="K33" s="44"/>
    </row>
    <row r="34" spans="1:11" s="36" customFormat="1" ht="30.9" hidden="1" customHeight="1" x14ac:dyDescent="0.35">
      <c r="A34" s="18" t="e">
        <v>#N/A</v>
      </c>
      <c r="B34" s="18" t="s">
        <v>76</v>
      </c>
      <c r="C34" s="29">
        <f>IF(E34&lt;&gt;"",SUBTOTAL(103,E$22:E34),"")</f>
        <v>0</v>
      </c>
      <c r="D34" s="30" t="s">
        <v>44</v>
      </c>
      <c r="E34" s="31" t="s">
        <v>77</v>
      </c>
      <c r="F34" s="32" t="s">
        <v>76</v>
      </c>
      <c r="G34" s="33" t="s">
        <v>46</v>
      </c>
      <c r="H34" s="33" t="s">
        <v>47</v>
      </c>
      <c r="I34" s="34" t="s">
        <v>50</v>
      </c>
      <c r="J34" s="35">
        <f>+IFERROR(VLOOKUP(E34,[1]Sheet1!C:H,6,0),"")</f>
        <v>43867</v>
      </c>
      <c r="K34" s="45"/>
    </row>
    <row r="35" spans="1:11" s="36" customFormat="1" ht="30.9" hidden="1" customHeight="1" x14ac:dyDescent="0.35">
      <c r="A35" s="18" t="e">
        <v>#N/A</v>
      </c>
      <c r="B35" s="18" t="s">
        <v>80</v>
      </c>
      <c r="C35" s="29">
        <f>IF(E35&lt;&gt;"",SUBTOTAL(103,E$22:E35),"")</f>
        <v>0</v>
      </c>
      <c r="D35" s="30" t="s">
        <v>60</v>
      </c>
      <c r="E35" s="31" t="s">
        <v>81</v>
      </c>
      <c r="F35" s="32" t="s">
        <v>80</v>
      </c>
      <c r="G35" s="33" t="s">
        <v>46</v>
      </c>
      <c r="H35" s="33" t="s">
        <v>62</v>
      </c>
      <c r="I35" s="34" t="s">
        <v>53</v>
      </c>
      <c r="J35" s="35">
        <f>+IFERROR(VLOOKUP(E35,[1]Sheet1!C:H,6,0),"")</f>
        <v>43875</v>
      </c>
      <c r="K35" s="45"/>
    </row>
    <row r="36" spans="1:11" s="36" customFormat="1" ht="30.9" hidden="1" customHeight="1" x14ac:dyDescent="0.35">
      <c r="A36" s="18" t="e">
        <v>#N/A</v>
      </c>
      <c r="B36" s="18" t="s">
        <v>78</v>
      </c>
      <c r="C36" s="29">
        <f>IF(E36&lt;&gt;"",SUBTOTAL(103,E$22:E36),"")</f>
        <v>0</v>
      </c>
      <c r="D36" s="30" t="s">
        <v>44</v>
      </c>
      <c r="E36" s="31" t="s">
        <v>79</v>
      </c>
      <c r="F36" s="32" t="s">
        <v>78</v>
      </c>
      <c r="G36" s="33" t="s">
        <v>46</v>
      </c>
      <c r="H36" s="33" t="s">
        <v>47</v>
      </c>
      <c r="I36" s="34" t="s">
        <v>50</v>
      </c>
      <c r="J36" s="35">
        <f>+IFERROR(VLOOKUP(E36,[1]Sheet1!C:H,6,0),"")</f>
        <v>43871</v>
      </c>
      <c r="K36" s="45"/>
    </row>
    <row r="37" spans="1:11" s="36" customFormat="1" ht="30.9" hidden="1" customHeight="1" x14ac:dyDescent="0.35">
      <c r="A37" s="18" t="e">
        <v>#N/A</v>
      </c>
      <c r="B37" s="18" t="s">
        <v>84</v>
      </c>
      <c r="C37" s="29">
        <f>IF(E37&lt;&gt;"",SUBTOTAL(103,E$22:E37),"")</f>
        <v>0</v>
      </c>
      <c r="D37" s="30" t="s">
        <v>44</v>
      </c>
      <c r="E37" s="38" t="s">
        <v>85</v>
      </c>
      <c r="F37" s="39" t="s">
        <v>84</v>
      </c>
      <c r="G37" s="33" t="s">
        <v>46</v>
      </c>
      <c r="H37" s="33" t="s">
        <v>47</v>
      </c>
      <c r="I37" s="34" t="s">
        <v>50</v>
      </c>
      <c r="J37" s="35">
        <f>+IFERROR(VLOOKUP(E37,[1]Sheet1!C:H,6,0),"")</f>
        <v>43875</v>
      </c>
      <c r="K37" s="45"/>
    </row>
    <row r="38" spans="1:11" s="36" customFormat="1" ht="30.9" hidden="1" customHeight="1" x14ac:dyDescent="0.35">
      <c r="A38" s="18" t="s">
        <v>119</v>
      </c>
      <c r="B38" s="18" t="e">
        <v>#N/A</v>
      </c>
      <c r="C38" s="29">
        <f>IF(E38&lt;&gt;"",SUBTOTAL(103,E$22:E38),"")</f>
        <v>0</v>
      </c>
      <c r="D38" s="30" t="s">
        <v>60</v>
      </c>
      <c r="E38" s="31" t="s">
        <v>120</v>
      </c>
      <c r="F38" s="32" t="s">
        <v>119</v>
      </c>
      <c r="G38" s="33" t="s">
        <v>46</v>
      </c>
      <c r="H38" s="33" t="s">
        <v>62</v>
      </c>
      <c r="I38" s="34" t="s">
        <v>121</v>
      </c>
      <c r="J38" s="35">
        <f>+IFERROR(VLOOKUP(E38,[1]Sheet1!C:H,6,0),"")</f>
        <v>44043</v>
      </c>
      <c r="K38" s="45"/>
    </row>
    <row r="39" spans="1:11" s="36" customFormat="1" ht="30.9" hidden="1" customHeight="1" x14ac:dyDescent="0.35">
      <c r="A39" s="18" t="e">
        <v>#N/A</v>
      </c>
      <c r="B39" s="18" t="s">
        <v>89</v>
      </c>
      <c r="C39" s="29">
        <f>IF(E39&lt;&gt;"",SUBTOTAL(103,E$22:E39),"")</f>
        <v>0</v>
      </c>
      <c r="D39" s="30" t="s">
        <v>72</v>
      </c>
      <c r="E39" s="31" t="s">
        <v>90</v>
      </c>
      <c r="F39" s="32" t="s">
        <v>89</v>
      </c>
      <c r="G39" s="33" t="s">
        <v>46</v>
      </c>
      <c r="H39" s="33" t="s">
        <v>74</v>
      </c>
      <c r="I39" s="34" t="s">
        <v>91</v>
      </c>
      <c r="J39" s="35">
        <f>+IFERROR(VLOOKUP(E39,[1]Sheet1!C:H,6,0),"")</f>
        <v>43964</v>
      </c>
      <c r="K39" s="45"/>
    </row>
    <row r="40" spans="1:11" s="36" customFormat="1" ht="30.9" hidden="1" customHeight="1" x14ac:dyDescent="0.35">
      <c r="A40" s="18" t="e">
        <v>#N/A</v>
      </c>
      <c r="B40" s="18" t="e">
        <v>#N/A</v>
      </c>
      <c r="C40" s="29">
        <f>IF(E40&lt;&gt;"",SUBTOTAL(103,E$22:E40),"")</f>
        <v>0</v>
      </c>
      <c r="D40" s="30" t="s">
        <v>60</v>
      </c>
      <c r="E40" s="31" t="s">
        <v>136</v>
      </c>
      <c r="F40" s="32" t="s">
        <v>137</v>
      </c>
      <c r="G40" s="33" t="s">
        <v>46</v>
      </c>
      <c r="H40" s="33" t="s">
        <v>62</v>
      </c>
      <c r="I40" s="34" t="s">
        <v>58</v>
      </c>
      <c r="J40" s="35">
        <f>+IFERROR(VLOOKUP(E40,[1]Sheet1!C:H,6,0),"")</f>
        <v>44312</v>
      </c>
      <c r="K40" s="45"/>
    </row>
    <row r="41" spans="1:11" s="36" customFormat="1" ht="30.9" hidden="1" customHeight="1" x14ac:dyDescent="0.35">
      <c r="A41" s="18" t="e">
        <v>#N/A</v>
      </c>
      <c r="B41" s="18" t="s">
        <v>161</v>
      </c>
      <c r="C41" s="29">
        <f>IF(E41&lt;&gt;"",SUBTOTAL(103,E$22:E41),"")</f>
        <v>0</v>
      </c>
      <c r="D41" s="30" t="s">
        <v>60</v>
      </c>
      <c r="E41" s="31" t="s">
        <v>162</v>
      </c>
      <c r="F41" s="32" t="s">
        <v>161</v>
      </c>
      <c r="G41" s="33" t="s">
        <v>46</v>
      </c>
      <c r="H41" s="33" t="s">
        <v>62</v>
      </c>
      <c r="I41" s="34" t="s">
        <v>121</v>
      </c>
      <c r="J41" s="35">
        <f>+IFERROR(VLOOKUP(E41,[1]Sheet1!C:H,6,0),"")</f>
        <v>44630</v>
      </c>
      <c r="K41" s="45"/>
    </row>
    <row r="42" spans="1:11" s="36" customFormat="1" ht="30.9" hidden="1" customHeight="1" x14ac:dyDescent="0.35">
      <c r="A42" s="18" t="e">
        <v>#N/A</v>
      </c>
      <c r="B42" s="18" t="e">
        <v>#N/A</v>
      </c>
      <c r="C42" s="29">
        <f>IF(E42&lt;&gt;"",SUBTOTAL(103,E$22:E42),"")</f>
        <v>0</v>
      </c>
      <c r="D42" s="30" t="s">
        <v>60</v>
      </c>
      <c r="E42" s="31" t="s">
        <v>97</v>
      </c>
      <c r="F42" s="32" t="s">
        <v>98</v>
      </c>
      <c r="G42" s="33" t="s">
        <v>46</v>
      </c>
      <c r="H42" s="33" t="s">
        <v>62</v>
      </c>
      <c r="I42" s="34" t="s">
        <v>53</v>
      </c>
      <c r="J42" s="35">
        <f>+IFERROR(VLOOKUP(E42,[1]Sheet1!C:H,6,0),"")</f>
        <v>43844</v>
      </c>
      <c r="K42" s="45"/>
    </row>
    <row r="43" spans="1:11" s="36" customFormat="1" ht="30.9" hidden="1" customHeight="1" x14ac:dyDescent="0.35">
      <c r="A43" s="18" t="e">
        <v>#N/A</v>
      </c>
      <c r="B43" s="18" t="s">
        <v>99</v>
      </c>
      <c r="C43" s="29">
        <f>IF(E43&lt;&gt;"",SUBTOTAL(103,E$22:E43),"")</f>
        <v>0</v>
      </c>
      <c r="D43" s="30" t="s">
        <v>60</v>
      </c>
      <c r="E43" s="31" t="s">
        <v>100</v>
      </c>
      <c r="F43" s="32" t="s">
        <v>99</v>
      </c>
      <c r="G43" s="33" t="s">
        <v>46</v>
      </c>
      <c r="H43" s="33" t="s">
        <v>62</v>
      </c>
      <c r="I43" s="34" t="s">
        <v>53</v>
      </c>
      <c r="J43" s="35">
        <f>+IFERROR(VLOOKUP(E43,[1]Sheet1!C:H,6,0),"")</f>
        <v>43867</v>
      </c>
      <c r="K43" s="45"/>
    </row>
    <row r="44" spans="1:11" s="36" customFormat="1" ht="30.9" hidden="1" customHeight="1" x14ac:dyDescent="0.35">
      <c r="A44" s="18" t="e">
        <v>#N/A</v>
      </c>
      <c r="B44" s="18" t="s">
        <v>165</v>
      </c>
      <c r="C44" s="29">
        <f>IF(E44&lt;&gt;"",SUBTOTAL(103,E$22:E44),"")</f>
        <v>0</v>
      </c>
      <c r="D44" s="30" t="s">
        <v>60</v>
      </c>
      <c r="E44" s="31" t="s">
        <v>166</v>
      </c>
      <c r="F44" s="32" t="s">
        <v>165</v>
      </c>
      <c r="G44" s="33" t="s">
        <v>46</v>
      </c>
      <c r="H44" s="33" t="s">
        <v>62</v>
      </c>
      <c r="I44" s="34" t="s">
        <v>121</v>
      </c>
      <c r="J44" s="35">
        <f>+IFERROR(VLOOKUP(E44,[1]Sheet1!C:H,6,0),"")</f>
        <v>44634</v>
      </c>
      <c r="K44" s="45"/>
    </row>
    <row r="45" spans="1:11" s="36" customFormat="1" ht="30.9" hidden="1" customHeight="1" x14ac:dyDescent="0.35">
      <c r="A45" s="18" t="e">
        <v>#N/A</v>
      </c>
      <c r="B45" s="18" t="s">
        <v>171</v>
      </c>
      <c r="C45" s="29">
        <f>IF(E45&lt;&gt;"",SUBTOTAL(103,E$22:E45),"")</f>
        <v>0</v>
      </c>
      <c r="D45" s="30" t="s">
        <v>60</v>
      </c>
      <c r="E45" s="31" t="s">
        <v>172</v>
      </c>
      <c r="F45" s="34" t="s">
        <v>171</v>
      </c>
      <c r="G45" s="33" t="s">
        <v>46</v>
      </c>
      <c r="H45" s="33" t="s">
        <v>62</v>
      </c>
      <c r="I45" s="34" t="s">
        <v>58</v>
      </c>
      <c r="J45" s="35">
        <f>+IFERROR(VLOOKUP(E45,[1]Sheet1!C:H,6,0),"")</f>
        <v>44707</v>
      </c>
      <c r="K45" s="45"/>
    </row>
    <row r="46" spans="1:11" s="36" customFormat="1" ht="30.9" hidden="1" customHeight="1" x14ac:dyDescent="0.35">
      <c r="A46" s="18" t="s">
        <v>67</v>
      </c>
      <c r="B46" s="18" t="e">
        <v>#N/A</v>
      </c>
      <c r="C46" s="29">
        <f>IF(E46&lt;&gt;"",SUBTOTAL(103,E$22:E46),"")</f>
        <v>0</v>
      </c>
      <c r="D46" s="30" t="s">
        <v>60</v>
      </c>
      <c r="E46" s="31" t="s">
        <v>68</v>
      </c>
      <c r="F46" s="32" t="s">
        <v>67</v>
      </c>
      <c r="G46" s="33" t="s">
        <v>46</v>
      </c>
      <c r="H46" s="33" t="s">
        <v>62</v>
      </c>
      <c r="I46" s="34" t="s">
        <v>58</v>
      </c>
      <c r="J46" s="35">
        <f>+IFERROR(VLOOKUP(E46,[1]Sheet1!C:H,6,0),"")</f>
        <v>43867</v>
      </c>
      <c r="K46" s="45"/>
    </row>
    <row r="47" spans="1:11" s="36" customFormat="1" ht="30.9" hidden="1" customHeight="1" x14ac:dyDescent="0.35">
      <c r="A47" s="18" t="e">
        <v>#N/A</v>
      </c>
      <c r="B47" s="18" t="s">
        <v>107</v>
      </c>
      <c r="C47" s="29">
        <f>IF(E47&lt;&gt;"",SUBTOTAL(103,E$22:E47),"")</f>
        <v>0</v>
      </c>
      <c r="D47" s="30" t="s">
        <v>44</v>
      </c>
      <c r="E47" s="31" t="s">
        <v>108</v>
      </c>
      <c r="F47" s="32" t="s">
        <v>107</v>
      </c>
      <c r="G47" s="33" t="s">
        <v>46</v>
      </c>
      <c r="H47" s="33" t="s">
        <v>47</v>
      </c>
      <c r="I47" s="34" t="s">
        <v>53</v>
      </c>
      <c r="J47" s="35">
        <f>+IFERROR(VLOOKUP(E47,[1]Sheet1!C:H,6,0),"")</f>
        <v>43881</v>
      </c>
      <c r="K47" s="45"/>
    </row>
    <row r="48" spans="1:11" s="36" customFormat="1" ht="30.9" hidden="1" customHeight="1" x14ac:dyDescent="0.35">
      <c r="A48" s="18" t="e">
        <v>#N/A</v>
      </c>
      <c r="B48" s="18" t="s">
        <v>115</v>
      </c>
      <c r="C48" s="29">
        <f>IF(E48&lt;&gt;"",SUBTOTAL(103,E$22:E48),"")</f>
        <v>0</v>
      </c>
      <c r="D48" s="30" t="s">
        <v>60</v>
      </c>
      <c r="E48" s="31" t="s">
        <v>116</v>
      </c>
      <c r="F48" s="32" t="s">
        <v>115</v>
      </c>
      <c r="G48" s="33" t="s">
        <v>46</v>
      </c>
      <c r="H48" s="33" t="s">
        <v>62</v>
      </c>
      <c r="I48" s="34" t="s">
        <v>58</v>
      </c>
      <c r="J48" s="35">
        <f>+IFERROR(VLOOKUP(E48,[1]Sheet1!C:H,6,0),"")</f>
        <v>44029</v>
      </c>
      <c r="K48" s="45"/>
    </row>
    <row r="49" spans="1:11" s="36" customFormat="1" ht="30.9" hidden="1" customHeight="1" x14ac:dyDescent="0.35">
      <c r="A49" s="18" t="s">
        <v>111</v>
      </c>
      <c r="B49" s="18" t="e">
        <v>#N/A</v>
      </c>
      <c r="C49" s="29">
        <f>IF(E49&lt;&gt;"",SUBTOTAL(103,E$22:E49),"")</f>
        <v>0</v>
      </c>
      <c r="D49" s="30" t="s">
        <v>44</v>
      </c>
      <c r="E49" s="31" t="s">
        <v>112</v>
      </c>
      <c r="F49" s="32" t="s">
        <v>111</v>
      </c>
      <c r="G49" s="33" t="s">
        <v>46</v>
      </c>
      <c r="H49" s="33" t="s">
        <v>47</v>
      </c>
      <c r="I49" s="34" t="s">
        <v>53</v>
      </c>
      <c r="J49" s="35">
        <f>+IFERROR(VLOOKUP(E49,[1]Sheet1!C:H,6,0),"")</f>
        <v>44019</v>
      </c>
      <c r="K49" s="45"/>
    </row>
    <row r="50" spans="1:11" s="36" customFormat="1" ht="30.9" hidden="1" customHeight="1" x14ac:dyDescent="0.35">
      <c r="A50" s="18" t="e">
        <v>#N/A</v>
      </c>
      <c r="B50" s="18" t="s">
        <v>113</v>
      </c>
      <c r="C50" s="29">
        <f>IF(E50&lt;&gt;"",SUBTOTAL(103,E$22:E50),"")</f>
        <v>0</v>
      </c>
      <c r="D50" s="30" t="s">
        <v>44</v>
      </c>
      <c r="E50" s="31" t="s">
        <v>114</v>
      </c>
      <c r="F50" s="32" t="s">
        <v>113</v>
      </c>
      <c r="G50" s="33" t="s">
        <v>46</v>
      </c>
      <c r="H50" s="33" t="s">
        <v>47</v>
      </c>
      <c r="I50" s="34" t="s">
        <v>53</v>
      </c>
      <c r="J50" s="35">
        <f>+IFERROR(VLOOKUP(E50,[1]Sheet1!C:H,6,0),"")</f>
        <v>44025</v>
      </c>
      <c r="K50" s="45"/>
    </row>
    <row r="51" spans="1:11" s="36" customFormat="1" ht="30.9" hidden="1" customHeight="1" x14ac:dyDescent="0.35">
      <c r="A51" s="18" t="e">
        <v>#N/A</v>
      </c>
      <c r="B51" s="18" t="e">
        <v>#N/A</v>
      </c>
      <c r="C51" s="29">
        <f>IF(E51&lt;&gt;"",SUBTOTAL(103,E$22:E51),"")</f>
        <v>0</v>
      </c>
      <c r="D51" s="30" t="s">
        <v>60</v>
      </c>
      <c r="E51" s="31" t="s">
        <v>124</v>
      </c>
      <c r="F51" s="32" t="s">
        <v>125</v>
      </c>
      <c r="G51" s="33" t="s">
        <v>46</v>
      </c>
      <c r="H51" s="33" t="s">
        <v>62</v>
      </c>
      <c r="I51" s="34" t="s">
        <v>58</v>
      </c>
      <c r="J51" s="35">
        <f>+IFERROR(VLOOKUP(E51,[1]Sheet1!C:H,6,0),"")</f>
        <v>44077</v>
      </c>
      <c r="K51" s="45"/>
    </row>
    <row r="52" spans="1:11" s="36" customFormat="1" ht="30.9" hidden="1" customHeight="1" x14ac:dyDescent="0.35">
      <c r="A52" s="18" t="e">
        <v>#N/A</v>
      </c>
      <c r="B52" s="18" t="s">
        <v>117</v>
      </c>
      <c r="C52" s="29">
        <f>IF(E52&lt;&gt;"",SUBTOTAL(103,E$22:E52),"")</f>
        <v>0</v>
      </c>
      <c r="D52" s="30" t="s">
        <v>44</v>
      </c>
      <c r="E52" s="31" t="s">
        <v>118</v>
      </c>
      <c r="F52" s="32" t="s">
        <v>117</v>
      </c>
      <c r="G52" s="33" t="s">
        <v>46</v>
      </c>
      <c r="H52" s="33" t="s">
        <v>47</v>
      </c>
      <c r="I52" s="34" t="s">
        <v>53</v>
      </c>
      <c r="J52" s="35">
        <f>+IFERROR(VLOOKUP(E52,[1]Sheet1!C:H,6,0),"")</f>
        <v>44025</v>
      </c>
      <c r="K52" s="45"/>
    </row>
    <row r="53" spans="1:11" s="36" customFormat="1" ht="30.9" hidden="1" customHeight="1" x14ac:dyDescent="0.35">
      <c r="A53" s="18" t="e">
        <v>#N/A</v>
      </c>
      <c r="B53" s="18" t="s">
        <v>147</v>
      </c>
      <c r="C53" s="29">
        <f>IF(E53&lt;&gt;"",SUBTOTAL(103,E$22:E53),"")</f>
        <v>0</v>
      </c>
      <c r="D53" s="30" t="s">
        <v>60</v>
      </c>
      <c r="E53" s="31" t="s">
        <v>148</v>
      </c>
      <c r="F53" s="39" t="s">
        <v>147</v>
      </c>
      <c r="G53" s="33" t="s">
        <v>46</v>
      </c>
      <c r="H53" s="33" t="s">
        <v>62</v>
      </c>
      <c r="I53" s="34" t="s">
        <v>58</v>
      </c>
      <c r="J53" s="35">
        <f>+IFERROR(VLOOKUP(E53,[1]Sheet1!C:H,6,0),"")</f>
        <v>44516</v>
      </c>
      <c r="K53" s="45"/>
    </row>
    <row r="54" spans="1:11" s="36" customFormat="1" ht="30.9" hidden="1" customHeight="1" x14ac:dyDescent="0.35">
      <c r="A54" s="18" t="e">
        <v>#N/A</v>
      </c>
      <c r="B54" s="18" t="e">
        <v>#N/A</v>
      </c>
      <c r="C54" s="29">
        <f>IF(E54&lt;&gt;"",SUBTOTAL(103,E$22:E54),"")</f>
        <v>0</v>
      </c>
      <c r="D54" s="30" t="s">
        <v>44</v>
      </c>
      <c r="E54" s="31" t="s">
        <v>122</v>
      </c>
      <c r="F54" s="32" t="s">
        <v>123</v>
      </c>
      <c r="G54" s="33" t="s">
        <v>46</v>
      </c>
      <c r="H54" s="33" t="s">
        <v>47</v>
      </c>
      <c r="I54" s="34" t="s">
        <v>58</v>
      </c>
      <c r="J54" s="35">
        <f>+IFERROR(VLOOKUP(E54,[1]Sheet1!C:H,6,0),"")</f>
        <v>44033</v>
      </c>
      <c r="K54" s="45"/>
    </row>
    <row r="55" spans="1:11" s="36" customFormat="1" ht="30.9" hidden="1" customHeight="1" x14ac:dyDescent="0.35">
      <c r="A55" s="18" t="e">
        <v>#N/A</v>
      </c>
      <c r="B55" s="18" t="s">
        <v>155</v>
      </c>
      <c r="C55" s="29">
        <f>IF(E55&lt;&gt;"",SUBTOTAL(103,E$22:E55),"")</f>
        <v>0</v>
      </c>
      <c r="D55" s="30" t="s">
        <v>60</v>
      </c>
      <c r="E55" s="31" t="s">
        <v>156</v>
      </c>
      <c r="F55" s="32" t="s">
        <v>155</v>
      </c>
      <c r="G55" s="33" t="s">
        <v>46</v>
      </c>
      <c r="H55" s="33" t="s">
        <v>62</v>
      </c>
      <c r="I55" s="34" t="s">
        <v>58</v>
      </c>
      <c r="J55" s="35">
        <f>+IFERROR(VLOOKUP(E55,[1]Sheet1!C:H,6,0),"")</f>
        <v>44603</v>
      </c>
      <c r="K55" s="45"/>
    </row>
    <row r="56" spans="1:11" s="36" customFormat="1" ht="30.9" hidden="1" customHeight="1" x14ac:dyDescent="0.35">
      <c r="A56" s="18" t="e">
        <v>#N/A</v>
      </c>
      <c r="B56" s="18" t="s">
        <v>126</v>
      </c>
      <c r="C56" s="29">
        <f>IF(E56&lt;&gt;"",SUBTOTAL(103,E$22:E56),"")</f>
        <v>0</v>
      </c>
      <c r="D56" s="30" t="s">
        <v>44</v>
      </c>
      <c r="E56" s="31" t="s">
        <v>127</v>
      </c>
      <c r="F56" s="32" t="s">
        <v>126</v>
      </c>
      <c r="G56" s="33" t="s">
        <v>46</v>
      </c>
      <c r="H56" s="33" t="s">
        <v>47</v>
      </c>
      <c r="I56" s="34" t="s">
        <v>53</v>
      </c>
      <c r="J56" s="35">
        <f>+IFERROR(VLOOKUP(E56,[1]Sheet1!C:H,6,0),"")</f>
        <v>44144</v>
      </c>
      <c r="K56" s="45"/>
    </row>
    <row r="57" spans="1:11" s="36" customFormat="1" ht="30.9" hidden="1" customHeight="1" x14ac:dyDescent="0.35">
      <c r="A57" s="18" t="s">
        <v>157</v>
      </c>
      <c r="B57" s="18" t="e">
        <v>#N/A</v>
      </c>
      <c r="C57" s="29">
        <f>IF(E57&lt;&gt;"",SUBTOTAL(103,E$22:E57),"")</f>
        <v>0</v>
      </c>
      <c r="D57" s="30" t="s">
        <v>60</v>
      </c>
      <c r="E57" s="31" t="s">
        <v>158</v>
      </c>
      <c r="F57" s="32" t="s">
        <v>157</v>
      </c>
      <c r="G57" s="33" t="s">
        <v>46</v>
      </c>
      <c r="H57" s="33" t="s">
        <v>62</v>
      </c>
      <c r="I57" s="34" t="s">
        <v>58</v>
      </c>
      <c r="J57" s="35">
        <f>+IFERROR(VLOOKUP(E57,[1]Sheet1!C:H,6,0),"")</f>
        <v>44610</v>
      </c>
      <c r="K57" s="45"/>
    </row>
    <row r="58" spans="1:11" s="36" customFormat="1" ht="30.9" hidden="1" customHeight="1" x14ac:dyDescent="0.35">
      <c r="A58" s="18" t="e">
        <v>#N/A</v>
      </c>
      <c r="B58" s="18" t="s">
        <v>130</v>
      </c>
      <c r="C58" s="29">
        <f>IF(E58&lt;&gt;"",SUBTOTAL(103,E$22:E58),"")</f>
        <v>0</v>
      </c>
      <c r="D58" s="30" t="s">
        <v>44</v>
      </c>
      <c r="E58" s="38" t="s">
        <v>131</v>
      </c>
      <c r="F58" s="39" t="s">
        <v>130</v>
      </c>
      <c r="G58" s="33" t="s">
        <v>46</v>
      </c>
      <c r="H58" s="33" t="s">
        <v>47</v>
      </c>
      <c r="I58" s="34" t="s">
        <v>53</v>
      </c>
      <c r="J58" s="35">
        <f>+IFERROR(VLOOKUP(E58,[1]Sheet1!C:H,6,0),"")</f>
        <v>44249</v>
      </c>
      <c r="K58" s="45"/>
    </row>
    <row r="59" spans="1:11" s="36" customFormat="1" ht="30.9" hidden="1" customHeight="1" x14ac:dyDescent="0.35">
      <c r="A59" s="18" t="e">
        <v>#N/A</v>
      </c>
      <c r="B59" s="18" t="s">
        <v>132</v>
      </c>
      <c r="C59" s="29">
        <f>IF(E59&lt;&gt;"",SUBTOTAL(103,E$22:E59),"")</f>
        <v>0</v>
      </c>
      <c r="D59" s="30" t="s">
        <v>44</v>
      </c>
      <c r="E59" s="31" t="s">
        <v>133</v>
      </c>
      <c r="F59" s="32" t="s">
        <v>132</v>
      </c>
      <c r="G59" s="33" t="s">
        <v>46</v>
      </c>
      <c r="H59" s="33" t="s">
        <v>47</v>
      </c>
      <c r="I59" s="34" t="s">
        <v>53</v>
      </c>
      <c r="J59" s="35">
        <f>+IFERROR(VLOOKUP(E59,[1]Sheet1!C:H,6,0),"")</f>
        <v>44256</v>
      </c>
      <c r="K59" s="45"/>
    </row>
    <row r="60" spans="1:11" s="36" customFormat="1" ht="30.9" hidden="1" customHeight="1" x14ac:dyDescent="0.35">
      <c r="A60" s="18" t="s">
        <v>200</v>
      </c>
      <c r="B60" s="18" t="e">
        <v>#N/A</v>
      </c>
      <c r="C60" s="29">
        <f>IF(E60&lt;&gt;"",SUBTOTAL(103,E$22:E60),"")</f>
        <v>0</v>
      </c>
      <c r="D60" s="30" t="s">
        <v>60</v>
      </c>
      <c r="E60" s="31" t="s">
        <v>201</v>
      </c>
      <c r="F60" s="32" t="s">
        <v>200</v>
      </c>
      <c r="G60" s="33" t="s">
        <v>46</v>
      </c>
      <c r="H60" s="33" t="s">
        <v>62</v>
      </c>
      <c r="I60" s="34" t="s">
        <v>58</v>
      </c>
      <c r="J60" s="35">
        <f>+IFERROR(VLOOKUP(E60,[1]Sheet1!C:H,6,0),"")</f>
        <v>45372</v>
      </c>
      <c r="K60" s="46"/>
    </row>
    <row r="61" spans="1:11" s="36" customFormat="1" ht="30.9" hidden="1" customHeight="1" x14ac:dyDescent="0.35">
      <c r="A61"/>
      <c r="B61"/>
      <c r="C61" s="29">
        <f>IF(E61&lt;&gt;"",SUBTOTAL(103,E$22:E61),"")</f>
        <v>0</v>
      </c>
      <c r="D61" s="30" t="s">
        <v>44</v>
      </c>
      <c r="E61" s="48" t="s">
        <v>259</v>
      </c>
      <c r="F61" s="49" t="s">
        <v>260</v>
      </c>
      <c r="G61" s="33" t="s">
        <v>46</v>
      </c>
      <c r="H61" s="33" t="s">
        <v>47</v>
      </c>
      <c r="I61" s="34" t="s">
        <v>94</v>
      </c>
      <c r="J61" s="35" t="str">
        <f>+IFERROR(VLOOKUP(E61,[1]Sheet1!C:H,6,0),"")</f>
        <v>29/09/2025</v>
      </c>
      <c r="K61" s="47"/>
    </row>
    <row r="62" spans="1:11" s="36" customFormat="1" ht="30.9" hidden="1" customHeight="1" x14ac:dyDescent="0.35">
      <c r="A62" s="18" t="s">
        <v>138</v>
      </c>
      <c r="B62" s="18" t="e">
        <v>#N/A</v>
      </c>
      <c r="C62" s="29">
        <f>IF(E62&lt;&gt;"",SUBTOTAL(103,E$22:E62),"")</f>
        <v>0</v>
      </c>
      <c r="D62" s="30" t="s">
        <v>72</v>
      </c>
      <c r="E62" s="31" t="s">
        <v>139</v>
      </c>
      <c r="F62" s="32" t="s">
        <v>138</v>
      </c>
      <c r="G62" s="33" t="s">
        <v>46</v>
      </c>
      <c r="H62" s="33" t="s">
        <v>74</v>
      </c>
      <c r="I62" s="34" t="s">
        <v>75</v>
      </c>
      <c r="J62" s="35">
        <f>+IFERROR(VLOOKUP(E62,[1]Sheet1!C:H,6,0),"")</f>
        <v>44321</v>
      </c>
      <c r="K62" s="45"/>
    </row>
    <row r="63" spans="1:11" s="36" customFormat="1" ht="30.9" hidden="1" customHeight="1" x14ac:dyDescent="0.35">
      <c r="A63" s="18" t="e">
        <v>#N/A</v>
      </c>
      <c r="B63" s="18" t="s">
        <v>140</v>
      </c>
      <c r="C63" s="29">
        <f>IF(E63&lt;&gt;"",SUBTOTAL(103,E$22:E63),"")</f>
        <v>0</v>
      </c>
      <c r="D63" s="30" t="s">
        <v>72</v>
      </c>
      <c r="E63" s="31" t="s">
        <v>141</v>
      </c>
      <c r="F63" s="32" t="s">
        <v>140</v>
      </c>
      <c r="G63" s="33" t="s">
        <v>46</v>
      </c>
      <c r="H63" s="33" t="s">
        <v>74</v>
      </c>
      <c r="I63" s="34" t="s">
        <v>142</v>
      </c>
      <c r="J63" s="35">
        <f>+IFERROR(VLOOKUP(E63,[1]Sheet1!C:H,6,0),"")</f>
        <v>41246</v>
      </c>
      <c r="K63" s="45"/>
    </row>
    <row r="64" spans="1:11" s="36" customFormat="1" ht="30.9" hidden="1" customHeight="1" x14ac:dyDescent="0.35">
      <c r="A64" s="18" t="e">
        <v>#N/A</v>
      </c>
      <c r="B64" s="18" t="s">
        <v>143</v>
      </c>
      <c r="C64" s="29">
        <f>IF(E64&lt;&gt;"",SUBTOTAL(103,E$22:E64),"")</f>
        <v>0</v>
      </c>
      <c r="D64" s="30" t="s">
        <v>60</v>
      </c>
      <c r="E64" s="31" t="s">
        <v>144</v>
      </c>
      <c r="F64" s="32" t="s">
        <v>143</v>
      </c>
      <c r="G64" s="33" t="s">
        <v>46</v>
      </c>
      <c r="H64" s="33" t="s">
        <v>62</v>
      </c>
      <c r="I64" s="34" t="s">
        <v>53</v>
      </c>
      <c r="J64" s="35">
        <f>+IFERROR(VLOOKUP(E64,[1]Sheet1!C:H,6,0),"")</f>
        <v>44504</v>
      </c>
      <c r="K64" s="45"/>
    </row>
    <row r="65" spans="1:11" s="36" customFormat="1" ht="30.9" hidden="1" customHeight="1" x14ac:dyDescent="0.35">
      <c r="A65" s="18" t="s">
        <v>145</v>
      </c>
      <c r="B65" s="18" t="e">
        <v>#N/A</v>
      </c>
      <c r="C65" s="29">
        <f>IF(E65&lt;&gt;"",SUBTOTAL(103,E$22:E65),"")</f>
        <v>0</v>
      </c>
      <c r="D65" s="30" t="s">
        <v>44</v>
      </c>
      <c r="E65" s="31" t="s">
        <v>146</v>
      </c>
      <c r="F65" s="32" t="s">
        <v>145</v>
      </c>
      <c r="G65" s="33" t="s">
        <v>46</v>
      </c>
      <c r="H65" s="33" t="s">
        <v>47</v>
      </c>
      <c r="I65" s="34" t="s">
        <v>53</v>
      </c>
      <c r="J65" s="35">
        <f>+IFERROR(VLOOKUP(E65,[1]Sheet1!C:H,6,0),"")</f>
        <v>44511</v>
      </c>
      <c r="K65" s="45"/>
    </row>
    <row r="66" spans="1:11" s="36" customFormat="1" ht="30.9" hidden="1" customHeight="1" x14ac:dyDescent="0.35">
      <c r="A66" s="18" t="e">
        <v>#N/A</v>
      </c>
      <c r="B66" s="18" t="s">
        <v>48</v>
      </c>
      <c r="C66" s="29">
        <f>IF(E66&lt;&gt;"",SUBTOTAL(103,E$22:E66),"")</f>
        <v>0</v>
      </c>
      <c r="D66" s="30" t="s">
        <v>44</v>
      </c>
      <c r="E66" s="37" t="s">
        <v>49</v>
      </c>
      <c r="F66" s="32" t="s">
        <v>48</v>
      </c>
      <c r="G66" s="33" t="s">
        <v>46</v>
      </c>
      <c r="H66" s="33" t="s">
        <v>47</v>
      </c>
      <c r="I66" s="34" t="s">
        <v>58</v>
      </c>
      <c r="J66" s="35">
        <f>+IFERROR(VLOOKUP(E66,[1]Sheet1!C:H,6,0),"")</f>
        <v>43040</v>
      </c>
      <c r="K66" s="44"/>
    </row>
    <row r="67" spans="1:11" s="36" customFormat="1" ht="30.9" hidden="1" customHeight="1" x14ac:dyDescent="0.35">
      <c r="A67" s="18" t="e">
        <v>#N/A</v>
      </c>
      <c r="B67" s="18" t="s">
        <v>149</v>
      </c>
      <c r="C67" s="29">
        <f>IF(E67&lt;&gt;"",SUBTOTAL(103,E$22:E67),"")</f>
        <v>0</v>
      </c>
      <c r="D67" s="30" t="s">
        <v>44</v>
      </c>
      <c r="E67" s="31" t="s">
        <v>150</v>
      </c>
      <c r="F67" s="32" t="s">
        <v>149</v>
      </c>
      <c r="G67" s="33" t="s">
        <v>46</v>
      </c>
      <c r="H67" s="33" t="s">
        <v>47</v>
      </c>
      <c r="I67" s="34" t="s">
        <v>53</v>
      </c>
      <c r="J67" s="35">
        <f>+IFERROR(VLOOKUP(E67,[1]Sheet1!C:H,6,0),"")</f>
        <v>44516</v>
      </c>
      <c r="K67" s="45"/>
    </row>
    <row r="68" spans="1:11" s="36" customFormat="1" ht="30.9" hidden="1" customHeight="1" x14ac:dyDescent="0.35">
      <c r="A68" s="18" t="s">
        <v>151</v>
      </c>
      <c r="B68" s="18" t="e">
        <v>#N/A</v>
      </c>
      <c r="C68" s="29">
        <f>IF(E68&lt;&gt;"",SUBTOTAL(103,E$22:E68),"")</f>
        <v>0</v>
      </c>
      <c r="D68" s="30" t="s">
        <v>44</v>
      </c>
      <c r="E68" s="31" t="s">
        <v>152</v>
      </c>
      <c r="F68" s="32" t="s">
        <v>151</v>
      </c>
      <c r="G68" s="33" t="s">
        <v>46</v>
      </c>
      <c r="H68" s="33" t="s">
        <v>47</v>
      </c>
      <c r="I68" s="34" t="s">
        <v>53</v>
      </c>
      <c r="J68" s="35">
        <f>+IFERROR(VLOOKUP(E68,[1]Sheet1!C:H,6,0),"")</f>
        <v>44529</v>
      </c>
      <c r="K68" s="45"/>
    </row>
    <row r="69" spans="1:11" s="36" customFormat="1" ht="30.9" hidden="1" customHeight="1" x14ac:dyDescent="0.35">
      <c r="A69" s="18" t="e">
        <v>#N/A</v>
      </c>
      <c r="B69" s="18" t="s">
        <v>153</v>
      </c>
      <c r="C69" s="29">
        <f>IF(E69&lt;&gt;"",SUBTOTAL(103,E$22:E69),"")</f>
        <v>0</v>
      </c>
      <c r="D69" s="30" t="s">
        <v>44</v>
      </c>
      <c r="E69" s="31" t="s">
        <v>154</v>
      </c>
      <c r="F69" s="32" t="s">
        <v>153</v>
      </c>
      <c r="G69" s="33" t="s">
        <v>46</v>
      </c>
      <c r="H69" s="33" t="s">
        <v>47</v>
      </c>
      <c r="I69" s="34" t="s">
        <v>53</v>
      </c>
      <c r="J69" s="35">
        <f>+IFERROR(VLOOKUP(E69,[1]Sheet1!C:H,6,0),"")</f>
        <v>44529</v>
      </c>
      <c r="K69" s="45"/>
    </row>
    <row r="70" spans="1:11" s="36" customFormat="1" ht="30.9" hidden="1" customHeight="1" x14ac:dyDescent="0.35">
      <c r="A70" s="18" t="s">
        <v>56</v>
      </c>
      <c r="B70" s="18" t="e">
        <v>#N/A</v>
      </c>
      <c r="C70" s="29">
        <f>IF(E70&lt;&gt;"",SUBTOTAL(103,E$22:E70),"")</f>
        <v>0</v>
      </c>
      <c r="D70" s="30" t="s">
        <v>44</v>
      </c>
      <c r="E70" s="37" t="s">
        <v>57</v>
      </c>
      <c r="F70" s="32" t="s">
        <v>56</v>
      </c>
      <c r="G70" s="33" t="s">
        <v>46</v>
      </c>
      <c r="H70" s="33" t="s">
        <v>47</v>
      </c>
      <c r="I70" s="34" t="s">
        <v>58</v>
      </c>
      <c r="J70" s="35">
        <f>+IFERROR(VLOOKUP(E70,[1]Sheet1!C:H,6,0),"")</f>
        <v>43356</v>
      </c>
      <c r="K70" s="45"/>
    </row>
    <row r="71" spans="1:11" s="36" customFormat="1" ht="30.9" hidden="1" customHeight="1" x14ac:dyDescent="0.35">
      <c r="A71" s="18" t="s">
        <v>63</v>
      </c>
      <c r="B71" s="18" t="e">
        <v>#N/A</v>
      </c>
      <c r="C71" s="29">
        <f>IF(E71&lt;&gt;"",SUBTOTAL(103,E$22:E71),"")</f>
        <v>0</v>
      </c>
      <c r="D71" s="30" t="s">
        <v>44</v>
      </c>
      <c r="E71" s="31" t="s">
        <v>64</v>
      </c>
      <c r="F71" s="32" t="s">
        <v>63</v>
      </c>
      <c r="G71" s="33" t="s">
        <v>46</v>
      </c>
      <c r="H71" s="33" t="s">
        <v>47</v>
      </c>
      <c r="I71" s="34" t="s">
        <v>58</v>
      </c>
      <c r="J71" s="35">
        <f>+IFERROR(VLOOKUP(E71,[1]Sheet1!C:H,6,0),"")</f>
        <v>43808</v>
      </c>
      <c r="K71" s="45"/>
    </row>
    <row r="72" spans="1:11" s="36" customFormat="1" ht="30.9" hidden="1" customHeight="1" x14ac:dyDescent="0.35">
      <c r="A72" s="18" t="s">
        <v>65</v>
      </c>
      <c r="B72" s="18" t="e">
        <v>#N/A</v>
      </c>
      <c r="C72" s="29">
        <f>IF(E72&lt;&gt;"",SUBTOTAL(103,E$22:E72),"")</f>
        <v>0</v>
      </c>
      <c r="D72" s="30" t="s">
        <v>44</v>
      </c>
      <c r="E72" s="31" t="s">
        <v>66</v>
      </c>
      <c r="F72" s="32" t="s">
        <v>65</v>
      </c>
      <c r="G72" s="33" t="s">
        <v>46</v>
      </c>
      <c r="H72" s="33" t="s">
        <v>47</v>
      </c>
      <c r="I72" s="34" t="s">
        <v>58</v>
      </c>
      <c r="J72" s="35">
        <f>+IFERROR(VLOOKUP(E72,[1]Sheet1!C:H,6,0),"")</f>
        <v>43803</v>
      </c>
      <c r="K72" s="45"/>
    </row>
    <row r="73" spans="1:11" s="36" customFormat="1" ht="30.9" hidden="1" customHeight="1" x14ac:dyDescent="0.35">
      <c r="A73" s="18" t="e">
        <v>#N/A</v>
      </c>
      <c r="B73" s="18" t="s">
        <v>82</v>
      </c>
      <c r="C73" s="29">
        <f>IF(E73&lt;&gt;"",SUBTOTAL(103,E$22:E73),"")</f>
        <v>0</v>
      </c>
      <c r="D73" s="30" t="s">
        <v>44</v>
      </c>
      <c r="E73" s="38" t="s">
        <v>83</v>
      </c>
      <c r="F73" s="39" t="s">
        <v>82</v>
      </c>
      <c r="G73" s="33" t="s">
        <v>46</v>
      </c>
      <c r="H73" s="33" t="s">
        <v>47</v>
      </c>
      <c r="I73" s="34" t="s">
        <v>58</v>
      </c>
      <c r="J73" s="35">
        <f>+IFERROR(VLOOKUP(E73,[1]Sheet1!C:H,6,0),"")</f>
        <v>43875</v>
      </c>
      <c r="K73" s="45"/>
    </row>
    <row r="74" spans="1:11" s="36" customFormat="1" ht="30.9" hidden="1" customHeight="1" x14ac:dyDescent="0.35">
      <c r="A74" s="18" t="e">
        <v>#N/A</v>
      </c>
      <c r="B74" s="18" t="s">
        <v>95</v>
      </c>
      <c r="C74" s="29">
        <f>IF(E74&lt;&gt;"",SUBTOTAL(103,E$22:E74),"")</f>
        <v>0</v>
      </c>
      <c r="D74" s="30" t="s">
        <v>44</v>
      </c>
      <c r="E74" s="31" t="s">
        <v>96</v>
      </c>
      <c r="F74" s="32" t="s">
        <v>95</v>
      </c>
      <c r="G74" s="33" t="s">
        <v>46</v>
      </c>
      <c r="H74" s="33" t="s">
        <v>47</v>
      </c>
      <c r="I74" s="34" t="s">
        <v>58</v>
      </c>
      <c r="J74" s="35">
        <f>+IFERROR(VLOOKUP(E74,[1]Sheet1!C:H,6,0),"")</f>
        <v>43846</v>
      </c>
      <c r="K74" s="45"/>
    </row>
    <row r="75" spans="1:11" s="36" customFormat="1" ht="30.9" hidden="1" customHeight="1" x14ac:dyDescent="0.35">
      <c r="A75" s="18" t="e">
        <v>#N/A</v>
      </c>
      <c r="B75" s="18" t="s">
        <v>101</v>
      </c>
      <c r="C75" s="29">
        <f>IF(E75&lt;&gt;"",SUBTOTAL(103,E$22:E75),"")</f>
        <v>0</v>
      </c>
      <c r="D75" s="30" t="s">
        <v>44</v>
      </c>
      <c r="E75" s="31" t="s">
        <v>102</v>
      </c>
      <c r="F75" s="32" t="s">
        <v>101</v>
      </c>
      <c r="G75" s="33" t="s">
        <v>46</v>
      </c>
      <c r="H75" s="33" t="s">
        <v>47</v>
      </c>
      <c r="I75" s="34" t="s">
        <v>58</v>
      </c>
      <c r="J75" s="35">
        <f>+IFERROR(VLOOKUP(E75,[1]Sheet1!C:H,6,0),"")</f>
        <v>43867</v>
      </c>
      <c r="K75" s="45"/>
    </row>
    <row r="76" spans="1:11" s="36" customFormat="1" ht="30.9" hidden="1" customHeight="1" x14ac:dyDescent="0.35">
      <c r="A76" s="18" t="s">
        <v>167</v>
      </c>
      <c r="B76" s="18" t="e">
        <v>#N/A</v>
      </c>
      <c r="C76" s="29">
        <f>IF(E76&lt;&gt;"",SUBTOTAL(103,E$22:E76),"")</f>
        <v>0</v>
      </c>
      <c r="D76" s="30" t="s">
        <v>44</v>
      </c>
      <c r="E76" s="31" t="s">
        <v>168</v>
      </c>
      <c r="F76" s="32" t="s">
        <v>167</v>
      </c>
      <c r="G76" s="33" t="s">
        <v>46</v>
      </c>
      <c r="H76" s="33" t="s">
        <v>47</v>
      </c>
      <c r="I76" s="34" t="s">
        <v>53</v>
      </c>
      <c r="J76" s="35">
        <f>+IFERROR(VLOOKUP(E76,[1]Sheet1!C:H,6,0),"")</f>
        <v>44704</v>
      </c>
      <c r="K76" s="45"/>
    </row>
    <row r="77" spans="1:11" s="36" customFormat="1" ht="30.9" hidden="1" customHeight="1" x14ac:dyDescent="0.35">
      <c r="A77" s="18" t="e">
        <v>#N/A</v>
      </c>
      <c r="B77" s="18" t="s">
        <v>169</v>
      </c>
      <c r="C77" s="29">
        <f>IF(E77&lt;&gt;"",SUBTOTAL(103,E$22:E77),"")</f>
        <v>0</v>
      </c>
      <c r="D77" s="30" t="s">
        <v>44</v>
      </c>
      <c r="E77" s="31" t="s">
        <v>170</v>
      </c>
      <c r="F77" s="32" t="s">
        <v>169</v>
      </c>
      <c r="G77" s="33" t="s">
        <v>46</v>
      </c>
      <c r="H77" s="33" t="s">
        <v>47</v>
      </c>
      <c r="I77" s="34" t="s">
        <v>53</v>
      </c>
      <c r="J77" s="35">
        <f>+IFERROR(VLOOKUP(E77,[1]Sheet1!C:H,6,0),"")</f>
        <v>44704</v>
      </c>
      <c r="K77" s="45"/>
    </row>
    <row r="78" spans="1:11" s="36" customFormat="1" ht="30.9" hidden="1" customHeight="1" x14ac:dyDescent="0.35">
      <c r="A78" s="18" t="s">
        <v>105</v>
      </c>
      <c r="B78" s="18" t="e">
        <v>#N/A</v>
      </c>
      <c r="C78" s="29">
        <f>IF(E78&lt;&gt;"",SUBTOTAL(103,E$22:E78),"")</f>
        <v>0</v>
      </c>
      <c r="D78" s="30" t="s">
        <v>44</v>
      </c>
      <c r="E78" s="38" t="s">
        <v>106</v>
      </c>
      <c r="F78" s="39" t="s">
        <v>105</v>
      </c>
      <c r="G78" s="33" t="s">
        <v>46</v>
      </c>
      <c r="H78" s="33" t="s">
        <v>47</v>
      </c>
      <c r="I78" s="34" t="s">
        <v>58</v>
      </c>
      <c r="J78" s="35">
        <f>+IFERROR(VLOOKUP(E78,[1]Sheet1!C:H,6,0),"")</f>
        <v>43875</v>
      </c>
      <c r="K78" s="45"/>
    </row>
    <row r="79" spans="1:11" s="36" customFormat="1" ht="30.9" hidden="1" customHeight="1" x14ac:dyDescent="0.35">
      <c r="A79" s="18" t="s">
        <v>173</v>
      </c>
      <c r="B79" s="18" t="e">
        <v>#N/A</v>
      </c>
      <c r="C79" s="29">
        <f>IF(E79&lt;&gt;"",SUBTOTAL(103,E$22:E79),"")</f>
        <v>0</v>
      </c>
      <c r="D79" s="30" t="s">
        <v>60</v>
      </c>
      <c r="E79" s="31" t="s">
        <v>174</v>
      </c>
      <c r="F79" s="34" t="s">
        <v>173</v>
      </c>
      <c r="G79" s="33" t="s">
        <v>46</v>
      </c>
      <c r="H79" s="33" t="s">
        <v>62</v>
      </c>
      <c r="I79" s="34" t="s">
        <v>53</v>
      </c>
      <c r="J79" s="35">
        <f>+IFERROR(VLOOKUP(E79,[1]Sheet1!C:H,6,0),"")</f>
        <v>44719</v>
      </c>
      <c r="K79" s="45"/>
    </row>
    <row r="80" spans="1:11" s="36" customFormat="1" ht="30.75" hidden="1" customHeight="1" x14ac:dyDescent="0.35">
      <c r="A80" s="18" t="e">
        <v>#N/A</v>
      </c>
      <c r="B80" s="18" t="s">
        <v>175</v>
      </c>
      <c r="C80" s="29">
        <f>IF(E80&lt;&gt;"",SUBTOTAL(103,E$22:E80),"")</f>
        <v>0</v>
      </c>
      <c r="D80" s="30" t="s">
        <v>44</v>
      </c>
      <c r="E80" s="31" t="s">
        <v>176</v>
      </c>
      <c r="F80" s="34" t="s">
        <v>175</v>
      </c>
      <c r="G80" s="33" t="s">
        <v>46</v>
      </c>
      <c r="H80" s="33" t="s">
        <v>47</v>
      </c>
      <c r="I80" s="34" t="s">
        <v>53</v>
      </c>
      <c r="J80" s="35">
        <f>+IFERROR(VLOOKUP(E80,[1]Sheet1!C:H,6,0),"")</f>
        <v>44728</v>
      </c>
      <c r="K80" s="45"/>
    </row>
    <row r="81" spans="1:11" s="36" customFormat="1" ht="30.75" hidden="1" customHeight="1" x14ac:dyDescent="0.35">
      <c r="A81" s="18" t="e">
        <v>#N/A</v>
      </c>
      <c r="B81" s="18" t="s">
        <v>177</v>
      </c>
      <c r="C81" s="29">
        <f>IF(E81&lt;&gt;"",SUBTOTAL(103,E$22:E81),"")</f>
        <v>0</v>
      </c>
      <c r="D81" s="30" t="s">
        <v>72</v>
      </c>
      <c r="E81" s="31" t="s">
        <v>178</v>
      </c>
      <c r="F81" s="34" t="s">
        <v>177</v>
      </c>
      <c r="G81" s="33" t="s">
        <v>46</v>
      </c>
      <c r="H81" s="33" t="s">
        <v>74</v>
      </c>
      <c r="I81" s="34" t="s">
        <v>179</v>
      </c>
      <c r="J81" s="35">
        <f>+IFERROR(VLOOKUP(E81,[1]Sheet1!C:H,6,0),"")</f>
        <v>44809</v>
      </c>
      <c r="K81" s="45"/>
    </row>
    <row r="82" spans="1:11" s="36" customFormat="1" ht="30.75" hidden="1" customHeight="1" x14ac:dyDescent="0.35">
      <c r="A82" s="18" t="e">
        <v>#N/A</v>
      </c>
      <c r="B82" s="18" t="s">
        <v>180</v>
      </c>
      <c r="C82" s="29">
        <f>IF(E82&lt;&gt;"",SUBTOTAL(103,E$22:E82),"")</f>
        <v>0</v>
      </c>
      <c r="D82" s="30" t="s">
        <v>44</v>
      </c>
      <c r="E82" s="31" t="s">
        <v>181</v>
      </c>
      <c r="F82" s="34" t="s">
        <v>180</v>
      </c>
      <c r="G82" s="33" t="s">
        <v>46</v>
      </c>
      <c r="H82" s="33" t="s">
        <v>47</v>
      </c>
      <c r="I82" s="34" t="s">
        <v>53</v>
      </c>
      <c r="J82" s="35">
        <f>+IFERROR(VLOOKUP(E82,[1]Sheet1!C:H,6,0),"")</f>
        <v>44090</v>
      </c>
      <c r="K82" s="45"/>
    </row>
    <row r="83" spans="1:11" s="36" customFormat="1" ht="30.75" hidden="1" customHeight="1" x14ac:dyDescent="0.35">
      <c r="A83" s="18" t="e">
        <v>#N/A</v>
      </c>
      <c r="B83" s="18" t="s">
        <v>109</v>
      </c>
      <c r="C83" s="29">
        <f>IF(E83&lt;&gt;"",SUBTOTAL(103,E$22:E83),"")</f>
        <v>0</v>
      </c>
      <c r="D83" s="30" t="s">
        <v>44</v>
      </c>
      <c r="E83" s="37" t="s">
        <v>110</v>
      </c>
      <c r="F83" s="32" t="s">
        <v>109</v>
      </c>
      <c r="G83" s="33" t="s">
        <v>46</v>
      </c>
      <c r="H83" s="33" t="s">
        <v>47</v>
      </c>
      <c r="I83" s="34" t="s">
        <v>58</v>
      </c>
      <c r="J83" s="35">
        <f>+IFERROR(VLOOKUP(E83,[1]Sheet1!C:H,6,0),"")</f>
        <v>43844</v>
      </c>
      <c r="K83" s="45"/>
    </row>
    <row r="84" spans="1:11" s="36" customFormat="1" ht="30.75" hidden="1" customHeight="1" x14ac:dyDescent="0.35">
      <c r="A84" s="18" t="e">
        <v>#N/A</v>
      </c>
      <c r="B84" s="18" t="s">
        <v>184</v>
      </c>
      <c r="C84" s="29">
        <f>IF(E84&lt;&gt;"",SUBTOTAL(103,E$22:E84),"")</f>
        <v>0</v>
      </c>
      <c r="D84" s="30" t="s">
        <v>72</v>
      </c>
      <c r="E84" s="31" t="s">
        <v>185</v>
      </c>
      <c r="F84" s="32" t="s">
        <v>184</v>
      </c>
      <c r="G84" s="33" t="s">
        <v>46</v>
      </c>
      <c r="H84" s="33" t="s">
        <v>74</v>
      </c>
      <c r="I84" s="34" t="s">
        <v>179</v>
      </c>
      <c r="J84" s="35">
        <f>+IFERROR(VLOOKUP(E84,[1]Sheet1!C:H,6,0),"")</f>
        <v>44993</v>
      </c>
      <c r="K84" s="45"/>
    </row>
    <row r="85" spans="1:11" s="36" customFormat="1" ht="30.75" hidden="1" customHeight="1" x14ac:dyDescent="0.35">
      <c r="A85" s="18" t="e">
        <v>#N/A</v>
      </c>
      <c r="B85" s="18" t="s">
        <v>186</v>
      </c>
      <c r="C85" s="29">
        <f>IF(E85&lt;&gt;"",SUBTOTAL(103,E$22:E85),"")</f>
        <v>0</v>
      </c>
      <c r="D85" s="30" t="s">
        <v>72</v>
      </c>
      <c r="E85" s="31" t="s">
        <v>187</v>
      </c>
      <c r="F85" s="32" t="s">
        <v>186</v>
      </c>
      <c r="G85" s="33" t="s">
        <v>46</v>
      </c>
      <c r="H85" s="33" t="s">
        <v>74</v>
      </c>
      <c r="I85" s="34" t="s">
        <v>188</v>
      </c>
      <c r="J85" s="35">
        <f>+IFERROR(VLOOKUP(E85,[1]Sheet1!C:H,6,0),"")</f>
        <v>45138</v>
      </c>
      <c r="K85" s="45"/>
    </row>
    <row r="86" spans="1:11" s="36" customFormat="1" ht="30.9" hidden="1" customHeight="1" x14ac:dyDescent="0.35">
      <c r="A86" s="18" t="e">
        <v>#N/A</v>
      </c>
      <c r="B86" s="18" t="s">
        <v>189</v>
      </c>
      <c r="C86" s="29">
        <f>IF(E86&lt;&gt;"",SUBTOTAL(103,E$22:E86),"")</f>
        <v>0</v>
      </c>
      <c r="D86" s="30" t="s">
        <v>60</v>
      </c>
      <c r="E86" s="40" t="s">
        <v>190</v>
      </c>
      <c r="F86" s="39" t="s">
        <v>189</v>
      </c>
      <c r="G86" s="33" t="s">
        <v>46</v>
      </c>
      <c r="H86" s="33" t="s">
        <v>62</v>
      </c>
      <c r="I86" s="34" t="s">
        <v>53</v>
      </c>
      <c r="J86" s="35">
        <f>+IFERROR(VLOOKUP(E86,[1]Sheet1!C:H,6,0),"")</f>
        <v>45225</v>
      </c>
      <c r="K86" s="45"/>
    </row>
    <row r="87" spans="1:11" s="36" customFormat="1" ht="30.9" hidden="1" customHeight="1" x14ac:dyDescent="0.35">
      <c r="A87" s="18" t="e">
        <v>#N/A</v>
      </c>
      <c r="B87" s="18" t="s">
        <v>191</v>
      </c>
      <c r="C87" s="29">
        <f>IF(E87&lt;&gt;"",SUBTOTAL(103,E$22:E87),"")</f>
        <v>0</v>
      </c>
      <c r="D87" s="30" t="s">
        <v>72</v>
      </c>
      <c r="E87" s="31" t="s">
        <v>192</v>
      </c>
      <c r="F87" s="32" t="s">
        <v>191</v>
      </c>
      <c r="G87" s="33" t="s">
        <v>46</v>
      </c>
      <c r="H87" s="33" t="s">
        <v>74</v>
      </c>
      <c r="I87" s="34" t="s">
        <v>193</v>
      </c>
      <c r="J87" s="35">
        <f>+IFERROR(VLOOKUP(E87,[1]Sheet1!C:H,6,0),"")</f>
        <v>45355</v>
      </c>
      <c r="K87" s="45"/>
    </row>
    <row r="88" spans="1:11" ht="30.75" hidden="1" customHeight="1" x14ac:dyDescent="0.35">
      <c r="A88" s="18" t="s">
        <v>194</v>
      </c>
      <c r="B88" s="18" t="e">
        <v>#N/A</v>
      </c>
      <c r="C88" s="29">
        <f>IF(E88&lt;&gt;"",SUBTOTAL(103,E$22:E88),"")</f>
        <v>0</v>
      </c>
      <c r="D88" s="30" t="s">
        <v>44</v>
      </c>
      <c r="E88" s="31" t="s">
        <v>195</v>
      </c>
      <c r="F88" s="32" t="s">
        <v>194</v>
      </c>
      <c r="G88" s="33" t="s">
        <v>46</v>
      </c>
      <c r="H88" s="33" t="s">
        <v>47</v>
      </c>
      <c r="I88" s="34" t="s">
        <v>53</v>
      </c>
      <c r="J88" s="35">
        <f>+IFERROR(VLOOKUP(E88,[1]Sheet1!C:H,6,0),"")</f>
        <v>45358</v>
      </c>
      <c r="K88" s="46"/>
    </row>
    <row r="89" spans="1:11" ht="27.75" hidden="1" customHeight="1" x14ac:dyDescent="0.35">
      <c r="A89" s="18" t="e">
        <v>#N/A</v>
      </c>
      <c r="B89" s="18" t="s">
        <v>196</v>
      </c>
      <c r="C89" s="29">
        <f>IF(E89&lt;&gt;"",SUBTOTAL(103,E$22:E89),"")</f>
        <v>0</v>
      </c>
      <c r="D89" s="30" t="s">
        <v>44</v>
      </c>
      <c r="E89" s="31" t="s">
        <v>197</v>
      </c>
      <c r="F89" s="32" t="s">
        <v>196</v>
      </c>
      <c r="G89" s="33" t="s">
        <v>46</v>
      </c>
      <c r="H89" s="33" t="s">
        <v>47</v>
      </c>
      <c r="I89" s="34" t="s">
        <v>58</v>
      </c>
      <c r="J89" s="35">
        <f>+IFERROR(VLOOKUP(E89,[1]Sheet1!C:H,6,0),"")</f>
        <v>45358</v>
      </c>
      <c r="K89" s="46"/>
    </row>
    <row r="90" spans="1:11" ht="27.75" hidden="1" customHeight="1" x14ac:dyDescent="0.35">
      <c r="A90" s="18" t="e">
        <v>#N/A</v>
      </c>
      <c r="B90" s="18" t="s">
        <v>198</v>
      </c>
      <c r="C90" s="29">
        <f>IF(E90&lt;&gt;"",SUBTOTAL(103,E$22:E90),"")</f>
        <v>0</v>
      </c>
      <c r="D90" s="30" t="s">
        <v>44</v>
      </c>
      <c r="E90" s="31" t="s">
        <v>199</v>
      </c>
      <c r="F90" s="32" t="s">
        <v>198</v>
      </c>
      <c r="G90" s="33" t="s">
        <v>46</v>
      </c>
      <c r="H90" s="33" t="s">
        <v>47</v>
      </c>
      <c r="I90" s="34" t="s">
        <v>58</v>
      </c>
      <c r="J90" s="35">
        <f>+IFERROR(VLOOKUP(E90,[1]Sheet1!C:H,6,0),"")</f>
        <v>45358</v>
      </c>
      <c r="K90" s="46"/>
    </row>
    <row r="91" spans="1:11" ht="27.75" hidden="1" customHeight="1" x14ac:dyDescent="0.35">
      <c r="A91" s="18" t="e">
        <v>#N/A</v>
      </c>
      <c r="B91" s="18" t="s">
        <v>128</v>
      </c>
      <c r="C91" s="29">
        <f>IF(E91&lt;&gt;"",SUBTOTAL(103,E$22:E91),"")</f>
        <v>0</v>
      </c>
      <c r="D91" s="30" t="s">
        <v>44</v>
      </c>
      <c r="E91" s="31" t="s">
        <v>129</v>
      </c>
      <c r="F91" s="32" t="s">
        <v>128</v>
      </c>
      <c r="G91" s="33" t="s">
        <v>46</v>
      </c>
      <c r="H91" s="33" t="s">
        <v>47</v>
      </c>
      <c r="I91" s="34" t="s">
        <v>58</v>
      </c>
      <c r="J91" s="35">
        <f>+IFERROR(VLOOKUP(E91,[1]Sheet1!C:H,6,0),"")</f>
        <v>44118</v>
      </c>
      <c r="K91" s="45"/>
    </row>
    <row r="92" spans="1:11" ht="27" hidden="1" customHeight="1" x14ac:dyDescent="0.35">
      <c r="A92" s="18" t="e">
        <v>#N/A</v>
      </c>
      <c r="B92" s="18" t="s">
        <v>202</v>
      </c>
      <c r="C92" s="29">
        <f>IF(E92&lt;&gt;"",SUBTOTAL(103,E$22:E92),"")</f>
        <v>0</v>
      </c>
      <c r="D92" s="30" t="s">
        <v>60</v>
      </c>
      <c r="E92" s="31" t="s">
        <v>203</v>
      </c>
      <c r="F92" s="32" t="s">
        <v>202</v>
      </c>
      <c r="G92" s="33" t="s">
        <v>46</v>
      </c>
      <c r="H92" s="33" t="s">
        <v>62</v>
      </c>
      <c r="I92" s="34" t="s">
        <v>53</v>
      </c>
      <c r="J92" s="35">
        <f>+IFERROR(VLOOKUP(E92,[1]Sheet1!C:H,6,0),"")</f>
        <v>45372</v>
      </c>
      <c r="K92" s="46"/>
    </row>
    <row r="93" spans="1:11" ht="27" hidden="1" customHeight="1" x14ac:dyDescent="0.35">
      <c r="A93" s="18" t="s">
        <v>204</v>
      </c>
      <c r="B93" s="18" t="e">
        <v>#N/A</v>
      </c>
      <c r="C93" s="29">
        <f>IF(E93&lt;&gt;"",SUBTOTAL(103,E$22:E93),"")</f>
        <v>0</v>
      </c>
      <c r="D93" s="30" t="s">
        <v>60</v>
      </c>
      <c r="E93" s="31" t="s">
        <v>205</v>
      </c>
      <c r="F93" s="32" t="s">
        <v>204</v>
      </c>
      <c r="G93" s="33" t="s">
        <v>46</v>
      </c>
      <c r="H93" s="33" t="s">
        <v>62</v>
      </c>
      <c r="I93" s="34" t="s">
        <v>53</v>
      </c>
      <c r="J93" s="35">
        <f>+IFERROR(VLOOKUP(E93,[1]Sheet1!C:H,6,0),"")</f>
        <v>45372</v>
      </c>
      <c r="K93" s="46"/>
    </row>
    <row r="94" spans="1:11" ht="26.4" hidden="1" customHeight="1" x14ac:dyDescent="0.35">
      <c r="A94" s="18" t="e">
        <v>#N/A</v>
      </c>
      <c r="B94" s="18" t="s">
        <v>206</v>
      </c>
      <c r="C94" s="29">
        <f>IF(E94&lt;&gt;"",SUBTOTAL(103,E$22:E94),"")</f>
        <v>0</v>
      </c>
      <c r="D94" s="30" t="s">
        <v>44</v>
      </c>
      <c r="E94" s="31" t="s">
        <v>207</v>
      </c>
      <c r="F94" s="32" t="s">
        <v>206</v>
      </c>
      <c r="G94" s="33" t="s">
        <v>46</v>
      </c>
      <c r="H94" s="33" t="s">
        <v>47</v>
      </c>
      <c r="I94" s="34" t="s">
        <v>53</v>
      </c>
      <c r="J94" s="35">
        <f>+IFERROR(VLOOKUP(E94,[1]Sheet1!C:H,6,0),"")</f>
        <v>45377</v>
      </c>
      <c r="K94" s="46"/>
    </row>
    <row r="95" spans="1:11" ht="26.4" hidden="1" customHeight="1" x14ac:dyDescent="0.35">
      <c r="A95" s="18" t="e">
        <v>#N/A</v>
      </c>
      <c r="B95" s="18" t="s">
        <v>208</v>
      </c>
      <c r="C95" s="29">
        <f>IF(E95&lt;&gt;"",SUBTOTAL(103,E$22:E95),"")</f>
        <v>0</v>
      </c>
      <c r="D95" s="30" t="s">
        <v>44</v>
      </c>
      <c r="E95" s="31" t="s">
        <v>209</v>
      </c>
      <c r="F95" s="32" t="s">
        <v>208</v>
      </c>
      <c r="G95" s="33" t="s">
        <v>46</v>
      </c>
      <c r="H95" s="33" t="s">
        <v>47</v>
      </c>
      <c r="I95" s="34" t="s">
        <v>58</v>
      </c>
      <c r="J95" s="35">
        <f>+IFERROR(VLOOKUP(E95,[1]Sheet1!C:H,6,0),"")</f>
        <v>45377</v>
      </c>
      <c r="K95" s="46"/>
    </row>
    <row r="96" spans="1:11" ht="28.5" hidden="1" customHeight="1" x14ac:dyDescent="0.35">
      <c r="C96" s="29">
        <f>IF(E96&lt;&gt;"",SUBTOTAL(103,E$22:E96),"")</f>
        <v>0</v>
      </c>
      <c r="D96" s="30" t="s">
        <v>44</v>
      </c>
      <c r="E96" s="31" t="s">
        <v>210</v>
      </c>
      <c r="F96" s="32" t="s">
        <v>211</v>
      </c>
      <c r="G96" s="33" t="s">
        <v>46</v>
      </c>
      <c r="H96" s="33" t="s">
        <v>47</v>
      </c>
      <c r="I96" s="34" t="s">
        <v>58</v>
      </c>
      <c r="J96" s="35">
        <f>+IFERROR(VLOOKUP(E96,[1]Sheet1!C:H,6,0),"")</f>
        <v>45453</v>
      </c>
      <c r="K96" s="46"/>
    </row>
    <row r="97" spans="1:11" ht="28.5" hidden="1" customHeight="1" x14ac:dyDescent="0.35">
      <c r="C97" s="29">
        <f>IF(E97&lt;&gt;"",SUBTOTAL(103,E$22:E97),"")</f>
        <v>0</v>
      </c>
      <c r="D97" s="30" t="s">
        <v>44</v>
      </c>
      <c r="E97" s="31" t="s">
        <v>212</v>
      </c>
      <c r="F97" s="32" t="s">
        <v>213</v>
      </c>
      <c r="G97" s="33" t="s">
        <v>46</v>
      </c>
      <c r="H97" s="33" t="s">
        <v>47</v>
      </c>
      <c r="I97" s="34" t="s">
        <v>53</v>
      </c>
      <c r="J97" s="35" t="str">
        <f>+IFERROR(VLOOKUP(E97,[1]Sheet1!C:H,6,0),"")</f>
        <v>15/08/2024</v>
      </c>
      <c r="K97" s="46"/>
    </row>
    <row r="98" spans="1:11" ht="28.5" hidden="1" customHeight="1" x14ac:dyDescent="0.35">
      <c r="C98" s="29">
        <f>IF(E98&lt;&gt;"",SUBTOTAL(103,E$22:E98),"")</f>
        <v>0</v>
      </c>
      <c r="D98" s="30" t="s">
        <v>44</v>
      </c>
      <c r="E98" s="31" t="s">
        <v>214</v>
      </c>
      <c r="F98" s="32" t="s">
        <v>215</v>
      </c>
      <c r="G98" s="33" t="s">
        <v>46</v>
      </c>
      <c r="H98" s="33" t="s">
        <v>47</v>
      </c>
      <c r="I98" s="34" t="s">
        <v>58</v>
      </c>
      <c r="J98" s="35" t="str">
        <f>+IFERROR(VLOOKUP(E98,[1]Sheet1!C:H,6,0),"")</f>
        <v>15/08/2024</v>
      </c>
      <c r="K98" s="46"/>
    </row>
    <row r="99" spans="1:11" ht="28.5" hidden="1" customHeight="1" x14ac:dyDescent="0.35">
      <c r="C99" s="29">
        <f>IF(E99&lt;&gt;"",SUBTOTAL(103,E$22:E99),"")</f>
        <v>0</v>
      </c>
      <c r="D99" s="30" t="s">
        <v>60</v>
      </c>
      <c r="E99" s="31" t="s">
        <v>216</v>
      </c>
      <c r="F99" s="32" t="s">
        <v>217</v>
      </c>
      <c r="G99" s="33" t="s">
        <v>46</v>
      </c>
      <c r="H99" s="33" t="s">
        <v>62</v>
      </c>
      <c r="I99" s="34" t="s">
        <v>53</v>
      </c>
      <c r="J99" s="35" t="str">
        <f>+IFERROR(VLOOKUP(E99,[1]Sheet1!C:H,6,0),"")</f>
        <v>19/09/2024</v>
      </c>
      <c r="K99" s="46"/>
    </row>
    <row r="100" spans="1:11" ht="28.5" hidden="1" customHeight="1" x14ac:dyDescent="0.35">
      <c r="C100" s="29">
        <f>IF(E100&lt;&gt;"",SUBTOTAL(103,E$22:E100),"")</f>
        <v>0</v>
      </c>
      <c r="D100" s="30" t="s">
        <v>60</v>
      </c>
      <c r="E100" s="31" t="s">
        <v>218</v>
      </c>
      <c r="F100" s="32" t="s">
        <v>219</v>
      </c>
      <c r="G100" s="33" t="s">
        <v>46</v>
      </c>
      <c r="H100" s="33" t="s">
        <v>62</v>
      </c>
      <c r="I100" s="34" t="s">
        <v>53</v>
      </c>
      <c r="J100" s="35" t="str">
        <f>+IFERROR(VLOOKUP(E100,[1]Sheet1!C:H,6,0),"")</f>
        <v>19/09/2024</v>
      </c>
      <c r="K100" s="47" t="s">
        <v>315</v>
      </c>
    </row>
    <row r="101" spans="1:11" ht="28.5" hidden="1" customHeight="1" x14ac:dyDescent="0.35">
      <c r="C101" s="29">
        <f>IF(E101&lt;&gt;"",SUBTOTAL(103,E$22:E101),"")</f>
        <v>0</v>
      </c>
      <c r="D101" s="30" t="s">
        <v>72</v>
      </c>
      <c r="E101" s="31" t="s">
        <v>220</v>
      </c>
      <c r="F101" s="32" t="s">
        <v>221</v>
      </c>
      <c r="G101" s="33" t="s">
        <v>46</v>
      </c>
      <c r="H101" s="33" t="s">
        <v>74</v>
      </c>
      <c r="I101" s="34" t="s">
        <v>188</v>
      </c>
      <c r="J101" s="35" t="str">
        <f>+IFERROR(VLOOKUP(E101,[1]Sheet1!C:H,6,0),"")</f>
        <v>26/09/2024</v>
      </c>
      <c r="K101" s="47"/>
    </row>
    <row r="102" spans="1:11" ht="28.5" hidden="1" customHeight="1" x14ac:dyDescent="0.35">
      <c r="A102" s="18" t="e">
        <v>#N/A</v>
      </c>
      <c r="B102" s="18" t="s">
        <v>159</v>
      </c>
      <c r="C102" s="29">
        <f>IF(E102&lt;&gt;"",SUBTOTAL(103,E$22:E102),"")</f>
        <v>0</v>
      </c>
      <c r="D102" s="30" t="s">
        <v>44</v>
      </c>
      <c r="E102" s="31" t="s">
        <v>160</v>
      </c>
      <c r="F102" s="32" t="s">
        <v>159</v>
      </c>
      <c r="G102" s="33" t="s">
        <v>46</v>
      </c>
      <c r="H102" s="33" t="s">
        <v>47</v>
      </c>
      <c r="I102" s="34" t="s">
        <v>58</v>
      </c>
      <c r="J102" s="35">
        <f>+IFERROR(VLOOKUP(E102,[1]Sheet1!C:H,6,0),"")</f>
        <v>44630</v>
      </c>
      <c r="K102" s="45"/>
    </row>
    <row r="103" spans="1:11" ht="28.5" hidden="1" customHeight="1" x14ac:dyDescent="0.35">
      <c r="C103" s="29">
        <f>IF(E103&lt;&gt;"",SUBTOTAL(103,E$22:E103),"")</f>
        <v>0</v>
      </c>
      <c r="D103" s="30" t="s">
        <v>44</v>
      </c>
      <c r="E103" s="31" t="s">
        <v>225</v>
      </c>
      <c r="F103" s="32" t="s">
        <v>226</v>
      </c>
      <c r="G103" s="33" t="s">
        <v>46</v>
      </c>
      <c r="H103" s="33" t="s">
        <v>47</v>
      </c>
      <c r="I103" s="34" t="s">
        <v>58</v>
      </c>
      <c r="J103" s="35" t="str">
        <f>+IFERROR(VLOOKUP(E103,[1]Sheet1!C:H,6,0),"")</f>
        <v>15/10/2024</v>
      </c>
      <c r="K103" s="47"/>
    </row>
    <row r="104" spans="1:11" ht="28.5" hidden="1" customHeight="1" x14ac:dyDescent="0.35">
      <c r="C104" s="29">
        <f>IF(E104&lt;&gt;"",SUBTOTAL(103,E$22:E104),"")</f>
        <v>0</v>
      </c>
      <c r="D104" s="30" t="s">
        <v>60</v>
      </c>
      <c r="E104" s="31" t="s">
        <v>227</v>
      </c>
      <c r="F104" s="32" t="s">
        <v>228</v>
      </c>
      <c r="G104" s="33" t="s">
        <v>46</v>
      </c>
      <c r="H104" s="33" t="s">
        <v>62</v>
      </c>
      <c r="I104" s="34" t="s">
        <v>53</v>
      </c>
      <c r="J104" s="35" t="str">
        <f>+IFERROR(VLOOKUP(E104,[1]Sheet1!C:H,6,0),"")</f>
        <v>21/10/2024</v>
      </c>
      <c r="K104" s="47"/>
    </row>
    <row r="105" spans="1:11" ht="32.25" hidden="1" customHeight="1" x14ac:dyDescent="0.35">
      <c r="C105" s="29">
        <f>IF(E105&lt;&gt;"",SUBTOTAL(103,E$22:E105),"")</f>
        <v>0</v>
      </c>
      <c r="D105" s="30" t="s">
        <v>60</v>
      </c>
      <c r="E105" s="31" t="s">
        <v>229</v>
      </c>
      <c r="F105" s="32" t="s">
        <v>230</v>
      </c>
      <c r="G105" s="33" t="s">
        <v>46</v>
      </c>
      <c r="H105" s="33" t="s">
        <v>62</v>
      </c>
      <c r="I105" s="34" t="s">
        <v>53</v>
      </c>
      <c r="J105" s="35" t="str">
        <f>+IFERROR(VLOOKUP(E105,[1]Sheet1!C:H,6,0),"")</f>
        <v>21/10/2024</v>
      </c>
      <c r="K105" s="47"/>
    </row>
    <row r="106" spans="1:11" ht="28.5" hidden="1" customHeight="1" x14ac:dyDescent="0.35">
      <c r="C106" s="29">
        <f>IF(E106&lt;&gt;"",SUBTOTAL(103,E$22:E106),"")</f>
        <v>0</v>
      </c>
      <c r="D106" s="30" t="s">
        <v>44</v>
      </c>
      <c r="E106" s="31" t="s">
        <v>231</v>
      </c>
      <c r="F106" s="32" t="s">
        <v>232</v>
      </c>
      <c r="G106" s="33" t="s">
        <v>46</v>
      </c>
      <c r="H106" s="33" t="s">
        <v>47</v>
      </c>
      <c r="I106" s="34" t="s">
        <v>58</v>
      </c>
      <c r="J106" s="35" t="str">
        <f>+IFERROR(VLOOKUP(E106,[1]Sheet1!C:H,6,0),"")</f>
        <v>02/01/2025</v>
      </c>
      <c r="K106" s="47"/>
    </row>
    <row r="107" spans="1:11" ht="28.5" hidden="1" customHeight="1" x14ac:dyDescent="0.35">
      <c r="C107" s="29">
        <f>IF(E107&lt;&gt;"",SUBTOTAL(103,E$22:E107),"")</f>
        <v>0</v>
      </c>
      <c r="D107" s="30" t="s">
        <v>44</v>
      </c>
      <c r="E107" s="31" t="s">
        <v>233</v>
      </c>
      <c r="F107" s="32" t="s">
        <v>234</v>
      </c>
      <c r="G107" s="33" t="s">
        <v>46</v>
      </c>
      <c r="H107" s="33" t="s">
        <v>47</v>
      </c>
      <c r="I107" s="34" t="s">
        <v>53</v>
      </c>
      <c r="J107" s="35" t="str">
        <f>+IFERROR(VLOOKUP(E107,[1]Sheet1!C:H,6,0),"")</f>
        <v>02/01/2025</v>
      </c>
      <c r="K107" s="47"/>
    </row>
    <row r="108" spans="1:11" ht="28.5" hidden="1" customHeight="1" x14ac:dyDescent="0.35">
      <c r="C108" s="29">
        <f>IF(E108&lt;&gt;"",SUBTOTAL(103,E$22:E108),"")</f>
        <v>0</v>
      </c>
      <c r="D108" s="30" t="s">
        <v>44</v>
      </c>
      <c r="E108" s="31" t="s">
        <v>235</v>
      </c>
      <c r="F108" s="32" t="s">
        <v>236</v>
      </c>
      <c r="G108" s="33" t="s">
        <v>46</v>
      </c>
      <c r="H108" s="33" t="s">
        <v>47</v>
      </c>
      <c r="I108" s="34" t="s">
        <v>53</v>
      </c>
      <c r="J108" s="35" t="str">
        <f>+IFERROR(VLOOKUP(E108,[1]Sheet1!C:H,6,0),"")</f>
        <v>17/02/2025</v>
      </c>
      <c r="K108" s="47"/>
    </row>
    <row r="109" spans="1:11" ht="28.5" hidden="1" customHeight="1" x14ac:dyDescent="0.35">
      <c r="C109" s="29">
        <f>IF(E109&lt;&gt;"",SUBTOTAL(103,E$22:E109),"")</f>
        <v>0</v>
      </c>
      <c r="D109" s="30" t="s">
        <v>44</v>
      </c>
      <c r="E109" s="31" t="s">
        <v>237</v>
      </c>
      <c r="F109" s="32" t="s">
        <v>238</v>
      </c>
      <c r="G109" s="33" t="s">
        <v>46</v>
      </c>
      <c r="H109" s="33" t="s">
        <v>47</v>
      </c>
      <c r="I109" s="34" t="s">
        <v>53</v>
      </c>
      <c r="J109" s="35" t="str">
        <f>+IFERROR(VLOOKUP(E109,[1]Sheet1!C:H,6,0),"")</f>
        <v>17/02/2025</v>
      </c>
      <c r="K109" s="47"/>
    </row>
    <row r="110" spans="1:11" ht="28.5" hidden="1" customHeight="1" x14ac:dyDescent="0.35">
      <c r="C110" s="29">
        <f>IF(E110&lt;&gt;"",SUBTOTAL(103,E$22:E110),"")</f>
        <v>0</v>
      </c>
      <c r="D110" s="30" t="s">
        <v>60</v>
      </c>
      <c r="E110" s="31" t="s">
        <v>239</v>
      </c>
      <c r="F110" s="32" t="s">
        <v>240</v>
      </c>
      <c r="G110" s="33" t="s">
        <v>46</v>
      </c>
      <c r="H110" s="33" t="s">
        <v>62</v>
      </c>
      <c r="I110" s="34" t="s">
        <v>53</v>
      </c>
      <c r="J110" s="35" t="str">
        <f>+IFERROR(VLOOKUP(E110,[1]Sheet1!C:H,6,0),"")</f>
        <v>17/02/2025</v>
      </c>
      <c r="K110" s="47"/>
    </row>
    <row r="111" spans="1:11" ht="28.5" hidden="1" customHeight="1" x14ac:dyDescent="0.35">
      <c r="C111" s="29">
        <f>IF(E111&lt;&gt;"",SUBTOTAL(103,E$22:E111),"")</f>
        <v>0</v>
      </c>
      <c r="D111" s="30" t="s">
        <v>60</v>
      </c>
      <c r="E111" s="31" t="s">
        <v>241</v>
      </c>
      <c r="F111" s="32" t="s">
        <v>242</v>
      </c>
      <c r="G111" s="33" t="s">
        <v>46</v>
      </c>
      <c r="H111" s="33" t="s">
        <v>47</v>
      </c>
      <c r="I111" s="34" t="s">
        <v>53</v>
      </c>
      <c r="J111" s="35" t="str">
        <f>+IFERROR(VLOOKUP(E111,[1]Sheet1!C:H,6,0),"")</f>
        <v>17/02/2025</v>
      </c>
      <c r="K111" s="47"/>
    </row>
    <row r="112" spans="1:11" ht="28.5" customHeight="1" x14ac:dyDescent="0.35">
      <c r="C112" s="29">
        <f>IF(E112&lt;&gt;"",SUBTOTAL(103,E$22:E112),"")</f>
        <v>1</v>
      </c>
      <c r="D112" s="30" t="s">
        <v>44</v>
      </c>
      <c r="E112" s="31" t="s">
        <v>244</v>
      </c>
      <c r="F112" s="32" t="s">
        <v>245</v>
      </c>
      <c r="G112" s="33" t="s">
        <v>46</v>
      </c>
      <c r="H112" s="33" t="s">
        <v>47</v>
      </c>
      <c r="I112" s="34" t="s">
        <v>53</v>
      </c>
      <c r="J112" s="35" t="str">
        <f>+IFERROR(VLOOKUP(E112,[1]Sheet1!C:H,6,0),"")</f>
        <v>26/02/2025</v>
      </c>
      <c r="K112" s="47"/>
    </row>
    <row r="113" spans="1:11" ht="28.5" hidden="1" customHeight="1" x14ac:dyDescent="0.35">
      <c r="C113" s="29">
        <f>IF(E113&lt;&gt;"",SUBTOTAL(103,E$22:E113),"")</f>
        <v>1</v>
      </c>
      <c r="D113" s="30" t="s">
        <v>60</v>
      </c>
      <c r="E113" s="31" t="s">
        <v>246</v>
      </c>
      <c r="F113" s="32" t="s">
        <v>247</v>
      </c>
      <c r="G113" s="33" t="s">
        <v>46</v>
      </c>
      <c r="H113" s="33" t="s">
        <v>62</v>
      </c>
      <c r="I113" s="34" t="s">
        <v>53</v>
      </c>
      <c r="J113" s="35" t="str">
        <f>+IFERROR(VLOOKUP(E113,[1]Sheet1!C:H,6,0),"")</f>
        <v>26/02/2025</v>
      </c>
      <c r="K113" s="47"/>
    </row>
    <row r="114" spans="1:11" ht="28.5" hidden="1" customHeight="1" x14ac:dyDescent="0.35">
      <c r="C114" s="29">
        <f>IF(E114&lt;&gt;"",SUBTOTAL(103,E$22:E114),"")</f>
        <v>1</v>
      </c>
      <c r="D114" s="30" t="s">
        <v>60</v>
      </c>
      <c r="E114" s="31" t="s">
        <v>248</v>
      </c>
      <c r="F114" s="32" t="s">
        <v>249</v>
      </c>
      <c r="G114" s="33" t="s">
        <v>46</v>
      </c>
      <c r="H114" s="33" t="s">
        <v>62</v>
      </c>
      <c r="I114" s="34" t="s">
        <v>53</v>
      </c>
      <c r="J114" s="35" t="str">
        <f>+IFERROR(VLOOKUP(E114,[1]Sheet1!C:H,6,0),"")</f>
        <v>26/02/2025</v>
      </c>
      <c r="K114" s="47"/>
    </row>
    <row r="115" spans="1:11" ht="28.5" hidden="1" customHeight="1" x14ac:dyDescent="0.35">
      <c r="C115" s="29">
        <f>IF(E115&lt;&gt;"",SUBTOTAL(103,E$22:E115),"")</f>
        <v>1</v>
      </c>
      <c r="D115" s="30" t="s">
        <v>60</v>
      </c>
      <c r="E115" s="31" t="s">
        <v>250</v>
      </c>
      <c r="F115" s="32" t="s">
        <v>251</v>
      </c>
      <c r="G115" s="33" t="s">
        <v>46</v>
      </c>
      <c r="H115" s="33" t="s">
        <v>62</v>
      </c>
      <c r="I115" s="34" t="s">
        <v>53</v>
      </c>
      <c r="J115" s="35" t="str">
        <f>+IFERROR(VLOOKUP(E115,[1]Sheet1!C:H,6,0),"")</f>
        <v>05/03/2025</v>
      </c>
      <c r="K115" s="47"/>
    </row>
    <row r="116" spans="1:11" ht="28.5" hidden="1" customHeight="1" x14ac:dyDescent="0.35">
      <c r="C116" s="29">
        <f>IF(E116&lt;&gt;"",SUBTOTAL(103,E$22:E116),"")</f>
        <v>1</v>
      </c>
      <c r="D116" s="30" t="s">
        <v>60</v>
      </c>
      <c r="E116" s="31" t="s">
        <v>252</v>
      </c>
      <c r="F116" s="32" t="s">
        <v>253</v>
      </c>
      <c r="G116" s="33" t="s">
        <v>46</v>
      </c>
      <c r="H116" s="33" t="s">
        <v>62</v>
      </c>
      <c r="I116" s="34" t="s">
        <v>53</v>
      </c>
      <c r="J116" s="35" t="str">
        <f>+IFERROR(VLOOKUP(E116,[1]Sheet1!C:H,6,0),"")</f>
        <v>14/03/2025</v>
      </c>
      <c r="K116" s="47"/>
    </row>
    <row r="117" spans="1:11" ht="28.5" hidden="1" customHeight="1" x14ac:dyDescent="0.35">
      <c r="C117" s="29">
        <f>IF(E117&lt;&gt;"",SUBTOTAL(103,E$22:E117),"")</f>
        <v>1</v>
      </c>
      <c r="D117" s="30" t="s">
        <v>72</v>
      </c>
      <c r="E117" s="31" t="s">
        <v>254</v>
      </c>
      <c r="F117" s="32" t="s">
        <v>255</v>
      </c>
      <c r="G117" s="33" t="s">
        <v>46</v>
      </c>
      <c r="H117" s="33" t="s">
        <v>74</v>
      </c>
      <c r="I117" s="34" t="s">
        <v>256</v>
      </c>
      <c r="J117" s="35" t="str">
        <f>+IFERROR(VLOOKUP(E117,[1]Sheet1!C:H,6,0),"")</f>
        <v>26/06/2025</v>
      </c>
      <c r="K117" s="47"/>
    </row>
    <row r="118" spans="1:11" ht="28.5" hidden="1" customHeight="1" x14ac:dyDescent="0.35">
      <c r="C118" s="29">
        <f>IF(E118&lt;&gt;"",SUBTOTAL(103,E$22:E118),"")</f>
        <v>1</v>
      </c>
      <c r="D118" s="30" t="s">
        <v>44</v>
      </c>
      <c r="E118" s="31" t="s">
        <v>257</v>
      </c>
      <c r="F118" s="32" t="s">
        <v>258</v>
      </c>
      <c r="G118" s="33" t="s">
        <v>46</v>
      </c>
      <c r="H118" s="33" t="s">
        <v>47</v>
      </c>
      <c r="I118" s="34" t="s">
        <v>243</v>
      </c>
      <c r="J118" s="35" t="str">
        <f>+IFERROR(VLOOKUP(E118,[1]Sheet1!C:H,6,0),"")</f>
        <v>21/07/2025</v>
      </c>
      <c r="K118" s="47"/>
    </row>
    <row r="119" spans="1:11" ht="28.5" hidden="1" customHeight="1" x14ac:dyDescent="0.35">
      <c r="A119" s="18" t="s">
        <v>163</v>
      </c>
      <c r="B119" s="18" t="e">
        <v>#N/A</v>
      </c>
      <c r="C119" s="29">
        <f>IF(E119&lt;&gt;"",SUBTOTAL(103,E$22:E119),"")</f>
        <v>1</v>
      </c>
      <c r="D119" s="30" t="s">
        <v>44</v>
      </c>
      <c r="E119" s="31" t="s">
        <v>164</v>
      </c>
      <c r="F119" s="32" t="s">
        <v>163</v>
      </c>
      <c r="G119" s="33" t="s">
        <v>46</v>
      </c>
      <c r="H119" s="33" t="s">
        <v>47</v>
      </c>
      <c r="I119" s="34" t="s">
        <v>58</v>
      </c>
      <c r="J119" s="35">
        <f>+IFERROR(VLOOKUP(E119,[1]Sheet1!C:H,6,0),"")</f>
        <v>44634</v>
      </c>
      <c r="K119" s="45"/>
    </row>
    <row r="120" spans="1:11" ht="28.5" hidden="1" customHeight="1" x14ac:dyDescent="0.35">
      <c r="C120" s="29">
        <f>IF(E120&lt;&gt;"",SUBTOTAL(103,E$22:E120),"")</f>
        <v>1</v>
      </c>
      <c r="D120" s="30" t="s">
        <v>44</v>
      </c>
      <c r="E120" s="31" t="s">
        <v>261</v>
      </c>
      <c r="F120" s="32" t="s">
        <v>262</v>
      </c>
      <c r="G120" s="33" t="s">
        <v>46</v>
      </c>
      <c r="H120" s="33" t="s">
        <v>47</v>
      </c>
      <c r="I120" s="34" t="s">
        <v>53</v>
      </c>
      <c r="J120" s="35">
        <f>+IFERROR(VLOOKUP(E120,[1]Sheet1!C:H,6,0),"")</f>
        <v>0</v>
      </c>
      <c r="K120" s="47"/>
    </row>
    <row r="121" spans="1:11" ht="28.5" hidden="1" customHeight="1" x14ac:dyDescent="0.35">
      <c r="C121" s="29">
        <f>IF(E121&lt;&gt;"",SUBTOTAL(103,E$22:E121),"")</f>
        <v>1</v>
      </c>
      <c r="D121" s="30" t="s">
        <v>72</v>
      </c>
      <c r="E121" s="31" t="s">
        <v>263</v>
      </c>
      <c r="F121" s="32" t="s">
        <v>264</v>
      </c>
      <c r="G121" s="33" t="s">
        <v>46</v>
      </c>
      <c r="H121" s="33" t="s">
        <v>74</v>
      </c>
      <c r="I121" s="34" t="s">
        <v>188</v>
      </c>
      <c r="J121" s="35">
        <v>46143</v>
      </c>
      <c r="K121" s="47"/>
    </row>
    <row r="122" spans="1:11" ht="28.5" hidden="1" customHeight="1" x14ac:dyDescent="0.35">
      <c r="C122" s="29">
        <f>IF(E122&lt;&gt;"",SUBTOTAL(103,E$22:E122),"")</f>
        <v>1</v>
      </c>
      <c r="D122" s="30" t="s">
        <v>44</v>
      </c>
      <c r="E122" s="31" t="s">
        <v>265</v>
      </c>
      <c r="F122" s="32" t="s">
        <v>266</v>
      </c>
      <c r="G122" s="33" t="s">
        <v>46</v>
      </c>
      <c r="H122" s="33" t="s">
        <v>47</v>
      </c>
      <c r="I122" s="34" t="s">
        <v>53</v>
      </c>
      <c r="J122" s="41" t="s">
        <v>267</v>
      </c>
      <c r="K122" s="47"/>
    </row>
    <row r="123" spans="1:11" ht="28.5" hidden="1" customHeight="1" x14ac:dyDescent="0.35">
      <c r="C123" s="29">
        <f>IF(E123&lt;&gt;"",SUBTOTAL(103,E$22:E123),"")</f>
        <v>1</v>
      </c>
      <c r="D123" s="30" t="s">
        <v>60</v>
      </c>
      <c r="E123" s="31" t="s">
        <v>268</v>
      </c>
      <c r="F123" s="32" t="s">
        <v>269</v>
      </c>
      <c r="G123" s="33" t="s">
        <v>46</v>
      </c>
      <c r="H123" s="33" t="s">
        <v>62</v>
      </c>
      <c r="I123" s="34" t="s">
        <v>53</v>
      </c>
      <c r="J123" s="41" t="s">
        <v>267</v>
      </c>
      <c r="K123" s="47"/>
    </row>
    <row r="124" spans="1:11" ht="28.5" hidden="1" customHeight="1" x14ac:dyDescent="0.35">
      <c r="C124" s="29">
        <f>IF(E124&lt;&gt;"",SUBTOTAL(103,E$22:E124),"")</f>
        <v>1</v>
      </c>
      <c r="D124" s="30" t="s">
        <v>60</v>
      </c>
      <c r="E124" s="31" t="s">
        <v>270</v>
      </c>
      <c r="F124" s="32" t="s">
        <v>271</v>
      </c>
      <c r="G124" s="33" t="s">
        <v>46</v>
      </c>
      <c r="H124" s="33" t="s">
        <v>62</v>
      </c>
      <c r="I124" s="34" t="s">
        <v>53</v>
      </c>
      <c r="J124" s="41" t="s">
        <v>267</v>
      </c>
      <c r="K124" s="47"/>
    </row>
    <row r="125" spans="1:11" ht="28.5" hidden="1" customHeight="1" x14ac:dyDescent="0.35">
      <c r="C125" s="29">
        <f>IF(E125&lt;&gt;"",SUBTOTAL(103,E$22:E125),"")</f>
        <v>1</v>
      </c>
      <c r="D125" s="30" t="s">
        <v>44</v>
      </c>
      <c r="E125" s="31" t="s">
        <v>272</v>
      </c>
      <c r="F125" s="32" t="s">
        <v>273</v>
      </c>
      <c r="G125" s="33" t="s">
        <v>46</v>
      </c>
      <c r="H125" s="33" t="s">
        <v>47</v>
      </c>
      <c r="I125" s="34" t="s">
        <v>53</v>
      </c>
      <c r="J125" s="41" t="s">
        <v>267</v>
      </c>
      <c r="K125" s="47"/>
    </row>
    <row r="126" spans="1:11" ht="28.5" hidden="1" customHeight="1" x14ac:dyDescent="0.35">
      <c r="C126" s="29">
        <f>IF(E126&lt;&gt;"",SUBTOTAL(103,E$22:E126),"")</f>
        <v>1</v>
      </c>
      <c r="D126" s="30" t="s">
        <v>60</v>
      </c>
      <c r="E126" s="31" t="s">
        <v>274</v>
      </c>
      <c r="F126" s="32" t="s">
        <v>275</v>
      </c>
      <c r="G126" s="33" t="s">
        <v>46</v>
      </c>
      <c r="H126" s="33" t="s">
        <v>62</v>
      </c>
      <c r="I126" s="34" t="s">
        <v>53</v>
      </c>
      <c r="J126" s="41" t="s">
        <v>267</v>
      </c>
      <c r="K126" s="47"/>
    </row>
    <row r="127" spans="1:11" ht="28.5" hidden="1" customHeight="1" x14ac:dyDescent="0.35">
      <c r="C127" s="29">
        <f>IF(E127&lt;&gt;"",SUBTOTAL(103,E$22:E127),"")</f>
        <v>1</v>
      </c>
      <c r="D127" s="30" t="s">
        <v>60</v>
      </c>
      <c r="E127" s="31" t="s">
        <v>276</v>
      </c>
      <c r="F127" s="32" t="s">
        <v>277</v>
      </c>
      <c r="G127" s="33" t="s">
        <v>46</v>
      </c>
      <c r="H127" s="33" t="s">
        <v>62</v>
      </c>
      <c r="I127" s="34" t="s">
        <v>53</v>
      </c>
      <c r="J127" s="41" t="s">
        <v>267</v>
      </c>
      <c r="K127" s="47"/>
    </row>
    <row r="128" spans="1:11" ht="28.5" hidden="1" customHeight="1" x14ac:dyDescent="0.35">
      <c r="C128" s="29">
        <f>IF(E128&lt;&gt;"",SUBTOTAL(103,E$22:E128),"")</f>
        <v>1</v>
      </c>
      <c r="D128" s="30" t="s">
        <v>44</v>
      </c>
      <c r="E128" s="31" t="s">
        <v>278</v>
      </c>
      <c r="F128" s="32" t="s">
        <v>279</v>
      </c>
      <c r="G128" s="33" t="s">
        <v>46</v>
      </c>
      <c r="H128" s="33" t="s">
        <v>47</v>
      </c>
      <c r="I128" s="34" t="s">
        <v>53</v>
      </c>
      <c r="J128" s="41" t="s">
        <v>280</v>
      </c>
      <c r="K128" s="47"/>
    </row>
    <row r="129" spans="3:11" ht="28.5" hidden="1" customHeight="1" x14ac:dyDescent="0.35">
      <c r="C129" s="29">
        <f>IF(E129&lt;&gt;"",SUBTOTAL(103,E$22:E129),"")</f>
        <v>1</v>
      </c>
      <c r="D129" s="30" t="s">
        <v>44</v>
      </c>
      <c r="E129" s="31" t="s">
        <v>281</v>
      </c>
      <c r="F129" s="32" t="s">
        <v>282</v>
      </c>
      <c r="G129" s="33" t="s">
        <v>46</v>
      </c>
      <c r="H129" s="33" t="s">
        <v>47</v>
      </c>
      <c r="I129" s="34" t="s">
        <v>53</v>
      </c>
      <c r="J129" s="41" t="s">
        <v>280</v>
      </c>
      <c r="K129" s="47"/>
    </row>
    <row r="130" spans="3:11" ht="28.5" hidden="1" customHeight="1" x14ac:dyDescent="0.35">
      <c r="C130" s="42">
        <f>IF(E130&lt;&gt;"",SUBTOTAL(103,E$22:E130),"")</f>
        <v>1</v>
      </c>
      <c r="D130" s="30" t="s">
        <v>44</v>
      </c>
      <c r="E130" s="31" t="s">
        <v>283</v>
      </c>
      <c r="F130" s="32" t="s">
        <v>284</v>
      </c>
      <c r="G130" s="33" t="s">
        <v>46</v>
      </c>
      <c r="H130" s="33" t="s">
        <v>47</v>
      </c>
      <c r="I130" s="34" t="s">
        <v>53</v>
      </c>
      <c r="J130" s="41" t="s">
        <v>285</v>
      </c>
      <c r="K130" s="47"/>
    </row>
    <row r="131" spans="3:11" ht="29.25" hidden="1" customHeight="1" x14ac:dyDescent="0.35">
      <c r="C131" s="42">
        <f>IF(E131&lt;&gt;"",SUBTOTAL(103,E$22:E131),"")</f>
        <v>1</v>
      </c>
      <c r="D131" s="30" t="s">
        <v>44</v>
      </c>
      <c r="E131" s="31" t="s">
        <v>286</v>
      </c>
      <c r="F131" s="32" t="s">
        <v>287</v>
      </c>
      <c r="G131" s="33" t="s">
        <v>46</v>
      </c>
      <c r="H131" s="33" t="s">
        <v>47</v>
      </c>
      <c r="I131" s="34" t="s">
        <v>53</v>
      </c>
      <c r="J131" s="41" t="s">
        <v>285</v>
      </c>
      <c r="K131" s="47"/>
    </row>
    <row r="132" spans="3:11" ht="28.5" hidden="1" customHeight="1" x14ac:dyDescent="0.35">
      <c r="C132" s="42">
        <f>IF(E132&lt;&gt;"",SUBTOTAL(103,E$22:E132),"")</f>
        <v>1</v>
      </c>
      <c r="D132" s="30" t="s">
        <v>60</v>
      </c>
      <c r="E132" s="31" t="s">
        <v>288</v>
      </c>
      <c r="F132" s="32" t="s">
        <v>289</v>
      </c>
      <c r="G132" s="33" t="s">
        <v>46</v>
      </c>
      <c r="H132" s="33" t="s">
        <v>62</v>
      </c>
      <c r="I132" s="34" t="s">
        <v>53</v>
      </c>
      <c r="J132" s="41" t="s">
        <v>285</v>
      </c>
      <c r="K132" s="47"/>
    </row>
    <row r="133" spans="3:11" ht="28.5" hidden="1" customHeight="1" x14ac:dyDescent="0.35">
      <c r="C133" s="42">
        <f>IF(E133&lt;&gt;"",SUBTOTAL(103,E$22:E133),"")</f>
        <v>1</v>
      </c>
      <c r="D133" s="30" t="s">
        <v>44</v>
      </c>
      <c r="E133" s="31" t="s">
        <v>290</v>
      </c>
      <c r="F133" s="32" t="s">
        <v>291</v>
      </c>
      <c r="G133" s="33" t="s">
        <v>46</v>
      </c>
      <c r="H133" s="33" t="s">
        <v>47</v>
      </c>
      <c r="I133" s="34" t="s">
        <v>53</v>
      </c>
      <c r="J133" s="41" t="s">
        <v>285</v>
      </c>
      <c r="K133" s="47"/>
    </row>
    <row r="134" spans="3:11" ht="28.5" hidden="1" customHeight="1" x14ac:dyDescent="0.35">
      <c r="C134" s="42">
        <f>IF(E134&lt;&gt;"",SUBTOTAL(103,E$22:E134),"")</f>
        <v>1</v>
      </c>
      <c r="D134" s="30" t="s">
        <v>44</v>
      </c>
      <c r="E134" s="31" t="s">
        <v>292</v>
      </c>
      <c r="F134" s="32" t="s">
        <v>293</v>
      </c>
      <c r="G134" s="33" t="s">
        <v>46</v>
      </c>
      <c r="H134" s="33" t="s">
        <v>47</v>
      </c>
      <c r="I134" s="34" t="s">
        <v>53</v>
      </c>
      <c r="J134" s="41" t="s">
        <v>294</v>
      </c>
      <c r="K134" s="47" t="s">
        <v>315</v>
      </c>
    </row>
    <row r="135" spans="3:11" ht="28.5" hidden="1" customHeight="1" x14ac:dyDescent="0.35">
      <c r="C135" s="42">
        <f>IF(E135&lt;&gt;"",SUBTOTAL(103,E$22:E135),"")</f>
        <v>1</v>
      </c>
      <c r="D135" s="30" t="s">
        <v>72</v>
      </c>
      <c r="E135" s="31" t="s">
        <v>295</v>
      </c>
      <c r="F135" s="32" t="s">
        <v>296</v>
      </c>
      <c r="G135" s="33" t="s">
        <v>46</v>
      </c>
      <c r="H135" s="33" t="s">
        <v>74</v>
      </c>
      <c r="I135" s="34" t="s">
        <v>297</v>
      </c>
      <c r="J135" s="41" t="s">
        <v>298</v>
      </c>
      <c r="K135" s="46"/>
    </row>
    <row r="136" spans="3:11" ht="28.5" hidden="1" customHeight="1" x14ac:dyDescent="0.35">
      <c r="C136" s="42">
        <f>IF(E136&lt;&gt;"",SUBTOTAL(103,E$22:E136),"")</f>
        <v>1</v>
      </c>
      <c r="D136" s="30" t="s">
        <v>60</v>
      </c>
      <c r="E136" s="31" t="s">
        <v>299</v>
      </c>
      <c r="F136" s="32" t="s">
        <v>300</v>
      </c>
      <c r="G136" s="33" t="s">
        <v>46</v>
      </c>
      <c r="H136" s="33" t="s">
        <v>62</v>
      </c>
      <c r="I136" s="34" t="s">
        <v>53</v>
      </c>
      <c r="J136" s="41" t="s">
        <v>301</v>
      </c>
      <c r="K136" s="46"/>
    </row>
    <row r="137" spans="3:11" ht="28.5" hidden="1" customHeight="1" x14ac:dyDescent="0.35">
      <c r="C137" s="42">
        <f>IF(E137&lt;&gt;"",SUBTOTAL(103,E$22:E137),"")</f>
        <v>1</v>
      </c>
      <c r="D137" s="30" t="s">
        <v>44</v>
      </c>
      <c r="E137" s="31" t="s">
        <v>302</v>
      </c>
      <c r="F137" s="32" t="s">
        <v>303</v>
      </c>
      <c r="G137" s="33" t="s">
        <v>46</v>
      </c>
      <c r="H137" s="33" t="s">
        <v>47</v>
      </c>
      <c r="I137" s="34" t="s">
        <v>53</v>
      </c>
      <c r="J137" s="41" t="s">
        <v>301</v>
      </c>
      <c r="K137" s="46"/>
    </row>
    <row r="138" spans="3:11" ht="28.5" hidden="1" customHeight="1" x14ac:dyDescent="0.35">
      <c r="C138" s="42">
        <f>IF(E138&lt;&gt;"",SUBTOTAL(103,E$22:E138),"")</f>
        <v>1</v>
      </c>
      <c r="D138" s="30" t="s">
        <v>60</v>
      </c>
      <c r="E138" s="31" t="s">
        <v>304</v>
      </c>
      <c r="F138" s="32" t="s">
        <v>305</v>
      </c>
      <c r="G138" s="33" t="s">
        <v>46</v>
      </c>
      <c r="H138" s="33" t="s">
        <v>62</v>
      </c>
      <c r="I138" s="34" t="s">
        <v>53</v>
      </c>
      <c r="J138" s="41" t="s">
        <v>301</v>
      </c>
      <c r="K138" s="46"/>
    </row>
    <row r="139" spans="3:11" ht="28.5" hidden="1" customHeight="1" x14ac:dyDescent="0.35">
      <c r="C139" s="42">
        <f>IF(E139&lt;&gt;"",SUBTOTAL(103,E$22:E139),"")</f>
        <v>1</v>
      </c>
      <c r="D139" s="30" t="s">
        <v>44</v>
      </c>
      <c r="E139" s="31" t="s">
        <v>306</v>
      </c>
      <c r="F139" s="32" t="s">
        <v>307</v>
      </c>
      <c r="G139" s="33" t="s">
        <v>46</v>
      </c>
      <c r="H139" s="33" t="s">
        <v>47</v>
      </c>
      <c r="I139" s="34" t="s">
        <v>53</v>
      </c>
      <c r="J139" s="41" t="s">
        <v>301</v>
      </c>
      <c r="K139" s="46"/>
    </row>
    <row r="140" spans="3:11" ht="28.5" hidden="1" customHeight="1" x14ac:dyDescent="0.35">
      <c r="C140" s="42">
        <f>IF(E140&lt;&gt;"",SUBTOTAL(103,E$22:E140),"")</f>
        <v>1</v>
      </c>
      <c r="D140" s="30" t="s">
        <v>44</v>
      </c>
      <c r="E140" s="31" t="s">
        <v>308</v>
      </c>
      <c r="F140" s="32" t="s">
        <v>309</v>
      </c>
      <c r="G140" s="33" t="s">
        <v>46</v>
      </c>
      <c r="H140" s="33" t="s">
        <v>47</v>
      </c>
      <c r="I140" s="34" t="s">
        <v>53</v>
      </c>
      <c r="J140" s="35">
        <f>+IFERROR(VLOOKUP(E140,[1]Sheet1!C:H,6,0),"")</f>
        <v>44648</v>
      </c>
      <c r="K140" s="47" t="s">
        <v>310</v>
      </c>
    </row>
    <row r="141" spans="3:11" ht="28.5" hidden="1" customHeight="1" x14ac:dyDescent="0.35">
      <c r="C141" s="42">
        <f>IF(E141&lt;&gt;"",SUBTOTAL(103,E$22:E141),"")</f>
        <v>1</v>
      </c>
      <c r="D141" s="30" t="s">
        <v>44</v>
      </c>
      <c r="E141" s="31" t="s">
        <v>311</v>
      </c>
      <c r="F141" s="32" t="s">
        <v>312</v>
      </c>
      <c r="G141" s="33" t="s">
        <v>46</v>
      </c>
      <c r="H141" s="33" t="s">
        <v>47</v>
      </c>
      <c r="I141" s="34" t="s">
        <v>53</v>
      </c>
      <c r="J141" s="35">
        <f>+IFERROR(VLOOKUP(E141,[1]Sheet1!C:H,6,0),"")</f>
        <v>44048</v>
      </c>
      <c r="K141" s="47" t="s">
        <v>310</v>
      </c>
    </row>
    <row r="142" spans="3:11" ht="28.5" hidden="1" customHeight="1" x14ac:dyDescent="0.35">
      <c r="C142" s="42">
        <f>IF(E142&lt;&gt;"",SUBTOTAL(103,E$22:E142),"")</f>
        <v>1</v>
      </c>
      <c r="D142" s="30" t="s">
        <v>72</v>
      </c>
      <c r="E142" s="40" t="s">
        <v>313</v>
      </c>
      <c r="F142" s="39" t="s">
        <v>314</v>
      </c>
      <c r="G142" s="33" t="s">
        <v>46</v>
      </c>
      <c r="H142" s="33" t="s">
        <v>74</v>
      </c>
      <c r="I142" s="34" t="s">
        <v>188</v>
      </c>
      <c r="J142" s="35">
        <f>+IFERROR(VLOOKUP(E142,[1]Sheet1!C:H,6,0),"")</f>
        <v>45147</v>
      </c>
      <c r="K142" s="47" t="s">
        <v>310</v>
      </c>
    </row>
    <row r="143" spans="3:11" ht="30" customHeight="1" x14ac:dyDescent="0.35">
      <c r="C143" s="42">
        <v>122</v>
      </c>
      <c r="D143" s="30" t="s">
        <v>44</v>
      </c>
      <c r="E143" s="50">
        <v>4127</v>
      </c>
      <c r="F143" s="49" t="s">
        <v>316</v>
      </c>
      <c r="G143" s="33" t="s">
        <v>46</v>
      </c>
      <c r="H143" s="33" t="s">
        <v>47</v>
      </c>
      <c r="I143" s="34" t="s">
        <v>317</v>
      </c>
      <c r="J143" s="35" t="s">
        <v>318</v>
      </c>
      <c r="K143" s="47"/>
    </row>
  </sheetData>
  <autoFilter ref="A21:K142" xr:uid="{C3D77B87-320E-4CAC-BE20-C9B51A590042}">
    <filterColumn colId="5">
      <filters>
        <filter val="Danh Tiền"/>
      </filters>
    </filterColumn>
  </autoFilter>
  <conditionalFormatting sqref="E1:E1048576">
    <cfRule type="duplicateValues" dxfId="0" priority="1"/>
  </conditionalFormatting>
  <pageMargins left="0.7" right="0.7" top="0" bottom="0.75" header="0.3" footer="0.3"/>
  <pageSetup paperSize="9" scale="51" orientation="landscape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Tháng 04.2026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 Nguyen - Foaming</dc:creator>
  <cp:lastModifiedBy>Lam Duong - Foaming</cp:lastModifiedBy>
  <dcterms:created xsi:type="dcterms:W3CDTF">2026-04-24T02:29:32Z</dcterms:created>
  <dcterms:modified xsi:type="dcterms:W3CDTF">2026-06-03T03:10:03Z</dcterms:modified>
</cp:coreProperties>
</file>